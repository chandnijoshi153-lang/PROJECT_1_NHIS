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user\Desktop\project 1\"/>
    </mc:Choice>
  </mc:AlternateContent>
  <xr:revisionPtr revIDLastSave="0" documentId="13_ncr:1_{C97F0D0C-8366-49D3-8C34-10212343F923}" xr6:coauthVersionLast="44" xr6:coauthVersionMax="47" xr10:uidLastSave="{00000000-0000-0000-0000-000000000000}"/>
  <bookViews>
    <workbookView xWindow="-108" yWindow="-108" windowWidth="23256" windowHeight="12456" activeTab="3" xr2:uid="{00000000-000D-0000-FFFF-FFFF00000000}"/>
  </bookViews>
  <sheets>
    <sheet name="DS1" sheetId="1" r:id="rId1"/>
    <sheet name="DS2" sheetId="2" r:id="rId2"/>
    <sheet name="DS3" sheetId="3" r:id="rId3"/>
    <sheet name="Sheet2" sheetId="13" r:id="rId4"/>
    <sheet name="New DS_1" sheetId="6" r:id="rId5"/>
    <sheet name="New DS_2" sheetId="10" r:id="rId6"/>
    <sheet name="PIVOT TABLE AND CHART" sheetId="12" r:id="rId7"/>
    <sheet name="Sheet1" sheetId="11" r:id="rId8"/>
  </sheets>
  <definedNames>
    <definedName name="_xlnm._FilterDatabase" localSheetId="0" hidden="1">'DS1'!$A$1:$J$611</definedName>
    <definedName name="_xlnm._FilterDatabase" localSheetId="1" hidden="1">'DS2'!$A$1:$I$611</definedName>
    <definedName name="_xlnm._FilterDatabase" localSheetId="2" hidden="1">'DS3'!$A$1:$P$391</definedName>
    <definedName name="Slicer_Months__Date_Day">#N/A</definedName>
    <definedName name="Slicer_Temp_Status">#N/A</definedName>
    <definedName name="Slicer_Weather_Status">#N/A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Q11" i="3" l="1"/>
  <c r="I35" i="10" l="1"/>
  <c r="K2" i="2" l="1"/>
  <c r="J2" i="2"/>
  <c r="D34" i="10"/>
  <c r="H2" i="1"/>
  <c r="S34" i="10" l="1"/>
  <c r="S35" i="10"/>
  <c r="S36" i="10"/>
  <c r="S37" i="10"/>
  <c r="S38" i="10"/>
  <c r="S39" i="10"/>
  <c r="S40" i="10"/>
  <c r="S41" i="10"/>
  <c r="S42" i="10"/>
  <c r="S43" i="10"/>
  <c r="S44" i="10"/>
  <c r="S45" i="10"/>
  <c r="S46" i="10"/>
  <c r="S47" i="10"/>
  <c r="S48" i="10"/>
  <c r="S49" i="10"/>
  <c r="S50" i="10"/>
  <c r="S51" i="10"/>
  <c r="S52" i="10"/>
  <c r="S53" i="10"/>
  <c r="S54" i="10"/>
  <c r="S55" i="10"/>
  <c r="S56" i="10"/>
  <c r="S57" i="10"/>
  <c r="S58" i="10"/>
  <c r="S59" i="10"/>
  <c r="S60" i="10"/>
  <c r="S61" i="10"/>
  <c r="S62" i="10"/>
  <c r="S63" i="10"/>
  <c r="S64" i="10"/>
  <c r="S65" i="10"/>
  <c r="S66" i="10"/>
  <c r="S67" i="10"/>
  <c r="S68" i="10"/>
  <c r="S69" i="10"/>
  <c r="S70" i="10"/>
  <c r="S71" i="10"/>
  <c r="S72" i="10"/>
  <c r="S73" i="10"/>
  <c r="S74" i="10"/>
  <c r="S75" i="10"/>
  <c r="S76" i="10"/>
  <c r="S77" i="10"/>
  <c r="S78" i="10"/>
  <c r="S79" i="10"/>
  <c r="S80" i="10"/>
  <c r="S81" i="10"/>
  <c r="S82" i="10"/>
  <c r="S83" i="10"/>
  <c r="S84" i="10"/>
  <c r="S85" i="10"/>
  <c r="S86" i="10"/>
  <c r="S87" i="10"/>
  <c r="S88" i="10"/>
  <c r="S89" i="10"/>
  <c r="S90" i="10"/>
  <c r="S91" i="10"/>
  <c r="S92" i="10"/>
  <c r="S93" i="10"/>
  <c r="S94" i="10"/>
  <c r="S95" i="10"/>
  <c r="S96" i="10"/>
  <c r="S97" i="10"/>
  <c r="S98" i="10"/>
  <c r="S99" i="10"/>
  <c r="S100" i="10"/>
  <c r="S101" i="10"/>
  <c r="S102" i="10"/>
  <c r="S103" i="10"/>
  <c r="S104" i="10"/>
  <c r="S105" i="10"/>
  <c r="S106" i="10"/>
  <c r="S107" i="10"/>
  <c r="S108" i="10"/>
  <c r="S109" i="10"/>
  <c r="S110" i="10"/>
  <c r="S111" i="10"/>
  <c r="S112" i="10"/>
  <c r="S113" i="10"/>
  <c r="S114" i="10"/>
  <c r="S115" i="10"/>
  <c r="S116" i="10"/>
  <c r="S117" i="10"/>
  <c r="S118" i="10"/>
  <c r="S119" i="10"/>
  <c r="S120" i="10"/>
  <c r="S121" i="10"/>
  <c r="S122" i="10"/>
  <c r="S123" i="10"/>
  <c r="S124" i="10"/>
  <c r="S125" i="10"/>
  <c r="S126" i="10"/>
  <c r="S127" i="10"/>
  <c r="S128" i="10"/>
  <c r="S129" i="10"/>
  <c r="S130" i="10"/>
  <c r="S131" i="10"/>
  <c r="S132" i="10"/>
  <c r="S133" i="10"/>
  <c r="S134" i="10"/>
  <c r="S135" i="10"/>
  <c r="S136" i="10"/>
  <c r="S137" i="10"/>
  <c r="S138" i="10"/>
  <c r="S139" i="10"/>
  <c r="S140" i="10"/>
  <c r="S141" i="10"/>
  <c r="S142" i="10"/>
  <c r="S143" i="10"/>
  <c r="S144" i="10"/>
  <c r="S145" i="10"/>
  <c r="S146" i="10"/>
  <c r="S147" i="10"/>
  <c r="S148" i="10"/>
  <c r="S149" i="10"/>
  <c r="S150" i="10"/>
  <c r="S151" i="10"/>
  <c r="S152" i="10"/>
  <c r="S153" i="10"/>
  <c r="S154" i="10"/>
  <c r="S155" i="10"/>
  <c r="S156" i="10"/>
  <c r="S157" i="10"/>
  <c r="S158" i="10"/>
  <c r="S159" i="10"/>
  <c r="S160" i="10"/>
  <c r="S161" i="10"/>
  <c r="S162" i="10"/>
  <c r="S163" i="10"/>
  <c r="S164" i="10"/>
  <c r="S165" i="10"/>
  <c r="S166" i="10"/>
  <c r="S167" i="10"/>
  <c r="S168" i="10"/>
  <c r="S169" i="10"/>
  <c r="S170" i="10"/>
  <c r="S171" i="10"/>
  <c r="S172" i="10"/>
  <c r="S173" i="10"/>
  <c r="S174" i="10"/>
  <c r="S175" i="10"/>
  <c r="S176" i="10"/>
  <c r="S177" i="10"/>
  <c r="S178" i="10"/>
  <c r="S179" i="10"/>
  <c r="S180" i="10"/>
  <c r="S181" i="10"/>
  <c r="S182" i="10"/>
  <c r="S183" i="10"/>
  <c r="S184" i="10"/>
  <c r="S185" i="10"/>
  <c r="S186" i="10"/>
  <c r="S187" i="10"/>
  <c r="S188" i="10"/>
  <c r="S189" i="10"/>
  <c r="S190" i="10"/>
  <c r="S191" i="10"/>
  <c r="S192" i="10"/>
  <c r="S193" i="10"/>
  <c r="S194" i="10"/>
  <c r="S195" i="10"/>
  <c r="S196" i="10"/>
  <c r="S197" i="10"/>
  <c r="S198" i="10"/>
  <c r="S199" i="10"/>
  <c r="S200" i="10"/>
  <c r="S201" i="10"/>
  <c r="S202" i="10"/>
  <c r="S203" i="10"/>
  <c r="S204" i="10"/>
  <c r="S205" i="10"/>
  <c r="S206" i="10"/>
  <c r="S207" i="10"/>
  <c r="S208" i="10"/>
  <c r="S209" i="10"/>
  <c r="S210" i="10"/>
  <c r="S211" i="10"/>
  <c r="S212" i="10"/>
  <c r="S213" i="10"/>
  <c r="S214" i="10"/>
  <c r="S215" i="10"/>
  <c r="S216" i="10"/>
  <c r="S217" i="10"/>
  <c r="S218" i="10"/>
  <c r="S219" i="10"/>
  <c r="S220" i="10"/>
  <c r="S221" i="10"/>
  <c r="S222" i="10"/>
  <c r="S223" i="10"/>
  <c r="S224" i="10"/>
  <c r="S225" i="10"/>
  <c r="S226" i="10"/>
  <c r="S227" i="10"/>
  <c r="S228" i="10"/>
  <c r="S229" i="10"/>
  <c r="S230" i="10"/>
  <c r="S231" i="10"/>
  <c r="S232" i="10"/>
  <c r="S233" i="10"/>
  <c r="S234" i="10"/>
  <c r="S235" i="10"/>
  <c r="S236" i="10"/>
  <c r="S237" i="10"/>
  <c r="S238" i="10"/>
  <c r="S239" i="10"/>
  <c r="S240" i="10"/>
  <c r="S241" i="10"/>
  <c r="S242" i="10"/>
  <c r="S243" i="10"/>
  <c r="S244" i="10"/>
  <c r="S245" i="10"/>
  <c r="S246" i="10"/>
  <c r="S247" i="10"/>
  <c r="S248" i="10"/>
  <c r="S249" i="10"/>
  <c r="S250" i="10"/>
  <c r="S251" i="10"/>
  <c r="S252" i="10"/>
  <c r="S253" i="10"/>
  <c r="S254" i="10"/>
  <c r="S255" i="10"/>
  <c r="S256" i="10"/>
  <c r="S257" i="10"/>
  <c r="S258" i="10"/>
  <c r="S259" i="10"/>
  <c r="S260" i="10"/>
  <c r="S261" i="10"/>
  <c r="S262" i="10"/>
  <c r="S263" i="10"/>
  <c r="S264" i="10"/>
  <c r="S265" i="10"/>
  <c r="S266" i="10"/>
  <c r="S267" i="10"/>
  <c r="S268" i="10"/>
  <c r="S269" i="10"/>
  <c r="S270" i="10"/>
  <c r="S271" i="10"/>
  <c r="S272" i="10"/>
  <c r="S273" i="10"/>
  <c r="S274" i="10"/>
  <c r="S275" i="10"/>
  <c r="S276" i="10"/>
  <c r="S277" i="10"/>
  <c r="S278" i="10"/>
  <c r="S279" i="10"/>
  <c r="S280" i="10"/>
  <c r="S281" i="10"/>
  <c r="S282" i="10"/>
  <c r="S283" i="10"/>
  <c r="S284" i="10"/>
  <c r="S285" i="10"/>
  <c r="S286" i="10"/>
  <c r="S287" i="10"/>
  <c r="S288" i="10"/>
  <c r="S289" i="10"/>
  <c r="S290" i="10"/>
  <c r="S291" i="10"/>
  <c r="S292" i="10"/>
  <c r="S293" i="10"/>
  <c r="S294" i="10"/>
  <c r="S295" i="10"/>
  <c r="S296" i="10"/>
  <c r="S297" i="10"/>
  <c r="S298" i="10"/>
  <c r="S299" i="10"/>
  <c r="S300" i="10"/>
  <c r="S301" i="10"/>
  <c r="S302" i="10"/>
  <c r="S303" i="10"/>
  <c r="S304" i="10"/>
  <c r="S305" i="10"/>
  <c r="S306" i="10"/>
  <c r="S307" i="10"/>
  <c r="S308" i="10"/>
  <c r="S309" i="10"/>
  <c r="S310" i="10"/>
  <c r="S311" i="10"/>
  <c r="S312" i="10"/>
  <c r="S313" i="10"/>
  <c r="S314" i="10"/>
  <c r="S315" i="10"/>
  <c r="S316" i="10"/>
  <c r="S317" i="10"/>
  <c r="S318" i="10"/>
  <c r="S319" i="10"/>
  <c r="S320" i="10"/>
  <c r="S321" i="10"/>
  <c r="S322" i="10"/>
  <c r="S323" i="10"/>
  <c r="S324" i="10"/>
  <c r="S325" i="10"/>
  <c r="S326" i="10"/>
  <c r="S327" i="10"/>
  <c r="S328" i="10"/>
  <c r="S329" i="10"/>
  <c r="S330" i="10"/>
  <c r="S331" i="10"/>
  <c r="S332" i="10"/>
  <c r="S333" i="10"/>
  <c r="S334" i="10"/>
  <c r="S335" i="10"/>
  <c r="S336" i="10"/>
  <c r="S337" i="10"/>
  <c r="S338" i="10"/>
  <c r="S339" i="10"/>
  <c r="S340" i="10"/>
  <c r="S341" i="10"/>
  <c r="S342" i="10"/>
  <c r="S343" i="10"/>
  <c r="S344" i="10"/>
  <c r="S345" i="10"/>
  <c r="S346" i="10"/>
  <c r="S347" i="10"/>
  <c r="S348" i="10"/>
  <c r="S349" i="10"/>
  <c r="S350" i="10"/>
  <c r="S351" i="10"/>
  <c r="S352" i="10"/>
  <c r="S353" i="10"/>
  <c r="S354" i="10"/>
  <c r="S355" i="10"/>
  <c r="S356" i="10"/>
  <c r="S357" i="10"/>
  <c r="S358" i="10"/>
  <c r="S359" i="10"/>
  <c r="S360" i="10"/>
  <c r="S361" i="10"/>
  <c r="S362" i="10"/>
  <c r="S363" i="10"/>
  <c r="S364" i="10"/>
  <c r="S365" i="10"/>
  <c r="S366" i="10"/>
  <c r="S367" i="10"/>
  <c r="S368" i="10"/>
  <c r="S369" i="10"/>
  <c r="S370" i="10"/>
  <c r="S371" i="10"/>
  <c r="S372" i="10"/>
  <c r="S373" i="10"/>
  <c r="S374" i="10"/>
  <c r="S375" i="10"/>
  <c r="S376" i="10"/>
  <c r="S377" i="10"/>
  <c r="S378" i="10"/>
  <c r="S379" i="10"/>
  <c r="S380" i="10"/>
  <c r="S381" i="10"/>
  <c r="S382" i="10"/>
  <c r="S383" i="10"/>
  <c r="S384" i="10"/>
  <c r="S385" i="10"/>
  <c r="S386" i="10"/>
  <c r="S387" i="10"/>
  <c r="S388" i="10"/>
  <c r="S389" i="10"/>
  <c r="S390" i="10"/>
  <c r="S391" i="10"/>
  <c r="S392" i="10"/>
  <c r="S393" i="10"/>
  <c r="S394" i="10"/>
  <c r="S395" i="10"/>
  <c r="S396" i="10"/>
  <c r="S397" i="10"/>
  <c r="S398" i="10"/>
  <c r="S399" i="10"/>
  <c r="S400" i="10"/>
  <c r="S401" i="10"/>
  <c r="S402" i="10"/>
  <c r="S403" i="10"/>
  <c r="S404" i="10"/>
  <c r="S405" i="10"/>
  <c r="S406" i="10"/>
  <c r="S407" i="10"/>
  <c r="S408" i="10"/>
  <c r="S409" i="10"/>
  <c r="S410" i="10"/>
  <c r="S411" i="10"/>
  <c r="S412" i="10"/>
  <c r="S413" i="10"/>
  <c r="S414" i="10"/>
  <c r="S415" i="10"/>
  <c r="S416" i="10"/>
  <c r="S417" i="10"/>
  <c r="S418" i="10"/>
  <c r="S419" i="10"/>
  <c r="S420" i="10"/>
  <c r="S421" i="10"/>
  <c r="S422" i="10"/>
  <c r="S423" i="10"/>
  <c r="S424" i="10"/>
  <c r="S425" i="10"/>
  <c r="S426" i="10"/>
  <c r="S427" i="10"/>
  <c r="S428" i="10"/>
  <c r="S429" i="10"/>
  <c r="S430" i="10"/>
  <c r="S431" i="10"/>
  <c r="S432" i="10"/>
  <c r="S433" i="10"/>
  <c r="S434" i="10"/>
  <c r="S435" i="10"/>
  <c r="S436" i="10"/>
  <c r="S437" i="10"/>
  <c r="S438" i="10"/>
  <c r="S439" i="10"/>
  <c r="S440" i="10"/>
  <c r="S441" i="10"/>
  <c r="S442" i="10"/>
  <c r="S443" i="10"/>
  <c r="S444" i="10"/>
  <c r="S445" i="10"/>
  <c r="S446" i="10"/>
  <c r="S447" i="10"/>
  <c r="S448" i="10"/>
  <c r="S449" i="10"/>
  <c r="S450" i="10"/>
  <c r="S451" i="10"/>
  <c r="S452" i="10"/>
  <c r="S453" i="10"/>
  <c r="S454" i="10"/>
  <c r="S455" i="10"/>
  <c r="S456" i="10"/>
  <c r="S457" i="10"/>
  <c r="S458" i="10"/>
  <c r="S459" i="10"/>
  <c r="S460" i="10"/>
  <c r="S461" i="10"/>
  <c r="S462" i="10"/>
  <c r="S463" i="10"/>
  <c r="S464" i="10"/>
  <c r="S465" i="10"/>
  <c r="S466" i="10"/>
  <c r="S467" i="10"/>
  <c r="S468" i="10"/>
  <c r="S469" i="10"/>
  <c r="S470" i="10"/>
  <c r="S471" i="10"/>
  <c r="S472" i="10"/>
  <c r="S473" i="10"/>
  <c r="S474" i="10"/>
  <c r="S475" i="10"/>
  <c r="S476" i="10"/>
  <c r="S477" i="10"/>
  <c r="S478" i="10"/>
  <c r="S479" i="10"/>
  <c r="S480" i="10"/>
  <c r="S481" i="10"/>
  <c r="S482" i="10"/>
  <c r="S483" i="10"/>
  <c r="S484" i="10"/>
  <c r="S485" i="10"/>
  <c r="S486" i="10"/>
  <c r="S487" i="10"/>
  <c r="S488" i="10"/>
  <c r="S489" i="10"/>
  <c r="S490" i="10"/>
  <c r="S491" i="10"/>
  <c r="S492" i="10"/>
  <c r="S493" i="10"/>
  <c r="S494" i="10"/>
  <c r="S495" i="10"/>
  <c r="S496" i="10"/>
  <c r="S497" i="10"/>
  <c r="S498" i="10"/>
  <c r="S499" i="10"/>
  <c r="S500" i="10"/>
  <c r="S501" i="10"/>
  <c r="S502" i="10"/>
  <c r="S503" i="10"/>
  <c r="S504" i="10"/>
  <c r="S505" i="10"/>
  <c r="S506" i="10"/>
  <c r="S507" i="10"/>
  <c r="S508" i="10"/>
  <c r="S509" i="10"/>
  <c r="S510" i="10"/>
  <c r="S511" i="10"/>
  <c r="S512" i="10"/>
  <c r="S513" i="10"/>
  <c r="S514" i="10"/>
  <c r="S515" i="10"/>
  <c r="S516" i="10"/>
  <c r="S517" i="10"/>
  <c r="S518" i="10"/>
  <c r="S519" i="10"/>
  <c r="S520" i="10"/>
  <c r="S521" i="10"/>
  <c r="S522" i="10"/>
  <c r="S523" i="10"/>
  <c r="S524" i="10"/>
  <c r="S525" i="10"/>
  <c r="S526" i="10"/>
  <c r="S527" i="10"/>
  <c r="S528" i="10"/>
  <c r="S529" i="10"/>
  <c r="S530" i="10"/>
  <c r="S531" i="10"/>
  <c r="S532" i="10"/>
  <c r="S533" i="10"/>
  <c r="S534" i="10"/>
  <c r="S535" i="10"/>
  <c r="S536" i="10"/>
  <c r="S537" i="10"/>
  <c r="S538" i="10"/>
  <c r="S539" i="10"/>
  <c r="S540" i="10"/>
  <c r="S541" i="10"/>
  <c r="S542" i="10"/>
  <c r="S543" i="10"/>
  <c r="S544" i="10"/>
  <c r="S545" i="10"/>
  <c r="S546" i="10"/>
  <c r="S547" i="10"/>
  <c r="S548" i="10"/>
  <c r="S549" i="10"/>
  <c r="S550" i="10"/>
  <c r="S551" i="10"/>
  <c r="S552" i="10"/>
  <c r="S553" i="10"/>
  <c r="S554" i="10"/>
  <c r="S555" i="10"/>
  <c r="S556" i="10"/>
  <c r="S557" i="10"/>
  <c r="S558" i="10"/>
  <c r="S559" i="10"/>
  <c r="S560" i="10"/>
  <c r="S561" i="10"/>
  <c r="S562" i="10"/>
  <c r="S563" i="10"/>
  <c r="S564" i="10"/>
  <c r="S565" i="10"/>
  <c r="S566" i="10"/>
  <c r="S567" i="10"/>
  <c r="S568" i="10"/>
  <c r="S569" i="10"/>
  <c r="S570" i="10"/>
  <c r="S571" i="10"/>
  <c r="S572" i="10"/>
  <c r="S573" i="10"/>
  <c r="S574" i="10"/>
  <c r="S575" i="10"/>
  <c r="S576" i="10"/>
  <c r="S577" i="10"/>
  <c r="S578" i="10"/>
  <c r="S579" i="10"/>
  <c r="S580" i="10"/>
  <c r="S581" i="10"/>
  <c r="S582" i="10"/>
  <c r="S583" i="10"/>
  <c r="S584" i="10"/>
  <c r="S585" i="10"/>
  <c r="S586" i="10"/>
  <c r="S587" i="10"/>
  <c r="S588" i="10"/>
  <c r="S589" i="10"/>
  <c r="S590" i="10"/>
  <c r="S591" i="10"/>
  <c r="S592" i="10"/>
  <c r="S593" i="10"/>
  <c r="S594" i="10"/>
  <c r="S595" i="10"/>
  <c r="S596" i="10"/>
  <c r="S597" i="10"/>
  <c r="S598" i="10"/>
  <c r="S599" i="10"/>
  <c r="S600" i="10"/>
  <c r="S601" i="10"/>
  <c r="S602" i="10"/>
  <c r="S603" i="10"/>
  <c r="S604" i="10"/>
  <c r="S605" i="10"/>
  <c r="S606" i="10"/>
  <c r="S607" i="10"/>
  <c r="S608" i="10"/>
  <c r="S609" i="10"/>
  <c r="S610" i="10"/>
  <c r="S611" i="10"/>
  <c r="S612" i="10"/>
  <c r="S613" i="10"/>
  <c r="S614" i="10"/>
  <c r="S615" i="10"/>
  <c r="S616" i="10"/>
  <c r="S617" i="10"/>
  <c r="S618" i="10"/>
  <c r="S619" i="10"/>
  <c r="S620" i="10"/>
  <c r="S621" i="10"/>
  <c r="S622" i="10"/>
  <c r="S623" i="10"/>
  <c r="S624" i="10"/>
  <c r="S625" i="10"/>
  <c r="S626" i="10"/>
  <c r="S627" i="10"/>
  <c r="S628" i="10"/>
  <c r="S629" i="10"/>
  <c r="S630" i="10"/>
  <c r="S631" i="10"/>
  <c r="S632" i="10"/>
  <c r="S633" i="10"/>
  <c r="S634" i="10"/>
  <c r="S635" i="10"/>
  <c r="S636" i="10"/>
  <c r="S637" i="10"/>
  <c r="S638" i="10"/>
  <c r="S639" i="10"/>
  <c r="S640" i="10"/>
  <c r="S641" i="10"/>
  <c r="S642" i="10"/>
  <c r="S643" i="10"/>
  <c r="S644" i="10"/>
  <c r="S645" i="10"/>
  <c r="S646" i="10"/>
  <c r="S647" i="10"/>
  <c r="S648" i="10"/>
  <c r="S649" i="10"/>
  <c r="S650" i="10"/>
  <c r="S651" i="10"/>
  <c r="S652" i="10"/>
  <c r="S653" i="10"/>
  <c r="S654" i="10"/>
  <c r="S655" i="10"/>
  <c r="S656" i="10"/>
  <c r="S657" i="10"/>
  <c r="S658" i="10"/>
  <c r="S659" i="10"/>
  <c r="S660" i="10"/>
  <c r="S661" i="10"/>
  <c r="S662" i="10"/>
  <c r="S663" i="10"/>
  <c r="S664" i="10"/>
  <c r="S665" i="10"/>
  <c r="S666" i="10"/>
  <c r="S667" i="10"/>
  <c r="S668" i="10"/>
  <c r="S669" i="10"/>
  <c r="S670" i="10"/>
  <c r="S671" i="10"/>
  <c r="S672" i="10"/>
  <c r="S673" i="10"/>
  <c r="S674" i="10"/>
  <c r="S675" i="10"/>
  <c r="S676" i="10"/>
  <c r="S677" i="10"/>
  <c r="S678" i="10"/>
  <c r="S679" i="10"/>
  <c r="S680" i="10"/>
  <c r="S681" i="10"/>
  <c r="S682" i="10"/>
  <c r="S683" i="10"/>
  <c r="S684" i="10"/>
  <c r="S685" i="10"/>
  <c r="S686" i="10"/>
  <c r="S687" i="10"/>
  <c r="S688" i="10"/>
  <c r="S689" i="10"/>
  <c r="S690" i="10"/>
  <c r="S691" i="10"/>
  <c r="S692" i="10"/>
  <c r="S693" i="10"/>
  <c r="S694" i="10"/>
  <c r="S695" i="10"/>
  <c r="S696" i="10"/>
  <c r="S697" i="10"/>
  <c r="S698" i="10"/>
  <c r="S699" i="10"/>
  <c r="S700" i="10"/>
  <c r="S701" i="10"/>
  <c r="S702" i="10"/>
  <c r="S703" i="10"/>
  <c r="S704" i="10"/>
  <c r="S705" i="10"/>
  <c r="S706" i="10"/>
  <c r="S707" i="10"/>
  <c r="S708" i="10"/>
  <c r="S709" i="10"/>
  <c r="S710" i="10"/>
  <c r="S711" i="10"/>
  <c r="S712" i="10"/>
  <c r="S713" i="10"/>
  <c r="S714" i="10"/>
  <c r="S715" i="10"/>
  <c r="S716" i="10"/>
  <c r="S717" i="10"/>
  <c r="S718" i="10"/>
  <c r="S719" i="10"/>
  <c r="S720" i="10"/>
  <c r="S721" i="10"/>
  <c r="S722" i="10"/>
  <c r="S723" i="10"/>
  <c r="S724" i="10"/>
  <c r="S725" i="10"/>
  <c r="S726" i="10"/>
  <c r="S727" i="10"/>
  <c r="S728" i="10"/>
  <c r="S729" i="10"/>
  <c r="S730" i="10"/>
  <c r="S731" i="10"/>
  <c r="S732" i="10"/>
  <c r="S733" i="10"/>
  <c r="S734" i="10"/>
  <c r="S735" i="10"/>
  <c r="S736" i="10"/>
  <c r="S737" i="10"/>
  <c r="S738" i="10"/>
  <c r="S739" i="10"/>
  <c r="S740" i="10"/>
  <c r="S741" i="10"/>
  <c r="S742" i="10"/>
  <c r="S743" i="10"/>
  <c r="S744" i="10"/>
  <c r="S745" i="10"/>
  <c r="S746" i="10"/>
  <c r="S747" i="10"/>
  <c r="S748" i="10"/>
  <c r="S749" i="10"/>
  <c r="S750" i="10"/>
  <c r="S751" i="10"/>
  <c r="S752" i="10"/>
  <c r="S753" i="10"/>
  <c r="S754" i="10"/>
  <c r="S755" i="10"/>
  <c r="S756" i="10"/>
  <c r="S757" i="10"/>
  <c r="S758" i="10"/>
  <c r="S759" i="10"/>
  <c r="S760" i="10"/>
  <c r="S761" i="10"/>
  <c r="S762" i="10"/>
  <c r="S763" i="10"/>
  <c r="S764" i="10"/>
  <c r="S765" i="10"/>
  <c r="S766" i="10"/>
  <c r="S767" i="10"/>
  <c r="S768" i="10"/>
  <c r="S769" i="10"/>
  <c r="S770" i="10"/>
  <c r="S771" i="10"/>
  <c r="S772" i="10"/>
  <c r="S773" i="10"/>
  <c r="S774" i="10"/>
  <c r="S775" i="10"/>
  <c r="S776" i="10"/>
  <c r="S777" i="10"/>
  <c r="S778" i="10"/>
  <c r="S779" i="10"/>
  <c r="S780" i="10"/>
  <c r="S781" i="10"/>
  <c r="S782" i="10"/>
  <c r="S783" i="10"/>
  <c r="S784" i="10"/>
  <c r="S785" i="10"/>
  <c r="S786" i="10"/>
  <c r="S787" i="10"/>
  <c r="S788" i="10"/>
  <c r="S789" i="10"/>
  <c r="S790" i="10"/>
  <c r="S791" i="10"/>
  <c r="S792" i="10"/>
  <c r="S793" i="10"/>
  <c r="S794" i="10"/>
  <c r="S795" i="10"/>
  <c r="S796" i="10"/>
  <c r="S797" i="10"/>
  <c r="S798" i="10"/>
  <c r="S799" i="10"/>
  <c r="S800" i="10"/>
  <c r="S801" i="10"/>
  <c r="S802" i="10"/>
  <c r="S803" i="10"/>
  <c r="S804" i="10"/>
  <c r="S805" i="10"/>
  <c r="S806" i="10"/>
  <c r="S807" i="10"/>
  <c r="S808" i="10"/>
  <c r="S809" i="10"/>
  <c r="S810" i="10"/>
  <c r="S811" i="10"/>
  <c r="S812" i="10"/>
  <c r="S813" i="10"/>
  <c r="S814" i="10"/>
  <c r="S815" i="10"/>
  <c r="S816" i="10"/>
  <c r="S817" i="10"/>
  <c r="S818" i="10"/>
  <c r="S819" i="10"/>
  <c r="S820" i="10"/>
  <c r="S821" i="10"/>
  <c r="S822" i="10"/>
  <c r="S823" i="10"/>
  <c r="S824" i="10"/>
  <c r="S825" i="10"/>
  <c r="S826" i="10"/>
  <c r="S827" i="10"/>
  <c r="S828" i="10"/>
  <c r="S829" i="10"/>
  <c r="S830" i="10"/>
  <c r="S831" i="10"/>
  <c r="S832" i="10"/>
  <c r="S833" i="10"/>
  <c r="S834" i="10"/>
  <c r="S835" i="10"/>
  <c r="S836" i="10"/>
  <c r="S837" i="10"/>
  <c r="S838" i="10"/>
  <c r="S839" i="10"/>
  <c r="S840" i="10"/>
  <c r="S841" i="10"/>
  <c r="S842" i="10"/>
  <c r="S843" i="10"/>
  <c r="S844" i="10"/>
  <c r="S845" i="10"/>
  <c r="S846" i="10"/>
  <c r="S847" i="10"/>
  <c r="S848" i="10"/>
  <c r="S849" i="10"/>
  <c r="S850" i="10"/>
  <c r="S851" i="10"/>
  <c r="S852" i="10"/>
  <c r="S853" i="10"/>
  <c r="S854" i="10"/>
  <c r="S855" i="10"/>
  <c r="S856" i="10"/>
  <c r="S857" i="10"/>
  <c r="S858" i="10"/>
  <c r="S859" i="10"/>
  <c r="S860" i="10"/>
  <c r="S861" i="10"/>
  <c r="S862" i="10"/>
  <c r="S863" i="10"/>
  <c r="S864" i="10"/>
  <c r="S865" i="10"/>
  <c r="S866" i="10"/>
  <c r="S867" i="10"/>
  <c r="S868" i="10"/>
  <c r="S869" i="10"/>
  <c r="S870" i="10"/>
  <c r="S871" i="10"/>
  <c r="S872" i="10"/>
  <c r="S873" i="10"/>
  <c r="S874" i="10"/>
  <c r="S875" i="10"/>
  <c r="S876" i="10"/>
  <c r="S877" i="10"/>
  <c r="S878" i="10"/>
  <c r="S879" i="10"/>
  <c r="S880" i="10"/>
  <c r="S881" i="10"/>
  <c r="S882" i="10"/>
  <c r="S883" i="10"/>
  <c r="S884" i="10"/>
  <c r="S885" i="10"/>
  <c r="S886" i="10"/>
  <c r="S887" i="10"/>
  <c r="S888" i="10"/>
  <c r="S889" i="10"/>
  <c r="S890" i="10"/>
  <c r="S891" i="10"/>
  <c r="S892" i="10"/>
  <c r="S893" i="10"/>
  <c r="S894" i="10"/>
  <c r="S895" i="10"/>
  <c r="S896" i="10"/>
  <c r="S897" i="10"/>
  <c r="S898" i="10"/>
  <c r="S899" i="10"/>
  <c r="S900" i="10"/>
  <c r="S901" i="10"/>
  <c r="S902" i="10"/>
  <c r="S903" i="10"/>
  <c r="S904" i="10"/>
  <c r="S905" i="10"/>
  <c r="S906" i="10"/>
  <c r="S907" i="10"/>
  <c r="S908" i="10"/>
  <c r="S909" i="10"/>
  <c r="S910" i="10"/>
  <c r="S911" i="10"/>
  <c r="S912" i="10"/>
  <c r="S913" i="10"/>
  <c r="S914" i="10"/>
  <c r="S915" i="10"/>
  <c r="S916" i="10"/>
  <c r="S917" i="10"/>
  <c r="S918" i="10"/>
  <c r="S919" i="10"/>
  <c r="S920" i="10"/>
  <c r="S921" i="10"/>
  <c r="S922" i="10"/>
  <c r="S923" i="10"/>
  <c r="S924" i="10"/>
  <c r="S925" i="10"/>
  <c r="S926" i="10"/>
  <c r="S927" i="10"/>
  <c r="S928" i="10"/>
  <c r="S929" i="10"/>
  <c r="S930" i="10"/>
  <c r="S931" i="10"/>
  <c r="S932" i="10"/>
  <c r="S933" i="10"/>
  <c r="S934" i="10"/>
  <c r="S935" i="10"/>
  <c r="S936" i="10"/>
  <c r="S937" i="10"/>
  <c r="S938" i="10"/>
  <c r="S939" i="10"/>
  <c r="S940" i="10"/>
  <c r="S941" i="10"/>
  <c r="S942" i="10"/>
  <c r="S943" i="10"/>
  <c r="S944" i="10"/>
  <c r="S945" i="10"/>
  <c r="S946" i="10"/>
  <c r="S947" i="10"/>
  <c r="S948" i="10"/>
  <c r="S949" i="10"/>
  <c r="S950" i="10"/>
  <c r="S951" i="10"/>
  <c r="S952" i="10"/>
  <c r="S953" i="10"/>
  <c r="S954" i="10"/>
  <c r="S955" i="10"/>
  <c r="S956" i="10"/>
  <c r="S957" i="10"/>
  <c r="S958" i="10"/>
  <c r="S959" i="10"/>
  <c r="S960" i="10"/>
  <c r="S961" i="10"/>
  <c r="S962" i="10"/>
  <c r="S963" i="10"/>
  <c r="S964" i="10"/>
  <c r="S965" i="10"/>
  <c r="S966" i="10"/>
  <c r="S967" i="10"/>
  <c r="S968" i="10"/>
  <c r="S969" i="10"/>
  <c r="S970" i="10"/>
  <c r="S971" i="10"/>
  <c r="S972" i="10"/>
  <c r="S973" i="10"/>
  <c r="S974" i="10"/>
  <c r="S975" i="10"/>
  <c r="S976" i="10"/>
  <c r="S977" i="10"/>
  <c r="S978" i="10"/>
  <c r="S979" i="10"/>
  <c r="S980" i="10"/>
  <c r="S981" i="10"/>
  <c r="S982" i="10"/>
  <c r="S983" i="10"/>
  <c r="S984" i="10"/>
  <c r="S985" i="10"/>
  <c r="S986" i="10"/>
  <c r="S987" i="10"/>
  <c r="S988" i="10"/>
  <c r="S989" i="10"/>
  <c r="S990" i="10"/>
  <c r="S991" i="10"/>
  <c r="S992" i="10"/>
  <c r="S993" i="10"/>
  <c r="S994" i="10"/>
  <c r="S995" i="10"/>
  <c r="S996" i="10"/>
  <c r="S997" i="10"/>
  <c r="S998" i="10"/>
  <c r="S999" i="10"/>
  <c r="S1000" i="10"/>
  <c r="S1001" i="10"/>
  <c r="S1002" i="10"/>
  <c r="S1003" i="10"/>
  <c r="S1004" i="10"/>
  <c r="S1005" i="10"/>
  <c r="S1006" i="10"/>
  <c r="S1007" i="10"/>
  <c r="S1008" i="10"/>
  <c r="S1009" i="10"/>
  <c r="S1010" i="10"/>
  <c r="S1011" i="10"/>
  <c r="S1012" i="10"/>
  <c r="S1013" i="10"/>
  <c r="S1014" i="10"/>
  <c r="S1015" i="10"/>
  <c r="S1016" i="10"/>
  <c r="S1017" i="10"/>
  <c r="S1018" i="10"/>
  <c r="S1019" i="10"/>
  <c r="S1020" i="10"/>
  <c r="S1021" i="10"/>
  <c r="S1022" i="10"/>
  <c r="S1023" i="10"/>
  <c r="S1024" i="10"/>
  <c r="S1025" i="10"/>
  <c r="S1026" i="10"/>
  <c r="S1027" i="10"/>
  <c r="S1028" i="10"/>
  <c r="S1029" i="10"/>
  <c r="S1030" i="10"/>
  <c r="S1031" i="10"/>
  <c r="S1032" i="10"/>
  <c r="S10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7"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203" i="10"/>
  <c r="R204" i="10"/>
  <c r="R205" i="10"/>
  <c r="R206" i="10"/>
  <c r="R207" i="10"/>
  <c r="R208" i="10"/>
  <c r="R209" i="10"/>
  <c r="R210" i="10"/>
  <c r="R211" i="10"/>
  <c r="R212" i="10"/>
  <c r="R213" i="10"/>
  <c r="R214" i="10"/>
  <c r="R215" i="10"/>
  <c r="R216" i="10"/>
  <c r="R217" i="10"/>
  <c r="R218" i="10"/>
  <c r="R219" i="10"/>
  <c r="R220" i="10"/>
  <c r="R221" i="10"/>
  <c r="R222" i="10"/>
  <c r="R223" i="10"/>
  <c r="R224" i="10"/>
  <c r="R225" i="10"/>
  <c r="R226" i="10"/>
  <c r="R227" i="10"/>
  <c r="R228" i="10"/>
  <c r="R229" i="10"/>
  <c r="R230" i="10"/>
  <c r="R231" i="10"/>
  <c r="R232" i="10"/>
  <c r="R233" i="10"/>
  <c r="R234" i="10"/>
  <c r="R235" i="10"/>
  <c r="R236" i="10"/>
  <c r="R237" i="10"/>
  <c r="R238" i="10"/>
  <c r="R239" i="10"/>
  <c r="R240" i="10"/>
  <c r="R241" i="10"/>
  <c r="R242" i="10"/>
  <c r="R243" i="10"/>
  <c r="R244" i="10"/>
  <c r="R245" i="10"/>
  <c r="R246" i="10"/>
  <c r="R247" i="10"/>
  <c r="R248" i="10"/>
  <c r="R249" i="10"/>
  <c r="R250" i="10"/>
  <c r="R251" i="10"/>
  <c r="R252" i="10"/>
  <c r="R253" i="10"/>
  <c r="R254" i="10"/>
  <c r="R255" i="10"/>
  <c r="R256" i="10"/>
  <c r="R257" i="10"/>
  <c r="R258" i="10"/>
  <c r="R259" i="10"/>
  <c r="R260" i="10"/>
  <c r="R261" i="10"/>
  <c r="R262" i="10"/>
  <c r="R263" i="10"/>
  <c r="R264" i="10"/>
  <c r="R265" i="10"/>
  <c r="R266" i="10"/>
  <c r="R267" i="10"/>
  <c r="R268" i="10"/>
  <c r="R269" i="10"/>
  <c r="R270" i="10"/>
  <c r="R271" i="10"/>
  <c r="R272" i="10"/>
  <c r="R273" i="10"/>
  <c r="R274" i="10"/>
  <c r="R275" i="10"/>
  <c r="R276" i="10"/>
  <c r="R277" i="10"/>
  <c r="R278" i="10"/>
  <c r="R279" i="10"/>
  <c r="R280" i="10"/>
  <c r="R281" i="10"/>
  <c r="R282" i="10"/>
  <c r="R283" i="10"/>
  <c r="R284" i="10"/>
  <c r="R285" i="10"/>
  <c r="R286" i="10"/>
  <c r="R287" i="10"/>
  <c r="R288" i="10"/>
  <c r="R289" i="10"/>
  <c r="R290" i="10"/>
  <c r="R291" i="10"/>
  <c r="R292" i="10"/>
  <c r="R293" i="10"/>
  <c r="R294" i="10"/>
  <c r="R295" i="10"/>
  <c r="R296" i="10"/>
  <c r="R297" i="10"/>
  <c r="R298" i="10"/>
  <c r="R299" i="10"/>
  <c r="R300" i="10"/>
  <c r="R301" i="10"/>
  <c r="R302" i="10"/>
  <c r="R303" i="10"/>
  <c r="R304" i="10"/>
  <c r="R305" i="10"/>
  <c r="R306" i="10"/>
  <c r="R307" i="10"/>
  <c r="R308" i="10"/>
  <c r="R309" i="10"/>
  <c r="R310" i="10"/>
  <c r="R311" i="10"/>
  <c r="R312" i="10"/>
  <c r="R313" i="10"/>
  <c r="R314" i="10"/>
  <c r="R315" i="10"/>
  <c r="R316" i="10"/>
  <c r="R317" i="10"/>
  <c r="R318" i="10"/>
  <c r="R319" i="10"/>
  <c r="R320" i="10"/>
  <c r="R321" i="10"/>
  <c r="R322" i="10"/>
  <c r="R323" i="10"/>
  <c r="R324" i="10"/>
  <c r="R325" i="10"/>
  <c r="R326" i="10"/>
  <c r="R327" i="10"/>
  <c r="R328" i="10"/>
  <c r="R329" i="10"/>
  <c r="R330" i="10"/>
  <c r="R331" i="10"/>
  <c r="R332" i="10"/>
  <c r="R333" i="10"/>
  <c r="R334" i="10"/>
  <c r="R335" i="10"/>
  <c r="R336" i="10"/>
  <c r="R337" i="10"/>
  <c r="R338" i="10"/>
  <c r="R339" i="10"/>
  <c r="R340" i="10"/>
  <c r="R341" i="10"/>
  <c r="R342" i="10"/>
  <c r="R343" i="10"/>
  <c r="R344" i="10"/>
  <c r="R345" i="10"/>
  <c r="R346" i="10"/>
  <c r="R347" i="10"/>
  <c r="R348" i="10"/>
  <c r="R349" i="10"/>
  <c r="R350" i="10"/>
  <c r="R351" i="10"/>
  <c r="R352" i="10"/>
  <c r="R353" i="10"/>
  <c r="R354" i="10"/>
  <c r="R355" i="10"/>
  <c r="R356" i="10"/>
  <c r="R357" i="10"/>
  <c r="R358" i="10"/>
  <c r="R359" i="10"/>
  <c r="R360" i="10"/>
  <c r="R361" i="10"/>
  <c r="R362" i="10"/>
  <c r="R363" i="10"/>
  <c r="R364" i="10"/>
  <c r="R365" i="10"/>
  <c r="R366" i="10"/>
  <c r="R367" i="10"/>
  <c r="R368" i="10"/>
  <c r="R369" i="10"/>
  <c r="R370" i="10"/>
  <c r="R371" i="10"/>
  <c r="R372" i="10"/>
  <c r="R373" i="10"/>
  <c r="R374" i="10"/>
  <c r="R375" i="10"/>
  <c r="R376" i="10"/>
  <c r="R377" i="10"/>
  <c r="R378" i="10"/>
  <c r="R379" i="10"/>
  <c r="R380" i="10"/>
  <c r="R381" i="10"/>
  <c r="R382" i="10"/>
  <c r="R383" i="10"/>
  <c r="R384" i="10"/>
  <c r="R385" i="10"/>
  <c r="R386" i="10"/>
  <c r="R387" i="10"/>
  <c r="R388" i="10"/>
  <c r="R389" i="10"/>
  <c r="R390" i="10"/>
  <c r="R391" i="10"/>
  <c r="R392" i="10"/>
  <c r="R393" i="10"/>
  <c r="R394" i="10"/>
  <c r="R395" i="10"/>
  <c r="R396" i="10"/>
  <c r="R397" i="10"/>
  <c r="R398" i="10"/>
  <c r="R399" i="10"/>
  <c r="R400" i="10"/>
  <c r="R401" i="10"/>
  <c r="R402" i="10"/>
  <c r="R403" i="10"/>
  <c r="R404" i="10"/>
  <c r="R405" i="10"/>
  <c r="R406" i="10"/>
  <c r="R407" i="10"/>
  <c r="R408" i="10"/>
  <c r="R409" i="10"/>
  <c r="R410" i="10"/>
  <c r="R411" i="10"/>
  <c r="R412" i="10"/>
  <c r="R413" i="10"/>
  <c r="R414" i="10"/>
  <c r="R415" i="10"/>
  <c r="R416" i="10"/>
  <c r="R417" i="10"/>
  <c r="R418" i="10"/>
  <c r="R419" i="10"/>
  <c r="R420" i="10"/>
  <c r="R421" i="10"/>
  <c r="R422" i="10"/>
  <c r="R423" i="10"/>
  <c r="R424" i="10"/>
  <c r="R425" i="10"/>
  <c r="R426" i="10"/>
  <c r="R427" i="10"/>
  <c r="R428" i="10"/>
  <c r="R429" i="10"/>
  <c r="R430" i="10"/>
  <c r="R431" i="10"/>
  <c r="R432" i="10"/>
  <c r="R433" i="10"/>
  <c r="R434" i="10"/>
  <c r="R435" i="10"/>
  <c r="R436" i="10"/>
  <c r="R437" i="10"/>
  <c r="R438" i="10"/>
  <c r="R439" i="10"/>
  <c r="R440" i="10"/>
  <c r="R441" i="10"/>
  <c r="R442" i="10"/>
  <c r="R443" i="10"/>
  <c r="R444" i="10"/>
  <c r="R445" i="10"/>
  <c r="R446" i="10"/>
  <c r="R447" i="10"/>
  <c r="R448" i="10"/>
  <c r="R449" i="10"/>
  <c r="R450" i="10"/>
  <c r="R451" i="10"/>
  <c r="R452" i="10"/>
  <c r="R453" i="10"/>
  <c r="R454" i="10"/>
  <c r="R455" i="10"/>
  <c r="R456" i="10"/>
  <c r="R457" i="10"/>
  <c r="R458" i="10"/>
  <c r="R459" i="10"/>
  <c r="R460" i="10"/>
  <c r="R461" i="10"/>
  <c r="R462" i="10"/>
  <c r="R463" i="10"/>
  <c r="R464" i="10"/>
  <c r="R465" i="10"/>
  <c r="R466" i="10"/>
  <c r="R467" i="10"/>
  <c r="R468" i="10"/>
  <c r="R469" i="10"/>
  <c r="R470" i="10"/>
  <c r="R471" i="10"/>
  <c r="R472" i="10"/>
  <c r="R473" i="10"/>
  <c r="R474" i="10"/>
  <c r="R475" i="10"/>
  <c r="R476" i="10"/>
  <c r="R477" i="10"/>
  <c r="R478" i="10"/>
  <c r="R479" i="10"/>
  <c r="R480" i="10"/>
  <c r="R481" i="10"/>
  <c r="R482" i="10"/>
  <c r="R483" i="10"/>
  <c r="R484" i="10"/>
  <c r="R485" i="10"/>
  <c r="R486" i="10"/>
  <c r="R487" i="10"/>
  <c r="R488" i="10"/>
  <c r="R489" i="10"/>
  <c r="R490" i="10"/>
  <c r="R491" i="10"/>
  <c r="R492" i="10"/>
  <c r="R493" i="10"/>
  <c r="R494" i="10"/>
  <c r="R495" i="10"/>
  <c r="R496" i="10"/>
  <c r="R497" i="10"/>
  <c r="R498" i="10"/>
  <c r="R499" i="10"/>
  <c r="R500" i="10"/>
  <c r="R501" i="10"/>
  <c r="R502" i="10"/>
  <c r="R503" i="10"/>
  <c r="R504" i="10"/>
  <c r="R505" i="10"/>
  <c r="R506" i="10"/>
  <c r="R507" i="10"/>
  <c r="R508" i="10"/>
  <c r="R509" i="10"/>
  <c r="R510" i="10"/>
  <c r="R511" i="10"/>
  <c r="R512" i="10"/>
  <c r="R513" i="10"/>
  <c r="R514" i="10"/>
  <c r="R515" i="10"/>
  <c r="R516" i="10"/>
  <c r="R517" i="10"/>
  <c r="R518" i="10"/>
  <c r="R519" i="10"/>
  <c r="R520" i="10"/>
  <c r="R521" i="10"/>
  <c r="R522" i="10"/>
  <c r="R523" i="10"/>
  <c r="R524" i="10"/>
  <c r="R525" i="10"/>
  <c r="R526" i="10"/>
  <c r="R527" i="10"/>
  <c r="R528" i="10"/>
  <c r="R529" i="10"/>
  <c r="R530" i="10"/>
  <c r="R531" i="10"/>
  <c r="R532" i="10"/>
  <c r="R533" i="10"/>
  <c r="R534" i="10"/>
  <c r="R535" i="10"/>
  <c r="R536" i="10"/>
  <c r="R537" i="10"/>
  <c r="R538" i="10"/>
  <c r="R539" i="10"/>
  <c r="R540" i="10"/>
  <c r="R541" i="10"/>
  <c r="R542" i="10"/>
  <c r="R543" i="10"/>
  <c r="R544" i="10"/>
  <c r="R545" i="10"/>
  <c r="R546" i="10"/>
  <c r="R547" i="10"/>
  <c r="R548" i="10"/>
  <c r="R549" i="10"/>
  <c r="R550" i="10"/>
  <c r="R551" i="10"/>
  <c r="R552" i="10"/>
  <c r="R553" i="10"/>
  <c r="R554" i="10"/>
  <c r="R555" i="10"/>
  <c r="R556" i="10"/>
  <c r="R557" i="10"/>
  <c r="R558" i="10"/>
  <c r="R559" i="10"/>
  <c r="R560" i="10"/>
  <c r="R561" i="10"/>
  <c r="R562" i="10"/>
  <c r="R563" i="10"/>
  <c r="R564" i="10"/>
  <c r="R565" i="10"/>
  <c r="R566" i="10"/>
  <c r="R567" i="10"/>
  <c r="R568" i="10"/>
  <c r="R569" i="10"/>
  <c r="R570" i="10"/>
  <c r="R571" i="10"/>
  <c r="R572" i="10"/>
  <c r="R573" i="10"/>
  <c r="R574" i="10"/>
  <c r="R575" i="10"/>
  <c r="R576" i="10"/>
  <c r="R577" i="10"/>
  <c r="R578" i="10"/>
  <c r="R579" i="10"/>
  <c r="R580" i="10"/>
  <c r="R581" i="10"/>
  <c r="R582" i="10"/>
  <c r="R583" i="10"/>
  <c r="R584" i="10"/>
  <c r="R585" i="10"/>
  <c r="R586" i="10"/>
  <c r="R587" i="10"/>
  <c r="R588" i="10"/>
  <c r="R589" i="10"/>
  <c r="R590" i="10"/>
  <c r="R591" i="10"/>
  <c r="R592" i="10"/>
  <c r="R593" i="10"/>
  <c r="R594" i="10"/>
  <c r="R595" i="10"/>
  <c r="R596" i="10"/>
  <c r="R597" i="10"/>
  <c r="R598" i="10"/>
  <c r="R599" i="10"/>
  <c r="R600" i="10"/>
  <c r="R601" i="10"/>
  <c r="R602" i="10"/>
  <c r="R603" i="10"/>
  <c r="R604" i="10"/>
  <c r="R605" i="10"/>
  <c r="R606" i="10"/>
  <c r="R607" i="10"/>
  <c r="R608" i="10"/>
  <c r="R609" i="10"/>
  <c r="R610" i="10"/>
  <c r="R611" i="10"/>
  <c r="R612" i="10"/>
  <c r="R613" i="10"/>
  <c r="R614" i="10"/>
  <c r="R615" i="10"/>
  <c r="R616" i="10"/>
  <c r="R617" i="10"/>
  <c r="R618" i="10"/>
  <c r="R619" i="10"/>
  <c r="R620" i="10"/>
  <c r="R621" i="10"/>
  <c r="R622" i="10"/>
  <c r="R623" i="10"/>
  <c r="R624" i="10"/>
  <c r="R625" i="10"/>
  <c r="R626" i="10"/>
  <c r="R627" i="10"/>
  <c r="R628" i="10"/>
  <c r="R629" i="10"/>
  <c r="R630" i="10"/>
  <c r="R631" i="10"/>
  <c r="R632" i="10"/>
  <c r="R633" i="10"/>
  <c r="R634" i="10"/>
  <c r="R635" i="10"/>
  <c r="R636" i="10"/>
  <c r="R637" i="10"/>
  <c r="R638" i="10"/>
  <c r="R639" i="10"/>
  <c r="R640" i="10"/>
  <c r="R641" i="10"/>
  <c r="R642" i="10"/>
  <c r="R643" i="10"/>
  <c r="R644" i="10"/>
  <c r="R645" i="10"/>
  <c r="R646" i="10"/>
  <c r="R647" i="10"/>
  <c r="R648" i="10"/>
  <c r="R649" i="10"/>
  <c r="R650" i="10"/>
  <c r="R651" i="10"/>
  <c r="R652" i="10"/>
  <c r="R653" i="10"/>
  <c r="R654" i="10"/>
  <c r="R655" i="10"/>
  <c r="R656" i="10"/>
  <c r="R657" i="10"/>
  <c r="R658" i="10"/>
  <c r="R659" i="10"/>
  <c r="R660" i="10"/>
  <c r="R661" i="10"/>
  <c r="R662" i="10"/>
  <c r="R663" i="10"/>
  <c r="R664" i="10"/>
  <c r="R665" i="10"/>
  <c r="R666" i="10"/>
  <c r="R667" i="10"/>
  <c r="R668" i="10"/>
  <c r="R669" i="10"/>
  <c r="R670" i="10"/>
  <c r="R671" i="10"/>
  <c r="R672" i="10"/>
  <c r="R673" i="10"/>
  <c r="R674" i="10"/>
  <c r="R675" i="10"/>
  <c r="R676" i="10"/>
  <c r="R677" i="10"/>
  <c r="R678" i="10"/>
  <c r="R679" i="10"/>
  <c r="R680" i="10"/>
  <c r="R681" i="10"/>
  <c r="R682" i="10"/>
  <c r="R683" i="10"/>
  <c r="R684" i="10"/>
  <c r="R685" i="10"/>
  <c r="R686" i="10"/>
  <c r="R687" i="10"/>
  <c r="R688" i="10"/>
  <c r="R689" i="10"/>
  <c r="R690" i="10"/>
  <c r="R691" i="10"/>
  <c r="R692" i="10"/>
  <c r="R693" i="10"/>
  <c r="R694" i="10"/>
  <c r="R695" i="10"/>
  <c r="R696" i="10"/>
  <c r="R697" i="10"/>
  <c r="R698" i="10"/>
  <c r="R699" i="10"/>
  <c r="R700" i="10"/>
  <c r="R701" i="10"/>
  <c r="R702" i="10"/>
  <c r="R703" i="10"/>
  <c r="R704" i="10"/>
  <c r="R705" i="10"/>
  <c r="R706" i="10"/>
  <c r="R707" i="10"/>
  <c r="R708" i="10"/>
  <c r="R709" i="10"/>
  <c r="R710" i="10"/>
  <c r="R711" i="10"/>
  <c r="R712" i="10"/>
  <c r="R713" i="10"/>
  <c r="R714" i="10"/>
  <c r="R715" i="10"/>
  <c r="R716" i="10"/>
  <c r="R717" i="10"/>
  <c r="R718" i="10"/>
  <c r="R719" i="10"/>
  <c r="R720" i="10"/>
  <c r="R721" i="10"/>
  <c r="R722" i="10"/>
  <c r="R723" i="10"/>
  <c r="R724" i="10"/>
  <c r="R725" i="10"/>
  <c r="R726" i="10"/>
  <c r="R727" i="10"/>
  <c r="R728" i="10"/>
  <c r="R729" i="10"/>
  <c r="R730" i="10"/>
  <c r="R731" i="10"/>
  <c r="R732" i="10"/>
  <c r="R733" i="10"/>
  <c r="R734" i="10"/>
  <c r="R735" i="10"/>
  <c r="R736" i="10"/>
  <c r="R737" i="10"/>
  <c r="R738" i="10"/>
  <c r="R739" i="10"/>
  <c r="R740" i="10"/>
  <c r="R741" i="10"/>
  <c r="R742" i="10"/>
  <c r="R743" i="10"/>
  <c r="R744" i="10"/>
  <c r="R745" i="10"/>
  <c r="R746" i="10"/>
  <c r="R747" i="10"/>
  <c r="R748" i="10"/>
  <c r="R749" i="10"/>
  <c r="R750" i="10"/>
  <c r="R751" i="10"/>
  <c r="R752" i="10"/>
  <c r="R753" i="10"/>
  <c r="R754" i="10"/>
  <c r="R755" i="10"/>
  <c r="R756" i="10"/>
  <c r="R757" i="10"/>
  <c r="R758" i="10"/>
  <c r="R759" i="10"/>
  <c r="R760" i="10"/>
  <c r="R761" i="10"/>
  <c r="R762" i="10"/>
  <c r="R763" i="10"/>
  <c r="R764" i="10"/>
  <c r="R765" i="10"/>
  <c r="R766" i="10"/>
  <c r="R767" i="10"/>
  <c r="R768" i="10"/>
  <c r="R769" i="10"/>
  <c r="R770" i="10"/>
  <c r="R771" i="10"/>
  <c r="R772" i="10"/>
  <c r="R773" i="10"/>
  <c r="R774" i="10"/>
  <c r="R775" i="10"/>
  <c r="R776" i="10"/>
  <c r="R777" i="10"/>
  <c r="R778" i="10"/>
  <c r="R779" i="10"/>
  <c r="R780" i="10"/>
  <c r="R781" i="10"/>
  <c r="R782" i="10"/>
  <c r="R783" i="10"/>
  <c r="R784" i="10"/>
  <c r="R785" i="10"/>
  <c r="R786" i="10"/>
  <c r="R787" i="10"/>
  <c r="R788" i="10"/>
  <c r="R789" i="10"/>
  <c r="R790" i="10"/>
  <c r="R791" i="10"/>
  <c r="R792" i="10"/>
  <c r="R793" i="10"/>
  <c r="R794" i="10"/>
  <c r="R795" i="10"/>
  <c r="R796" i="10"/>
  <c r="R797" i="10"/>
  <c r="R798" i="10"/>
  <c r="R799" i="10"/>
  <c r="R800" i="10"/>
  <c r="R801" i="10"/>
  <c r="R802" i="10"/>
  <c r="R803" i="10"/>
  <c r="R804" i="10"/>
  <c r="R805" i="10"/>
  <c r="R806" i="10"/>
  <c r="R807" i="10"/>
  <c r="R808" i="10"/>
  <c r="R809" i="10"/>
  <c r="R810" i="10"/>
  <c r="R811" i="10"/>
  <c r="R812" i="10"/>
  <c r="R813" i="10"/>
  <c r="R814" i="10"/>
  <c r="R815" i="10"/>
  <c r="R816" i="10"/>
  <c r="R817" i="10"/>
  <c r="R818" i="10"/>
  <c r="R819" i="10"/>
  <c r="R820" i="10"/>
  <c r="R821" i="10"/>
  <c r="R822" i="10"/>
  <c r="R823" i="10"/>
  <c r="R824" i="10"/>
  <c r="R825" i="10"/>
  <c r="R826" i="10"/>
  <c r="R827" i="10"/>
  <c r="R828" i="10"/>
  <c r="R829" i="10"/>
  <c r="R830" i="10"/>
  <c r="R831" i="10"/>
  <c r="R832" i="10"/>
  <c r="R833" i="10"/>
  <c r="R834" i="10"/>
  <c r="R835" i="10"/>
  <c r="R836" i="10"/>
  <c r="R837" i="10"/>
  <c r="R838" i="10"/>
  <c r="R839" i="10"/>
  <c r="R840" i="10"/>
  <c r="R841" i="10"/>
  <c r="R842" i="10"/>
  <c r="R843" i="10"/>
  <c r="R844" i="10"/>
  <c r="R845" i="10"/>
  <c r="R846" i="10"/>
  <c r="R847" i="10"/>
  <c r="R848" i="10"/>
  <c r="R849" i="10"/>
  <c r="R850" i="10"/>
  <c r="R851" i="10"/>
  <c r="R852" i="10"/>
  <c r="R853" i="10"/>
  <c r="R854" i="10"/>
  <c r="R855" i="10"/>
  <c r="R856" i="10"/>
  <c r="R857" i="10"/>
  <c r="R858" i="10"/>
  <c r="R859" i="10"/>
  <c r="R860" i="10"/>
  <c r="R861" i="10"/>
  <c r="R862" i="10"/>
  <c r="R863" i="10"/>
  <c r="R864" i="10"/>
  <c r="R865" i="10"/>
  <c r="R866" i="10"/>
  <c r="R867" i="10"/>
  <c r="R868" i="10"/>
  <c r="R869" i="10"/>
  <c r="R870" i="10"/>
  <c r="R871" i="10"/>
  <c r="R872" i="10"/>
  <c r="R873" i="10"/>
  <c r="R874" i="10"/>
  <c r="R875" i="10"/>
  <c r="R876" i="10"/>
  <c r="R877" i="10"/>
  <c r="R878" i="10"/>
  <c r="R879" i="10"/>
  <c r="R880" i="10"/>
  <c r="R881" i="10"/>
  <c r="R882" i="10"/>
  <c r="R883" i="10"/>
  <c r="R884" i="10"/>
  <c r="R885" i="10"/>
  <c r="R886" i="10"/>
  <c r="R887" i="10"/>
  <c r="R888" i="10"/>
  <c r="R889" i="10"/>
  <c r="R890" i="10"/>
  <c r="R891" i="10"/>
  <c r="R892" i="10"/>
  <c r="R893" i="10"/>
  <c r="R894" i="10"/>
  <c r="R895" i="10"/>
  <c r="R896" i="10"/>
  <c r="R897" i="10"/>
  <c r="R898" i="10"/>
  <c r="R899" i="10"/>
  <c r="R900" i="10"/>
  <c r="R901" i="10"/>
  <c r="R902" i="10"/>
  <c r="R903" i="10"/>
  <c r="R904" i="10"/>
  <c r="R905" i="10"/>
  <c r="R906" i="10"/>
  <c r="R907" i="10"/>
  <c r="R908" i="10"/>
  <c r="R909" i="10"/>
  <c r="R910" i="10"/>
  <c r="R911" i="10"/>
  <c r="R912" i="10"/>
  <c r="R913" i="10"/>
  <c r="R914" i="10"/>
  <c r="R915" i="10"/>
  <c r="R916" i="10"/>
  <c r="R917" i="10"/>
  <c r="R918" i="10"/>
  <c r="R919" i="10"/>
  <c r="R920" i="10"/>
  <c r="R921" i="10"/>
  <c r="R922" i="10"/>
  <c r="R923" i="10"/>
  <c r="R924" i="10"/>
  <c r="R925" i="10"/>
  <c r="R926" i="10"/>
  <c r="R927" i="10"/>
  <c r="R928" i="10"/>
  <c r="R929" i="10"/>
  <c r="R930" i="10"/>
  <c r="R931" i="10"/>
  <c r="R932" i="10"/>
  <c r="R933" i="10"/>
  <c r="R934" i="10"/>
  <c r="R935" i="10"/>
  <c r="R936" i="10"/>
  <c r="R937" i="10"/>
  <c r="R938" i="10"/>
  <c r="R939" i="10"/>
  <c r="R940" i="10"/>
  <c r="R941" i="10"/>
  <c r="R942" i="10"/>
  <c r="R943" i="10"/>
  <c r="R944" i="10"/>
  <c r="R945" i="10"/>
  <c r="R946" i="10"/>
  <c r="R947" i="10"/>
  <c r="R948" i="10"/>
  <c r="R949" i="10"/>
  <c r="R950" i="10"/>
  <c r="R951" i="10"/>
  <c r="R952" i="10"/>
  <c r="R953" i="10"/>
  <c r="R954" i="10"/>
  <c r="R955" i="10"/>
  <c r="R956" i="10"/>
  <c r="R957" i="10"/>
  <c r="R958" i="10"/>
  <c r="R959" i="10"/>
  <c r="R960" i="10"/>
  <c r="R961" i="10"/>
  <c r="R962" i="10"/>
  <c r="R963" i="10"/>
  <c r="R964" i="10"/>
  <c r="R965" i="10"/>
  <c r="R966" i="10"/>
  <c r="R967" i="10"/>
  <c r="R968" i="10"/>
  <c r="R969" i="10"/>
  <c r="R970" i="10"/>
  <c r="R971" i="10"/>
  <c r="R972" i="10"/>
  <c r="R973" i="10"/>
  <c r="R974" i="10"/>
  <c r="R975" i="10"/>
  <c r="R976" i="10"/>
  <c r="R977" i="10"/>
  <c r="R978" i="10"/>
  <c r="R979" i="10"/>
  <c r="R980" i="10"/>
  <c r="R981" i="10"/>
  <c r="R982" i="10"/>
  <c r="R983" i="10"/>
  <c r="R984" i="10"/>
  <c r="R985" i="10"/>
  <c r="R986" i="10"/>
  <c r="R987" i="10"/>
  <c r="R988" i="10"/>
  <c r="R989" i="10"/>
  <c r="R990" i="10"/>
  <c r="R991" i="10"/>
  <c r="R992" i="10"/>
  <c r="R993" i="10"/>
  <c r="R994" i="10"/>
  <c r="R995" i="10"/>
  <c r="R996" i="10"/>
  <c r="R997" i="10"/>
  <c r="R998" i="10"/>
  <c r="R999" i="10"/>
  <c r="R1000" i="10"/>
  <c r="R1001" i="10"/>
  <c r="R1002" i="10"/>
  <c r="R1003" i="10"/>
  <c r="R1004" i="10"/>
  <c r="R1005" i="10"/>
  <c r="R1006" i="10"/>
  <c r="R1007" i="10"/>
  <c r="R1008" i="10"/>
  <c r="R1009" i="10"/>
  <c r="R1010" i="10"/>
  <c r="R1011" i="10"/>
  <c r="R1012" i="10"/>
  <c r="R1013" i="10"/>
  <c r="R1014" i="10"/>
  <c r="R1015" i="10"/>
  <c r="R1016" i="10"/>
  <c r="R1017" i="10"/>
  <c r="R1018" i="10"/>
  <c r="R1019" i="10"/>
  <c r="R1020" i="10"/>
  <c r="R1021" i="10"/>
  <c r="R1022" i="10"/>
  <c r="R1023" i="10"/>
  <c r="R1024" i="10"/>
  <c r="R1025" i="10"/>
  <c r="R1026" i="10"/>
  <c r="R1027" i="10"/>
  <c r="R1028" i="10"/>
  <c r="R1029" i="10"/>
  <c r="R1030" i="10"/>
  <c r="R1031" i="10"/>
  <c r="R1032" i="10"/>
  <c r="R1033" i="10"/>
  <c r="I1033" i="10"/>
  <c r="G1033" i="10"/>
  <c r="E1033" i="10"/>
  <c r="D1033" i="10"/>
  <c r="I1032" i="10"/>
  <c r="G1032" i="10"/>
  <c r="E1032" i="10"/>
  <c r="D1032" i="10"/>
  <c r="I1031" i="10"/>
  <c r="G1031" i="10"/>
  <c r="E1031" i="10"/>
  <c r="D1031" i="10"/>
  <c r="I1030" i="10"/>
  <c r="G1030" i="10"/>
  <c r="E1030" i="10"/>
  <c r="D1030" i="10"/>
  <c r="I1029" i="10"/>
  <c r="G1029" i="10"/>
  <c r="E1029" i="10"/>
  <c r="D1029" i="10"/>
  <c r="I1028" i="10"/>
  <c r="G1028" i="10"/>
  <c r="E1028" i="10"/>
  <c r="D1028" i="10"/>
  <c r="I1027" i="10"/>
  <c r="G1027" i="10"/>
  <c r="E1027" i="10"/>
  <c r="D1027" i="10"/>
  <c r="I1026" i="10"/>
  <c r="G1026" i="10"/>
  <c r="E1026" i="10"/>
  <c r="D1026" i="10"/>
  <c r="I1025" i="10"/>
  <c r="G1025" i="10"/>
  <c r="E1025" i="10"/>
  <c r="D1025" i="10"/>
  <c r="I1024" i="10"/>
  <c r="G1024" i="10"/>
  <c r="E1024" i="10"/>
  <c r="D1024" i="10"/>
  <c r="I1023" i="10"/>
  <c r="G1023" i="10"/>
  <c r="E1023" i="10"/>
  <c r="D1023" i="10"/>
  <c r="I1022" i="10"/>
  <c r="G1022" i="10"/>
  <c r="E1022" i="10"/>
  <c r="D1022" i="10"/>
  <c r="I1021" i="10"/>
  <c r="G1021" i="10"/>
  <c r="E1021" i="10"/>
  <c r="D1021" i="10"/>
  <c r="I1020" i="10"/>
  <c r="G1020" i="10"/>
  <c r="E1020" i="10"/>
  <c r="D1020" i="10"/>
  <c r="I1019" i="10"/>
  <c r="G1019" i="10"/>
  <c r="E1019" i="10"/>
  <c r="D1019" i="10"/>
  <c r="I1018" i="10"/>
  <c r="G1018" i="10"/>
  <c r="E1018" i="10"/>
  <c r="D1018" i="10"/>
  <c r="I1017" i="10"/>
  <c r="G1017" i="10"/>
  <c r="E1017" i="10"/>
  <c r="D1017" i="10"/>
  <c r="I1016" i="10"/>
  <c r="G1016" i="10"/>
  <c r="E1016" i="10"/>
  <c r="D1016" i="10"/>
  <c r="I1015" i="10"/>
  <c r="G1015" i="10"/>
  <c r="E1015" i="10"/>
  <c r="D1015" i="10"/>
  <c r="I1014" i="10"/>
  <c r="G1014" i="10"/>
  <c r="E1014" i="10"/>
  <c r="D1014" i="10"/>
  <c r="I1013" i="10"/>
  <c r="G1013" i="10"/>
  <c r="E1013" i="10"/>
  <c r="D1013" i="10"/>
  <c r="I1012" i="10"/>
  <c r="G1012" i="10"/>
  <c r="E1012" i="10"/>
  <c r="D1012" i="10"/>
  <c r="I1011" i="10"/>
  <c r="G1011" i="10"/>
  <c r="E1011" i="10"/>
  <c r="D1011" i="10"/>
  <c r="I1010" i="10"/>
  <c r="G1010" i="10"/>
  <c r="E1010" i="10"/>
  <c r="D1010" i="10"/>
  <c r="I1009" i="10"/>
  <c r="G1009" i="10"/>
  <c r="E1009" i="10"/>
  <c r="D1009" i="10"/>
  <c r="I1008" i="10"/>
  <c r="G1008" i="10"/>
  <c r="E1008" i="10"/>
  <c r="D1008" i="10"/>
  <c r="I1007" i="10"/>
  <c r="G1007" i="10"/>
  <c r="E1007" i="10"/>
  <c r="D1007" i="10"/>
  <c r="I1006" i="10"/>
  <c r="G1006" i="10"/>
  <c r="E1006" i="10"/>
  <c r="D1006" i="10"/>
  <c r="I1005" i="10"/>
  <c r="G1005" i="10"/>
  <c r="E1005" i="10"/>
  <c r="D1005" i="10"/>
  <c r="I1004" i="10"/>
  <c r="G1004" i="10"/>
  <c r="E1004" i="10"/>
  <c r="D1004" i="10"/>
  <c r="I1003" i="10"/>
  <c r="G1003" i="10"/>
  <c r="E1003" i="10"/>
  <c r="D1003" i="10"/>
  <c r="I1002" i="10"/>
  <c r="G1002" i="10"/>
  <c r="E1002" i="10"/>
  <c r="D1002" i="10"/>
  <c r="I1001" i="10"/>
  <c r="G1001" i="10"/>
  <c r="E1001" i="10"/>
  <c r="D1001" i="10"/>
  <c r="I1000" i="10"/>
  <c r="G1000" i="10"/>
  <c r="E1000" i="10"/>
  <c r="D1000" i="10"/>
  <c r="I999" i="10"/>
  <c r="G999" i="10"/>
  <c r="E999" i="10"/>
  <c r="D999" i="10"/>
  <c r="I998" i="10"/>
  <c r="G998" i="10"/>
  <c r="E998" i="10"/>
  <c r="D998" i="10"/>
  <c r="I997" i="10"/>
  <c r="G997" i="10"/>
  <c r="E997" i="10"/>
  <c r="D997" i="10"/>
  <c r="I996" i="10"/>
  <c r="G996" i="10"/>
  <c r="E996" i="10"/>
  <c r="D996" i="10"/>
  <c r="I995" i="10"/>
  <c r="G995" i="10"/>
  <c r="E995" i="10"/>
  <c r="D995" i="10"/>
  <c r="I994" i="10"/>
  <c r="G994" i="10"/>
  <c r="E994" i="10"/>
  <c r="D994" i="10"/>
  <c r="I993" i="10"/>
  <c r="G993" i="10"/>
  <c r="E993" i="10"/>
  <c r="D993" i="10"/>
  <c r="I992" i="10"/>
  <c r="G992" i="10"/>
  <c r="E992" i="10"/>
  <c r="D992" i="10"/>
  <c r="I991" i="10"/>
  <c r="G991" i="10"/>
  <c r="E991" i="10"/>
  <c r="D991" i="10"/>
  <c r="I990" i="10"/>
  <c r="G990" i="10"/>
  <c r="E990" i="10"/>
  <c r="D990" i="10"/>
  <c r="I989" i="10"/>
  <c r="G989" i="10"/>
  <c r="E989" i="10"/>
  <c r="D989" i="10"/>
  <c r="I988" i="10"/>
  <c r="G988" i="10"/>
  <c r="E988" i="10"/>
  <c r="D988" i="10"/>
  <c r="I987" i="10"/>
  <c r="G987" i="10"/>
  <c r="E987" i="10"/>
  <c r="D987" i="10"/>
  <c r="I986" i="10"/>
  <c r="G986" i="10"/>
  <c r="E986" i="10"/>
  <c r="D986" i="10"/>
  <c r="I985" i="10"/>
  <c r="G985" i="10"/>
  <c r="E985" i="10"/>
  <c r="D985" i="10"/>
  <c r="I984" i="10"/>
  <c r="G984" i="10"/>
  <c r="E984" i="10"/>
  <c r="D984" i="10"/>
  <c r="I983" i="10"/>
  <c r="G983" i="10"/>
  <c r="E983" i="10"/>
  <c r="D983" i="10"/>
  <c r="I982" i="10"/>
  <c r="G982" i="10"/>
  <c r="E982" i="10"/>
  <c r="D982" i="10"/>
  <c r="I981" i="10"/>
  <c r="G981" i="10"/>
  <c r="E981" i="10"/>
  <c r="D981" i="10"/>
  <c r="I980" i="10"/>
  <c r="G980" i="10"/>
  <c r="E980" i="10"/>
  <c r="D980" i="10"/>
  <c r="I979" i="10"/>
  <c r="G979" i="10"/>
  <c r="E979" i="10"/>
  <c r="D979" i="10"/>
  <c r="I978" i="10"/>
  <c r="G978" i="10"/>
  <c r="E978" i="10"/>
  <c r="D978" i="10"/>
  <c r="I977" i="10"/>
  <c r="G977" i="10"/>
  <c r="E977" i="10"/>
  <c r="D977" i="10"/>
  <c r="I976" i="10"/>
  <c r="G976" i="10"/>
  <c r="E976" i="10"/>
  <c r="D976" i="10"/>
  <c r="I975" i="10"/>
  <c r="G975" i="10"/>
  <c r="E975" i="10"/>
  <c r="D975" i="10"/>
  <c r="I974" i="10"/>
  <c r="G974" i="10"/>
  <c r="E974" i="10"/>
  <c r="D974" i="10"/>
  <c r="I973" i="10"/>
  <c r="G973" i="10"/>
  <c r="E973" i="10"/>
  <c r="D973" i="10"/>
  <c r="I972" i="10"/>
  <c r="G972" i="10"/>
  <c r="E972" i="10"/>
  <c r="D972" i="10"/>
  <c r="I971" i="10"/>
  <c r="G971" i="10"/>
  <c r="E971" i="10"/>
  <c r="D971" i="10"/>
  <c r="I970" i="10"/>
  <c r="G970" i="10"/>
  <c r="E970" i="10"/>
  <c r="D970" i="10"/>
  <c r="I969" i="10"/>
  <c r="G969" i="10"/>
  <c r="E969" i="10"/>
  <c r="D969" i="10"/>
  <c r="I968" i="10"/>
  <c r="G968" i="10"/>
  <c r="E968" i="10"/>
  <c r="D968" i="10"/>
  <c r="I967" i="10"/>
  <c r="G967" i="10"/>
  <c r="E967" i="10"/>
  <c r="D967" i="10"/>
  <c r="I966" i="10"/>
  <c r="G966" i="10"/>
  <c r="E966" i="10"/>
  <c r="D966" i="10"/>
  <c r="I965" i="10"/>
  <c r="G965" i="10"/>
  <c r="E965" i="10"/>
  <c r="D965" i="10"/>
  <c r="I964" i="10"/>
  <c r="G964" i="10"/>
  <c r="E964" i="10"/>
  <c r="D964" i="10"/>
  <c r="I963" i="10"/>
  <c r="G963" i="10"/>
  <c r="E963" i="10"/>
  <c r="D963" i="10"/>
  <c r="I962" i="10"/>
  <c r="G962" i="10"/>
  <c r="E962" i="10"/>
  <c r="D962" i="10"/>
  <c r="I961" i="10"/>
  <c r="G961" i="10"/>
  <c r="E961" i="10"/>
  <c r="D961" i="10"/>
  <c r="I960" i="10"/>
  <c r="G960" i="10"/>
  <c r="E960" i="10"/>
  <c r="D960" i="10"/>
  <c r="I959" i="10"/>
  <c r="G959" i="10"/>
  <c r="E959" i="10"/>
  <c r="D959" i="10"/>
  <c r="I958" i="10"/>
  <c r="G958" i="10"/>
  <c r="E958" i="10"/>
  <c r="D958" i="10"/>
  <c r="I957" i="10"/>
  <c r="G957" i="10"/>
  <c r="E957" i="10"/>
  <c r="D957" i="10"/>
  <c r="I956" i="10"/>
  <c r="G956" i="10"/>
  <c r="E956" i="10"/>
  <c r="D956" i="10"/>
  <c r="I955" i="10"/>
  <c r="G955" i="10"/>
  <c r="E955" i="10"/>
  <c r="D955" i="10"/>
  <c r="I954" i="10"/>
  <c r="G954" i="10"/>
  <c r="E954" i="10"/>
  <c r="D954" i="10"/>
  <c r="I953" i="10"/>
  <c r="G953" i="10"/>
  <c r="E953" i="10"/>
  <c r="D953" i="10"/>
  <c r="I952" i="10"/>
  <c r="G952" i="10"/>
  <c r="E952" i="10"/>
  <c r="D952" i="10"/>
  <c r="I951" i="10"/>
  <c r="G951" i="10"/>
  <c r="E951" i="10"/>
  <c r="D951" i="10"/>
  <c r="I950" i="10"/>
  <c r="G950" i="10"/>
  <c r="E950" i="10"/>
  <c r="D950" i="10"/>
  <c r="I949" i="10"/>
  <c r="G949" i="10"/>
  <c r="E949" i="10"/>
  <c r="D949" i="10"/>
  <c r="I948" i="10"/>
  <c r="G948" i="10"/>
  <c r="E948" i="10"/>
  <c r="D948" i="10"/>
  <c r="I947" i="10"/>
  <c r="G947" i="10"/>
  <c r="E947" i="10"/>
  <c r="D947" i="10"/>
  <c r="I946" i="10"/>
  <c r="G946" i="10"/>
  <c r="E946" i="10"/>
  <c r="D946" i="10"/>
  <c r="I945" i="10"/>
  <c r="G945" i="10"/>
  <c r="E945" i="10"/>
  <c r="D945" i="10"/>
  <c r="I944" i="10"/>
  <c r="G944" i="10"/>
  <c r="E944" i="10"/>
  <c r="D944" i="10"/>
  <c r="I943" i="10"/>
  <c r="G943" i="10"/>
  <c r="E943" i="10"/>
  <c r="D943" i="10"/>
  <c r="I942" i="10"/>
  <c r="G942" i="10"/>
  <c r="E942" i="10"/>
  <c r="D942" i="10"/>
  <c r="I941" i="10"/>
  <c r="G941" i="10"/>
  <c r="E941" i="10"/>
  <c r="D941" i="10"/>
  <c r="I940" i="10"/>
  <c r="G940" i="10"/>
  <c r="E940" i="10"/>
  <c r="D940" i="10"/>
  <c r="I939" i="10"/>
  <c r="G939" i="10"/>
  <c r="E939" i="10"/>
  <c r="D939" i="10"/>
  <c r="I938" i="10"/>
  <c r="G938" i="10"/>
  <c r="E938" i="10"/>
  <c r="D938" i="10"/>
  <c r="I937" i="10"/>
  <c r="G937" i="10"/>
  <c r="E937" i="10"/>
  <c r="D937" i="10"/>
  <c r="I936" i="10"/>
  <c r="G936" i="10"/>
  <c r="E936" i="10"/>
  <c r="D936" i="10"/>
  <c r="I935" i="10"/>
  <c r="G935" i="10"/>
  <c r="E935" i="10"/>
  <c r="D935" i="10"/>
  <c r="I934" i="10"/>
  <c r="G934" i="10"/>
  <c r="E934" i="10"/>
  <c r="D934" i="10"/>
  <c r="I933" i="10"/>
  <c r="G933" i="10"/>
  <c r="E933" i="10"/>
  <c r="D933" i="10"/>
  <c r="I932" i="10"/>
  <c r="G932" i="10"/>
  <c r="E932" i="10"/>
  <c r="D932" i="10"/>
  <c r="I931" i="10"/>
  <c r="G931" i="10"/>
  <c r="E931" i="10"/>
  <c r="D931" i="10"/>
  <c r="I930" i="10"/>
  <c r="G930" i="10"/>
  <c r="E930" i="10"/>
  <c r="D930" i="10"/>
  <c r="I929" i="10"/>
  <c r="G929" i="10"/>
  <c r="E929" i="10"/>
  <c r="D929" i="10"/>
  <c r="I928" i="10"/>
  <c r="G928" i="10"/>
  <c r="E928" i="10"/>
  <c r="D928" i="10"/>
  <c r="I927" i="10"/>
  <c r="G927" i="10"/>
  <c r="E927" i="10"/>
  <c r="D927" i="10"/>
  <c r="I926" i="10"/>
  <c r="G926" i="10"/>
  <c r="E926" i="10"/>
  <c r="D926" i="10"/>
  <c r="I925" i="10"/>
  <c r="G925" i="10"/>
  <c r="E925" i="10"/>
  <c r="D925" i="10"/>
  <c r="I924" i="10"/>
  <c r="G924" i="10"/>
  <c r="E924" i="10"/>
  <c r="D924" i="10"/>
  <c r="I923" i="10"/>
  <c r="G923" i="10"/>
  <c r="E923" i="10"/>
  <c r="D923" i="10"/>
  <c r="I922" i="10"/>
  <c r="G922" i="10"/>
  <c r="E922" i="10"/>
  <c r="D922" i="10"/>
  <c r="I921" i="10"/>
  <c r="G921" i="10"/>
  <c r="E921" i="10"/>
  <c r="D921" i="10"/>
  <c r="I920" i="10"/>
  <c r="G920" i="10"/>
  <c r="E920" i="10"/>
  <c r="D920" i="10"/>
  <c r="I919" i="10"/>
  <c r="G919" i="10"/>
  <c r="E919" i="10"/>
  <c r="D919" i="10"/>
  <c r="I918" i="10"/>
  <c r="G918" i="10"/>
  <c r="E918" i="10"/>
  <c r="D918" i="10"/>
  <c r="I917" i="10"/>
  <c r="G917" i="10"/>
  <c r="E917" i="10"/>
  <c r="D917" i="10"/>
  <c r="I916" i="10"/>
  <c r="G916" i="10"/>
  <c r="E916" i="10"/>
  <c r="D916" i="10"/>
  <c r="I915" i="10"/>
  <c r="G915" i="10"/>
  <c r="E915" i="10"/>
  <c r="D915" i="10"/>
  <c r="I914" i="10"/>
  <c r="G914" i="10"/>
  <c r="E914" i="10"/>
  <c r="D914" i="10"/>
  <c r="I913" i="10"/>
  <c r="G913" i="10"/>
  <c r="E913" i="10"/>
  <c r="D913" i="10"/>
  <c r="I912" i="10"/>
  <c r="G912" i="10"/>
  <c r="E912" i="10"/>
  <c r="D912" i="10"/>
  <c r="I911" i="10"/>
  <c r="G911" i="10"/>
  <c r="E911" i="10"/>
  <c r="D911" i="10"/>
  <c r="I910" i="10"/>
  <c r="G910" i="10"/>
  <c r="E910" i="10"/>
  <c r="D910" i="10"/>
  <c r="I909" i="10"/>
  <c r="G909" i="10"/>
  <c r="E909" i="10"/>
  <c r="D909" i="10"/>
  <c r="I908" i="10"/>
  <c r="G908" i="10"/>
  <c r="E908" i="10"/>
  <c r="D908" i="10"/>
  <c r="I907" i="10"/>
  <c r="G907" i="10"/>
  <c r="E907" i="10"/>
  <c r="D907" i="10"/>
  <c r="I906" i="10"/>
  <c r="G906" i="10"/>
  <c r="E906" i="10"/>
  <c r="D906" i="10"/>
  <c r="I905" i="10"/>
  <c r="G905" i="10"/>
  <c r="E905" i="10"/>
  <c r="D905" i="10"/>
  <c r="I904" i="10"/>
  <c r="G904" i="10"/>
  <c r="E904" i="10"/>
  <c r="D904" i="10"/>
  <c r="I903" i="10"/>
  <c r="G903" i="10"/>
  <c r="E903" i="10"/>
  <c r="D903" i="10"/>
  <c r="I902" i="10"/>
  <c r="G902" i="10"/>
  <c r="E902" i="10"/>
  <c r="D902" i="10"/>
  <c r="I901" i="10"/>
  <c r="G901" i="10"/>
  <c r="E901" i="10"/>
  <c r="D901" i="10"/>
  <c r="I900" i="10"/>
  <c r="G900" i="10"/>
  <c r="E900" i="10"/>
  <c r="D900" i="10"/>
  <c r="I899" i="10"/>
  <c r="G899" i="10"/>
  <c r="E899" i="10"/>
  <c r="D899" i="10"/>
  <c r="I898" i="10"/>
  <c r="G898" i="10"/>
  <c r="E898" i="10"/>
  <c r="D898" i="10"/>
  <c r="I897" i="10"/>
  <c r="G897" i="10"/>
  <c r="E897" i="10"/>
  <c r="D897" i="10"/>
  <c r="I896" i="10"/>
  <c r="G896" i="10"/>
  <c r="E896" i="10"/>
  <c r="D896" i="10"/>
  <c r="I895" i="10"/>
  <c r="G895" i="10"/>
  <c r="E895" i="10"/>
  <c r="D895" i="10"/>
  <c r="I894" i="10"/>
  <c r="G894" i="10"/>
  <c r="E894" i="10"/>
  <c r="D894" i="10"/>
  <c r="I893" i="10"/>
  <c r="G893" i="10"/>
  <c r="E893" i="10"/>
  <c r="D893" i="10"/>
  <c r="I892" i="10"/>
  <c r="G892" i="10"/>
  <c r="E892" i="10"/>
  <c r="D892" i="10"/>
  <c r="I891" i="10"/>
  <c r="G891" i="10"/>
  <c r="E891" i="10"/>
  <c r="D891" i="10"/>
  <c r="I890" i="10"/>
  <c r="G890" i="10"/>
  <c r="E890" i="10"/>
  <c r="D890" i="10"/>
  <c r="I889" i="10"/>
  <c r="G889" i="10"/>
  <c r="E889" i="10"/>
  <c r="D889" i="10"/>
  <c r="I888" i="10"/>
  <c r="G888" i="10"/>
  <c r="E888" i="10"/>
  <c r="D888" i="10"/>
  <c r="I887" i="10"/>
  <c r="G887" i="10"/>
  <c r="E887" i="10"/>
  <c r="D887" i="10"/>
  <c r="I886" i="10"/>
  <c r="G886" i="10"/>
  <c r="E886" i="10"/>
  <c r="D886" i="10"/>
  <c r="I885" i="10"/>
  <c r="G885" i="10"/>
  <c r="E885" i="10"/>
  <c r="D885" i="10"/>
  <c r="I884" i="10"/>
  <c r="G884" i="10"/>
  <c r="E884" i="10"/>
  <c r="D884" i="10"/>
  <c r="I883" i="10"/>
  <c r="G883" i="10"/>
  <c r="E883" i="10"/>
  <c r="D883" i="10"/>
  <c r="I882" i="10"/>
  <c r="G882" i="10"/>
  <c r="E882" i="10"/>
  <c r="D882" i="10"/>
  <c r="I881" i="10"/>
  <c r="G881" i="10"/>
  <c r="E881" i="10"/>
  <c r="D881" i="10"/>
  <c r="I880" i="10"/>
  <c r="G880" i="10"/>
  <c r="E880" i="10"/>
  <c r="D880" i="10"/>
  <c r="I879" i="10"/>
  <c r="G879" i="10"/>
  <c r="E879" i="10"/>
  <c r="D879" i="10"/>
  <c r="I878" i="10"/>
  <c r="G878" i="10"/>
  <c r="E878" i="10"/>
  <c r="D878" i="10"/>
  <c r="I877" i="10"/>
  <c r="G877" i="10"/>
  <c r="E877" i="10"/>
  <c r="D877" i="10"/>
  <c r="I876" i="10"/>
  <c r="G876" i="10"/>
  <c r="E876" i="10"/>
  <c r="D876" i="10"/>
  <c r="I875" i="10"/>
  <c r="G875" i="10"/>
  <c r="E875" i="10"/>
  <c r="D875" i="10"/>
  <c r="I874" i="10"/>
  <c r="G874" i="10"/>
  <c r="E874" i="10"/>
  <c r="D874" i="10"/>
  <c r="I873" i="10"/>
  <c r="G873" i="10"/>
  <c r="E873" i="10"/>
  <c r="D873" i="10"/>
  <c r="I872" i="10"/>
  <c r="G872" i="10"/>
  <c r="E872" i="10"/>
  <c r="D872" i="10"/>
  <c r="I871" i="10"/>
  <c r="G871" i="10"/>
  <c r="E871" i="10"/>
  <c r="D871" i="10"/>
  <c r="I870" i="10"/>
  <c r="G870" i="10"/>
  <c r="E870" i="10"/>
  <c r="D870" i="10"/>
  <c r="I869" i="10"/>
  <c r="G869" i="10"/>
  <c r="E869" i="10"/>
  <c r="D869" i="10"/>
  <c r="I868" i="10"/>
  <c r="G868" i="10"/>
  <c r="E868" i="10"/>
  <c r="D868" i="10"/>
  <c r="I867" i="10"/>
  <c r="G867" i="10"/>
  <c r="E867" i="10"/>
  <c r="D867" i="10"/>
  <c r="I866" i="10"/>
  <c r="G866" i="10"/>
  <c r="E866" i="10"/>
  <c r="D866" i="10"/>
  <c r="I865" i="10"/>
  <c r="G865" i="10"/>
  <c r="E865" i="10"/>
  <c r="D865" i="10"/>
  <c r="I864" i="10"/>
  <c r="G864" i="10"/>
  <c r="E864" i="10"/>
  <c r="D864" i="10"/>
  <c r="I863" i="10"/>
  <c r="G863" i="10"/>
  <c r="E863" i="10"/>
  <c r="D863" i="10"/>
  <c r="I862" i="10"/>
  <c r="G862" i="10"/>
  <c r="E862" i="10"/>
  <c r="D862" i="10"/>
  <c r="I861" i="10"/>
  <c r="G861" i="10"/>
  <c r="E861" i="10"/>
  <c r="D861" i="10"/>
  <c r="I860" i="10"/>
  <c r="G860" i="10"/>
  <c r="E860" i="10"/>
  <c r="D860" i="10"/>
  <c r="I859" i="10"/>
  <c r="G859" i="10"/>
  <c r="E859" i="10"/>
  <c r="D859" i="10"/>
  <c r="I858" i="10"/>
  <c r="G858" i="10"/>
  <c r="E858" i="10"/>
  <c r="D858" i="10"/>
  <c r="I857" i="10"/>
  <c r="G857" i="10"/>
  <c r="E857" i="10"/>
  <c r="D857" i="10"/>
  <c r="I856" i="10"/>
  <c r="G856" i="10"/>
  <c r="E856" i="10"/>
  <c r="D856" i="10"/>
  <c r="I855" i="10"/>
  <c r="G855" i="10"/>
  <c r="E855" i="10"/>
  <c r="D855" i="10"/>
  <c r="I854" i="10"/>
  <c r="G854" i="10"/>
  <c r="E854" i="10"/>
  <c r="D854" i="10"/>
  <c r="I853" i="10"/>
  <c r="G853" i="10"/>
  <c r="E853" i="10"/>
  <c r="D853" i="10"/>
  <c r="I852" i="10"/>
  <c r="G852" i="10"/>
  <c r="E852" i="10"/>
  <c r="D852" i="10"/>
  <c r="I851" i="10"/>
  <c r="G851" i="10"/>
  <c r="E851" i="10"/>
  <c r="D851" i="10"/>
  <c r="I850" i="10"/>
  <c r="G850" i="10"/>
  <c r="E850" i="10"/>
  <c r="D850" i="10"/>
  <c r="I849" i="10"/>
  <c r="G849" i="10"/>
  <c r="E849" i="10"/>
  <c r="D849" i="10"/>
  <c r="I848" i="10"/>
  <c r="G848" i="10"/>
  <c r="E848" i="10"/>
  <c r="D848" i="10"/>
  <c r="I847" i="10"/>
  <c r="G847" i="10"/>
  <c r="E847" i="10"/>
  <c r="D847" i="10"/>
  <c r="I846" i="10"/>
  <c r="G846" i="10"/>
  <c r="E846" i="10"/>
  <c r="D846" i="10"/>
  <c r="I845" i="10"/>
  <c r="G845" i="10"/>
  <c r="E845" i="10"/>
  <c r="D845" i="10"/>
  <c r="I844" i="10"/>
  <c r="G844" i="10"/>
  <c r="E844" i="10"/>
  <c r="D844" i="10"/>
  <c r="I843" i="10"/>
  <c r="G843" i="10"/>
  <c r="E843" i="10"/>
  <c r="D843" i="10"/>
  <c r="I842" i="10"/>
  <c r="G842" i="10"/>
  <c r="E842" i="10"/>
  <c r="D842" i="10"/>
  <c r="I841" i="10"/>
  <c r="G841" i="10"/>
  <c r="E841" i="10"/>
  <c r="D841" i="10"/>
  <c r="I840" i="10"/>
  <c r="G840" i="10"/>
  <c r="E840" i="10"/>
  <c r="D840" i="10"/>
  <c r="I839" i="10"/>
  <c r="G839" i="10"/>
  <c r="E839" i="10"/>
  <c r="D839" i="10"/>
  <c r="I838" i="10"/>
  <c r="G838" i="10"/>
  <c r="E838" i="10"/>
  <c r="D838" i="10"/>
  <c r="I837" i="10"/>
  <c r="G837" i="10"/>
  <c r="E837" i="10"/>
  <c r="D837" i="10"/>
  <c r="I836" i="10"/>
  <c r="G836" i="10"/>
  <c r="E836" i="10"/>
  <c r="D836" i="10"/>
  <c r="I835" i="10"/>
  <c r="G835" i="10"/>
  <c r="E835" i="10"/>
  <c r="D835" i="10"/>
  <c r="I834" i="10"/>
  <c r="G834" i="10"/>
  <c r="E834" i="10"/>
  <c r="D834" i="10"/>
  <c r="I833" i="10"/>
  <c r="G833" i="10"/>
  <c r="E833" i="10"/>
  <c r="D833" i="10"/>
  <c r="I832" i="10"/>
  <c r="G832" i="10"/>
  <c r="E832" i="10"/>
  <c r="D832" i="10"/>
  <c r="I831" i="10"/>
  <c r="G831" i="10"/>
  <c r="E831" i="10"/>
  <c r="D831" i="10"/>
  <c r="I830" i="10"/>
  <c r="G830" i="10"/>
  <c r="E830" i="10"/>
  <c r="D830" i="10"/>
  <c r="I829" i="10"/>
  <c r="G829" i="10"/>
  <c r="E829" i="10"/>
  <c r="D829" i="10"/>
  <c r="I828" i="10"/>
  <c r="G828" i="10"/>
  <c r="E828" i="10"/>
  <c r="D828" i="10"/>
  <c r="I827" i="10"/>
  <c r="G827" i="10"/>
  <c r="E827" i="10"/>
  <c r="D827" i="10"/>
  <c r="I826" i="10"/>
  <c r="G826" i="10"/>
  <c r="E826" i="10"/>
  <c r="D826" i="10"/>
  <c r="I825" i="10"/>
  <c r="G825" i="10"/>
  <c r="E825" i="10"/>
  <c r="D825" i="10"/>
  <c r="I824" i="10"/>
  <c r="G824" i="10"/>
  <c r="E824" i="10"/>
  <c r="D824" i="10"/>
  <c r="I823" i="10"/>
  <c r="G823" i="10"/>
  <c r="E823" i="10"/>
  <c r="D823" i="10"/>
  <c r="I822" i="10"/>
  <c r="G822" i="10"/>
  <c r="E822" i="10"/>
  <c r="D822" i="10"/>
  <c r="I821" i="10"/>
  <c r="G821" i="10"/>
  <c r="E821" i="10"/>
  <c r="D821" i="10"/>
  <c r="I820" i="10"/>
  <c r="G820" i="10"/>
  <c r="E820" i="10"/>
  <c r="D820" i="10"/>
  <c r="I819" i="10"/>
  <c r="G819" i="10"/>
  <c r="E819" i="10"/>
  <c r="D819" i="10"/>
  <c r="I818" i="10"/>
  <c r="G818" i="10"/>
  <c r="E818" i="10"/>
  <c r="D818" i="10"/>
  <c r="I817" i="10"/>
  <c r="G817" i="10"/>
  <c r="E817" i="10"/>
  <c r="D817" i="10"/>
  <c r="I816" i="10"/>
  <c r="G816" i="10"/>
  <c r="E816" i="10"/>
  <c r="D816" i="10"/>
  <c r="I815" i="10"/>
  <c r="G815" i="10"/>
  <c r="E815" i="10"/>
  <c r="D815" i="10"/>
  <c r="I814" i="10"/>
  <c r="G814" i="10"/>
  <c r="E814" i="10"/>
  <c r="D814" i="10"/>
  <c r="I813" i="10"/>
  <c r="G813" i="10"/>
  <c r="E813" i="10"/>
  <c r="D813" i="10"/>
  <c r="I812" i="10"/>
  <c r="G812" i="10"/>
  <c r="E812" i="10"/>
  <c r="D812" i="10"/>
  <c r="I811" i="10"/>
  <c r="G811" i="10"/>
  <c r="E811" i="10"/>
  <c r="D811" i="10"/>
  <c r="I810" i="10"/>
  <c r="G810" i="10"/>
  <c r="E810" i="10"/>
  <c r="D810" i="10"/>
  <c r="I809" i="10"/>
  <c r="G809" i="10"/>
  <c r="E809" i="10"/>
  <c r="D809" i="10"/>
  <c r="I808" i="10"/>
  <c r="G808" i="10"/>
  <c r="E808" i="10"/>
  <c r="D808" i="10"/>
  <c r="I807" i="10"/>
  <c r="G807" i="10"/>
  <c r="E807" i="10"/>
  <c r="D807" i="10"/>
  <c r="I806" i="10"/>
  <c r="G806" i="10"/>
  <c r="E806" i="10"/>
  <c r="D806" i="10"/>
  <c r="I805" i="10"/>
  <c r="G805" i="10"/>
  <c r="E805" i="10"/>
  <c r="D805" i="10"/>
  <c r="I804" i="10"/>
  <c r="G804" i="10"/>
  <c r="E804" i="10"/>
  <c r="D804" i="10"/>
  <c r="I803" i="10"/>
  <c r="G803" i="10"/>
  <c r="E803" i="10"/>
  <c r="D803" i="10"/>
  <c r="I802" i="10"/>
  <c r="G802" i="10"/>
  <c r="E802" i="10"/>
  <c r="D802" i="10"/>
  <c r="I801" i="10"/>
  <c r="G801" i="10"/>
  <c r="E801" i="10"/>
  <c r="D801" i="10"/>
  <c r="I800" i="10"/>
  <c r="G800" i="10"/>
  <c r="E800" i="10"/>
  <c r="D800" i="10"/>
  <c r="I799" i="10"/>
  <c r="G799" i="10"/>
  <c r="E799" i="10"/>
  <c r="D799" i="10"/>
  <c r="I798" i="10"/>
  <c r="G798" i="10"/>
  <c r="E798" i="10"/>
  <c r="D798" i="10"/>
  <c r="I797" i="10"/>
  <c r="G797" i="10"/>
  <c r="E797" i="10"/>
  <c r="D797" i="10"/>
  <c r="I796" i="10"/>
  <c r="G796" i="10"/>
  <c r="E796" i="10"/>
  <c r="D796" i="10"/>
  <c r="I795" i="10"/>
  <c r="G795" i="10"/>
  <c r="E795" i="10"/>
  <c r="D795" i="10"/>
  <c r="I794" i="10"/>
  <c r="G794" i="10"/>
  <c r="E794" i="10"/>
  <c r="D794" i="10"/>
  <c r="I793" i="10"/>
  <c r="G793" i="10"/>
  <c r="E793" i="10"/>
  <c r="D793" i="10"/>
  <c r="I792" i="10"/>
  <c r="G792" i="10"/>
  <c r="E792" i="10"/>
  <c r="D792" i="10"/>
  <c r="I791" i="10"/>
  <c r="G791" i="10"/>
  <c r="E791" i="10"/>
  <c r="D791" i="10"/>
  <c r="I790" i="10"/>
  <c r="G790" i="10"/>
  <c r="E790" i="10"/>
  <c r="D790" i="10"/>
  <c r="I789" i="10"/>
  <c r="G789" i="10"/>
  <c r="E789" i="10"/>
  <c r="D789" i="10"/>
  <c r="I788" i="10"/>
  <c r="G788" i="10"/>
  <c r="E788" i="10"/>
  <c r="D788" i="10"/>
  <c r="I787" i="10"/>
  <c r="G787" i="10"/>
  <c r="E787" i="10"/>
  <c r="D787" i="10"/>
  <c r="I786" i="10"/>
  <c r="G786" i="10"/>
  <c r="E786" i="10"/>
  <c r="D786" i="10"/>
  <c r="I785" i="10"/>
  <c r="G785" i="10"/>
  <c r="E785" i="10"/>
  <c r="D785" i="10"/>
  <c r="I784" i="10"/>
  <c r="G784" i="10"/>
  <c r="E784" i="10"/>
  <c r="D784" i="10"/>
  <c r="I783" i="10"/>
  <c r="G783" i="10"/>
  <c r="E783" i="10"/>
  <c r="D783" i="10"/>
  <c r="I782" i="10"/>
  <c r="G782" i="10"/>
  <c r="E782" i="10"/>
  <c r="D782" i="10"/>
  <c r="I781" i="10"/>
  <c r="G781" i="10"/>
  <c r="E781" i="10"/>
  <c r="D781" i="10"/>
  <c r="I780" i="10"/>
  <c r="G780" i="10"/>
  <c r="E780" i="10"/>
  <c r="D780" i="10"/>
  <c r="I779" i="10"/>
  <c r="G779" i="10"/>
  <c r="E779" i="10"/>
  <c r="D779" i="10"/>
  <c r="I778" i="10"/>
  <c r="G778" i="10"/>
  <c r="E778" i="10"/>
  <c r="D778" i="10"/>
  <c r="I777" i="10"/>
  <c r="G777" i="10"/>
  <c r="E777" i="10"/>
  <c r="D777" i="10"/>
  <c r="I776" i="10"/>
  <c r="G776" i="10"/>
  <c r="E776" i="10"/>
  <c r="D776" i="10"/>
  <c r="I775" i="10"/>
  <c r="G775" i="10"/>
  <c r="E775" i="10"/>
  <c r="D775" i="10"/>
  <c r="I774" i="10"/>
  <c r="G774" i="10"/>
  <c r="E774" i="10"/>
  <c r="D774" i="10"/>
  <c r="I773" i="10"/>
  <c r="G773" i="10"/>
  <c r="E773" i="10"/>
  <c r="D773" i="10"/>
  <c r="I772" i="10"/>
  <c r="G772" i="10"/>
  <c r="E772" i="10"/>
  <c r="D772" i="10"/>
  <c r="I771" i="10"/>
  <c r="G771" i="10"/>
  <c r="E771" i="10"/>
  <c r="D771" i="10"/>
  <c r="I770" i="10"/>
  <c r="G770" i="10"/>
  <c r="E770" i="10"/>
  <c r="D770" i="10"/>
  <c r="I769" i="10"/>
  <c r="G769" i="10"/>
  <c r="E769" i="10"/>
  <c r="D769" i="10"/>
  <c r="I768" i="10"/>
  <c r="G768" i="10"/>
  <c r="E768" i="10"/>
  <c r="D768" i="10"/>
  <c r="I767" i="10"/>
  <c r="G767" i="10"/>
  <c r="E767" i="10"/>
  <c r="D767" i="10"/>
  <c r="I766" i="10"/>
  <c r="G766" i="10"/>
  <c r="E766" i="10"/>
  <c r="D766" i="10"/>
  <c r="I765" i="10"/>
  <c r="G765" i="10"/>
  <c r="E765" i="10"/>
  <c r="D765" i="10"/>
  <c r="I764" i="10"/>
  <c r="G764" i="10"/>
  <c r="E764" i="10"/>
  <c r="D764" i="10"/>
  <c r="I763" i="10"/>
  <c r="G763" i="10"/>
  <c r="E763" i="10"/>
  <c r="D763" i="10"/>
  <c r="I762" i="10"/>
  <c r="G762" i="10"/>
  <c r="E762" i="10"/>
  <c r="D762" i="10"/>
  <c r="I761" i="10"/>
  <c r="G761" i="10"/>
  <c r="E761" i="10"/>
  <c r="D761" i="10"/>
  <c r="I760" i="10"/>
  <c r="G760" i="10"/>
  <c r="E760" i="10"/>
  <c r="D760" i="10"/>
  <c r="I759" i="10"/>
  <c r="G759" i="10"/>
  <c r="E759" i="10"/>
  <c r="D759" i="10"/>
  <c r="I758" i="10"/>
  <c r="G758" i="10"/>
  <c r="E758" i="10"/>
  <c r="D758" i="10"/>
  <c r="I757" i="10"/>
  <c r="G757" i="10"/>
  <c r="E757" i="10"/>
  <c r="D757" i="10"/>
  <c r="I756" i="10"/>
  <c r="G756" i="10"/>
  <c r="E756" i="10"/>
  <c r="D756" i="10"/>
  <c r="I755" i="10"/>
  <c r="G755" i="10"/>
  <c r="E755" i="10"/>
  <c r="D755" i="10"/>
  <c r="I754" i="10"/>
  <c r="G754" i="10"/>
  <c r="E754" i="10"/>
  <c r="D754" i="10"/>
  <c r="I753" i="10"/>
  <c r="G753" i="10"/>
  <c r="E753" i="10"/>
  <c r="D753" i="10"/>
  <c r="I752" i="10"/>
  <c r="G752" i="10"/>
  <c r="E752" i="10"/>
  <c r="D752" i="10"/>
  <c r="I751" i="10"/>
  <c r="G751" i="10"/>
  <c r="E751" i="10"/>
  <c r="D751" i="10"/>
  <c r="I750" i="10"/>
  <c r="G750" i="10"/>
  <c r="E750" i="10"/>
  <c r="D750" i="10"/>
  <c r="I749" i="10"/>
  <c r="G749" i="10"/>
  <c r="E749" i="10"/>
  <c r="D749" i="10"/>
  <c r="I748" i="10"/>
  <c r="G748" i="10"/>
  <c r="E748" i="10"/>
  <c r="D748" i="10"/>
  <c r="I747" i="10"/>
  <c r="G747" i="10"/>
  <c r="E747" i="10"/>
  <c r="D747" i="10"/>
  <c r="I746" i="10"/>
  <c r="G746" i="10"/>
  <c r="E746" i="10"/>
  <c r="D746" i="10"/>
  <c r="I745" i="10"/>
  <c r="G745" i="10"/>
  <c r="E745" i="10"/>
  <c r="D745" i="10"/>
  <c r="I744" i="10"/>
  <c r="G744" i="10"/>
  <c r="E744" i="10"/>
  <c r="D744" i="10"/>
  <c r="I743" i="10"/>
  <c r="G743" i="10"/>
  <c r="E743" i="10"/>
  <c r="D743" i="10"/>
  <c r="I742" i="10"/>
  <c r="G742" i="10"/>
  <c r="E742" i="10"/>
  <c r="D742" i="10"/>
  <c r="I741" i="10"/>
  <c r="G741" i="10"/>
  <c r="E741" i="10"/>
  <c r="D741" i="10"/>
  <c r="I740" i="10"/>
  <c r="G740" i="10"/>
  <c r="E740" i="10"/>
  <c r="D740" i="10"/>
  <c r="I739" i="10"/>
  <c r="G739" i="10"/>
  <c r="E739" i="10"/>
  <c r="D739" i="10"/>
  <c r="I738" i="10"/>
  <c r="G738" i="10"/>
  <c r="E738" i="10"/>
  <c r="D738" i="10"/>
  <c r="I737" i="10"/>
  <c r="G737" i="10"/>
  <c r="E737" i="10"/>
  <c r="D737" i="10"/>
  <c r="I736" i="10"/>
  <c r="G736" i="10"/>
  <c r="E736" i="10"/>
  <c r="D736" i="10"/>
  <c r="I735" i="10"/>
  <c r="G735" i="10"/>
  <c r="E735" i="10"/>
  <c r="D735" i="10"/>
  <c r="I734" i="10"/>
  <c r="G734" i="10"/>
  <c r="E734" i="10"/>
  <c r="D734" i="10"/>
  <c r="I733" i="10"/>
  <c r="G733" i="10"/>
  <c r="E733" i="10"/>
  <c r="D733" i="10"/>
  <c r="I732" i="10"/>
  <c r="G732" i="10"/>
  <c r="E732" i="10"/>
  <c r="D732" i="10"/>
  <c r="I731" i="10"/>
  <c r="G731" i="10"/>
  <c r="E731" i="10"/>
  <c r="D731" i="10"/>
  <c r="I730" i="10"/>
  <c r="G730" i="10"/>
  <c r="E730" i="10"/>
  <c r="D730" i="10"/>
  <c r="I729" i="10"/>
  <c r="G729" i="10"/>
  <c r="E729" i="10"/>
  <c r="D729" i="10"/>
  <c r="I728" i="10"/>
  <c r="G728" i="10"/>
  <c r="E728" i="10"/>
  <c r="D728" i="10"/>
  <c r="I727" i="10"/>
  <c r="G727" i="10"/>
  <c r="E727" i="10"/>
  <c r="D727" i="10"/>
  <c r="I726" i="10"/>
  <c r="G726" i="10"/>
  <c r="E726" i="10"/>
  <c r="D726" i="10"/>
  <c r="I725" i="10"/>
  <c r="G725" i="10"/>
  <c r="E725" i="10"/>
  <c r="D725" i="10"/>
  <c r="I724" i="10"/>
  <c r="G724" i="10"/>
  <c r="E724" i="10"/>
  <c r="D724" i="10"/>
  <c r="I723" i="10"/>
  <c r="G723" i="10"/>
  <c r="E723" i="10"/>
  <c r="D723" i="10"/>
  <c r="I722" i="10"/>
  <c r="G722" i="10"/>
  <c r="E722" i="10"/>
  <c r="D722" i="10"/>
  <c r="I721" i="10"/>
  <c r="G721" i="10"/>
  <c r="E721" i="10"/>
  <c r="D721" i="10"/>
  <c r="I720" i="10"/>
  <c r="G720" i="10"/>
  <c r="E720" i="10"/>
  <c r="D720" i="10"/>
  <c r="I719" i="10"/>
  <c r="G719" i="10"/>
  <c r="E719" i="10"/>
  <c r="D719" i="10"/>
  <c r="I718" i="10"/>
  <c r="G718" i="10"/>
  <c r="E718" i="10"/>
  <c r="D718" i="10"/>
  <c r="I717" i="10"/>
  <c r="G717" i="10"/>
  <c r="E717" i="10"/>
  <c r="D717" i="10"/>
  <c r="I716" i="10"/>
  <c r="G716" i="10"/>
  <c r="E716" i="10"/>
  <c r="D716" i="10"/>
  <c r="I715" i="10"/>
  <c r="G715" i="10"/>
  <c r="E715" i="10"/>
  <c r="D715" i="10"/>
  <c r="I714" i="10"/>
  <c r="G714" i="10"/>
  <c r="E714" i="10"/>
  <c r="D714" i="10"/>
  <c r="I713" i="10"/>
  <c r="G713" i="10"/>
  <c r="E713" i="10"/>
  <c r="D713" i="10"/>
  <c r="I712" i="10"/>
  <c r="G712" i="10"/>
  <c r="E712" i="10"/>
  <c r="D712" i="10"/>
  <c r="I711" i="10"/>
  <c r="G711" i="10"/>
  <c r="E711" i="10"/>
  <c r="D711" i="10"/>
  <c r="I710" i="10"/>
  <c r="G710" i="10"/>
  <c r="E710" i="10"/>
  <c r="D710" i="10"/>
  <c r="I709" i="10"/>
  <c r="G709" i="10"/>
  <c r="E709" i="10"/>
  <c r="D709" i="10"/>
  <c r="I708" i="10"/>
  <c r="G708" i="10"/>
  <c r="E708" i="10"/>
  <c r="D708" i="10"/>
  <c r="I707" i="10"/>
  <c r="G707" i="10"/>
  <c r="E707" i="10"/>
  <c r="D707" i="10"/>
  <c r="I706" i="10"/>
  <c r="G706" i="10"/>
  <c r="E706" i="10"/>
  <c r="D706" i="10"/>
  <c r="I705" i="10"/>
  <c r="G705" i="10"/>
  <c r="E705" i="10"/>
  <c r="D705" i="10"/>
  <c r="I704" i="10"/>
  <c r="G704" i="10"/>
  <c r="E704" i="10"/>
  <c r="D704" i="10"/>
  <c r="I703" i="10"/>
  <c r="G703" i="10"/>
  <c r="E703" i="10"/>
  <c r="D703" i="10"/>
  <c r="I702" i="10"/>
  <c r="G702" i="10"/>
  <c r="E702" i="10"/>
  <c r="D702" i="10"/>
  <c r="I701" i="10"/>
  <c r="G701" i="10"/>
  <c r="E701" i="10"/>
  <c r="D701" i="10"/>
  <c r="I700" i="10"/>
  <c r="G700" i="10"/>
  <c r="E700" i="10"/>
  <c r="D700" i="10"/>
  <c r="I699" i="10"/>
  <c r="G699" i="10"/>
  <c r="E699" i="10"/>
  <c r="D699" i="10"/>
  <c r="I698" i="10"/>
  <c r="G698" i="10"/>
  <c r="E698" i="10"/>
  <c r="D698" i="10"/>
  <c r="I697" i="10"/>
  <c r="G697" i="10"/>
  <c r="E697" i="10"/>
  <c r="D697" i="10"/>
  <c r="I696" i="10"/>
  <c r="G696" i="10"/>
  <c r="E696" i="10"/>
  <c r="D696" i="10"/>
  <c r="I695" i="10"/>
  <c r="G695" i="10"/>
  <c r="E695" i="10"/>
  <c r="D695" i="10"/>
  <c r="I694" i="10"/>
  <c r="G694" i="10"/>
  <c r="E694" i="10"/>
  <c r="D694" i="10"/>
  <c r="I693" i="10"/>
  <c r="G693" i="10"/>
  <c r="E693" i="10"/>
  <c r="D693" i="10"/>
  <c r="I692" i="10"/>
  <c r="G692" i="10"/>
  <c r="E692" i="10"/>
  <c r="D692" i="10"/>
  <c r="I691" i="10"/>
  <c r="G691" i="10"/>
  <c r="E691" i="10"/>
  <c r="D691" i="10"/>
  <c r="I690" i="10"/>
  <c r="G690" i="10"/>
  <c r="E690" i="10"/>
  <c r="D690" i="10"/>
  <c r="I689" i="10"/>
  <c r="G689" i="10"/>
  <c r="E689" i="10"/>
  <c r="D689" i="10"/>
  <c r="I688" i="10"/>
  <c r="G688" i="10"/>
  <c r="E688" i="10"/>
  <c r="D688" i="10"/>
  <c r="I687" i="10"/>
  <c r="G687" i="10"/>
  <c r="E687" i="10"/>
  <c r="D687" i="10"/>
  <c r="I686" i="10"/>
  <c r="G686" i="10"/>
  <c r="E686" i="10"/>
  <c r="D686" i="10"/>
  <c r="I685" i="10"/>
  <c r="G685" i="10"/>
  <c r="E685" i="10"/>
  <c r="D685" i="10"/>
  <c r="I684" i="10"/>
  <c r="G684" i="10"/>
  <c r="E684" i="10"/>
  <c r="D684" i="10"/>
  <c r="I683" i="10"/>
  <c r="G683" i="10"/>
  <c r="E683" i="10"/>
  <c r="D683" i="10"/>
  <c r="I682" i="10"/>
  <c r="G682" i="10"/>
  <c r="E682" i="10"/>
  <c r="D682" i="10"/>
  <c r="I681" i="10"/>
  <c r="G681" i="10"/>
  <c r="E681" i="10"/>
  <c r="D681" i="10"/>
  <c r="I680" i="10"/>
  <c r="G680" i="10"/>
  <c r="E680" i="10"/>
  <c r="D680" i="10"/>
  <c r="I679" i="10"/>
  <c r="G679" i="10"/>
  <c r="E679" i="10"/>
  <c r="D679" i="10"/>
  <c r="I678" i="10"/>
  <c r="G678" i="10"/>
  <c r="E678" i="10"/>
  <c r="D678" i="10"/>
  <c r="I677" i="10"/>
  <c r="G677" i="10"/>
  <c r="E677" i="10"/>
  <c r="D677" i="10"/>
  <c r="I676" i="10"/>
  <c r="G676" i="10"/>
  <c r="E676" i="10"/>
  <c r="D676" i="10"/>
  <c r="I675" i="10"/>
  <c r="G675" i="10"/>
  <c r="E675" i="10"/>
  <c r="D675" i="10"/>
  <c r="I674" i="10"/>
  <c r="G674" i="10"/>
  <c r="E674" i="10"/>
  <c r="D674" i="10"/>
  <c r="I673" i="10"/>
  <c r="G673" i="10"/>
  <c r="E673" i="10"/>
  <c r="D673" i="10"/>
  <c r="I672" i="10"/>
  <c r="G672" i="10"/>
  <c r="E672" i="10"/>
  <c r="D672" i="10"/>
  <c r="I671" i="10"/>
  <c r="G671" i="10"/>
  <c r="E671" i="10"/>
  <c r="D671" i="10"/>
  <c r="I670" i="10"/>
  <c r="G670" i="10"/>
  <c r="E670" i="10"/>
  <c r="D670" i="10"/>
  <c r="I669" i="10"/>
  <c r="G669" i="10"/>
  <c r="E669" i="10"/>
  <c r="D669" i="10"/>
  <c r="I668" i="10"/>
  <c r="G668" i="10"/>
  <c r="E668" i="10"/>
  <c r="D668" i="10"/>
  <c r="I667" i="10"/>
  <c r="G667" i="10"/>
  <c r="E667" i="10"/>
  <c r="D667" i="10"/>
  <c r="I666" i="10"/>
  <c r="G666" i="10"/>
  <c r="E666" i="10"/>
  <c r="D666" i="10"/>
  <c r="I665" i="10"/>
  <c r="G665" i="10"/>
  <c r="E665" i="10"/>
  <c r="D665" i="10"/>
  <c r="I664" i="10"/>
  <c r="G664" i="10"/>
  <c r="E664" i="10"/>
  <c r="D664" i="10"/>
  <c r="I663" i="10"/>
  <c r="G663" i="10"/>
  <c r="E663" i="10"/>
  <c r="D663" i="10"/>
  <c r="I662" i="10"/>
  <c r="G662" i="10"/>
  <c r="E662" i="10"/>
  <c r="D662" i="10"/>
  <c r="I661" i="10"/>
  <c r="G661" i="10"/>
  <c r="E661" i="10"/>
  <c r="D661" i="10"/>
  <c r="I660" i="10"/>
  <c r="G660" i="10"/>
  <c r="E660" i="10"/>
  <c r="D660" i="10"/>
  <c r="I659" i="10"/>
  <c r="G659" i="10"/>
  <c r="E659" i="10"/>
  <c r="D659" i="10"/>
  <c r="I658" i="10"/>
  <c r="G658" i="10"/>
  <c r="E658" i="10"/>
  <c r="D658" i="10"/>
  <c r="I657" i="10"/>
  <c r="G657" i="10"/>
  <c r="E657" i="10"/>
  <c r="D657" i="10"/>
  <c r="I656" i="10"/>
  <c r="G656" i="10"/>
  <c r="E656" i="10"/>
  <c r="D656" i="10"/>
  <c r="I655" i="10"/>
  <c r="G655" i="10"/>
  <c r="E655" i="10"/>
  <c r="D655" i="10"/>
  <c r="I654" i="10"/>
  <c r="G654" i="10"/>
  <c r="E654" i="10"/>
  <c r="D654" i="10"/>
  <c r="I653" i="10"/>
  <c r="G653" i="10"/>
  <c r="E653" i="10"/>
  <c r="D653" i="10"/>
  <c r="I652" i="10"/>
  <c r="G652" i="10"/>
  <c r="E652" i="10"/>
  <c r="D652" i="10"/>
  <c r="I651" i="10"/>
  <c r="G651" i="10"/>
  <c r="E651" i="10"/>
  <c r="D651" i="10"/>
  <c r="I650" i="10"/>
  <c r="G650" i="10"/>
  <c r="E650" i="10"/>
  <c r="D650" i="10"/>
  <c r="I649" i="10"/>
  <c r="G649" i="10"/>
  <c r="E649" i="10"/>
  <c r="D649" i="10"/>
  <c r="I648" i="10"/>
  <c r="G648" i="10"/>
  <c r="E648" i="10"/>
  <c r="D648" i="10"/>
  <c r="I647" i="10"/>
  <c r="G647" i="10"/>
  <c r="E647" i="10"/>
  <c r="D647" i="10"/>
  <c r="I646" i="10"/>
  <c r="G646" i="10"/>
  <c r="E646" i="10"/>
  <c r="D646" i="10"/>
  <c r="I645" i="10"/>
  <c r="G645" i="10"/>
  <c r="E645" i="10"/>
  <c r="D645" i="10"/>
  <c r="I644" i="10"/>
  <c r="G644" i="10"/>
  <c r="E644" i="10"/>
  <c r="D644" i="10"/>
  <c r="I643" i="10"/>
  <c r="G643" i="10"/>
  <c r="E643" i="10"/>
  <c r="D643" i="10"/>
  <c r="I642" i="10"/>
  <c r="G642" i="10"/>
  <c r="E642" i="10"/>
  <c r="D642" i="10"/>
  <c r="I641" i="10"/>
  <c r="G641" i="10"/>
  <c r="E641" i="10"/>
  <c r="D641" i="10"/>
  <c r="I640" i="10"/>
  <c r="G640" i="10"/>
  <c r="E640" i="10"/>
  <c r="D640" i="10"/>
  <c r="I639" i="10"/>
  <c r="G639" i="10"/>
  <c r="E639" i="10"/>
  <c r="D639" i="10"/>
  <c r="I638" i="10"/>
  <c r="G638" i="10"/>
  <c r="E638" i="10"/>
  <c r="D638" i="10"/>
  <c r="I637" i="10"/>
  <c r="G637" i="10"/>
  <c r="E637" i="10"/>
  <c r="D637" i="10"/>
  <c r="I636" i="10"/>
  <c r="G636" i="10"/>
  <c r="E636" i="10"/>
  <c r="D636" i="10"/>
  <c r="I635" i="10"/>
  <c r="G635" i="10"/>
  <c r="E635" i="10"/>
  <c r="D635" i="10"/>
  <c r="I634" i="10"/>
  <c r="G634" i="10"/>
  <c r="E634" i="10"/>
  <c r="D634" i="10"/>
  <c r="I633" i="10"/>
  <c r="G633" i="10"/>
  <c r="E633" i="10"/>
  <c r="D633" i="10"/>
  <c r="I632" i="10"/>
  <c r="G632" i="10"/>
  <c r="E632" i="10"/>
  <c r="D632" i="10"/>
  <c r="I631" i="10"/>
  <c r="G631" i="10"/>
  <c r="E631" i="10"/>
  <c r="D631" i="10"/>
  <c r="I630" i="10"/>
  <c r="G630" i="10"/>
  <c r="E630" i="10"/>
  <c r="D630" i="10"/>
  <c r="I629" i="10"/>
  <c r="G629" i="10"/>
  <c r="E629" i="10"/>
  <c r="D629" i="10"/>
  <c r="I628" i="10"/>
  <c r="G628" i="10"/>
  <c r="E628" i="10"/>
  <c r="D628" i="10"/>
  <c r="I627" i="10"/>
  <c r="G627" i="10"/>
  <c r="E627" i="10"/>
  <c r="D627" i="10"/>
  <c r="I626" i="10"/>
  <c r="G626" i="10"/>
  <c r="E626" i="10"/>
  <c r="D626" i="10"/>
  <c r="I625" i="10"/>
  <c r="G625" i="10"/>
  <c r="E625" i="10"/>
  <c r="D625" i="10"/>
  <c r="I624" i="10"/>
  <c r="G624" i="10"/>
  <c r="E624" i="10"/>
  <c r="D624" i="10"/>
  <c r="I623" i="10"/>
  <c r="G623" i="10"/>
  <c r="E623" i="10"/>
  <c r="D623" i="10"/>
  <c r="I622" i="10"/>
  <c r="G622" i="10"/>
  <c r="E622" i="10"/>
  <c r="D622" i="10"/>
  <c r="I621" i="10"/>
  <c r="G621" i="10"/>
  <c r="E621" i="10"/>
  <c r="D621" i="10"/>
  <c r="I620" i="10"/>
  <c r="G620" i="10"/>
  <c r="E620" i="10"/>
  <c r="D620" i="10"/>
  <c r="I619" i="10"/>
  <c r="G619" i="10"/>
  <c r="E619" i="10"/>
  <c r="D619" i="10"/>
  <c r="I618" i="10"/>
  <c r="G618" i="10"/>
  <c r="E618" i="10"/>
  <c r="D618" i="10"/>
  <c r="I617" i="10"/>
  <c r="G617" i="10"/>
  <c r="E617" i="10"/>
  <c r="D617" i="10"/>
  <c r="I616" i="10"/>
  <c r="G616" i="10"/>
  <c r="E616" i="10"/>
  <c r="D616" i="10"/>
  <c r="I615" i="10"/>
  <c r="G615" i="10"/>
  <c r="E615" i="10"/>
  <c r="D615" i="10"/>
  <c r="I614" i="10"/>
  <c r="G614" i="10"/>
  <c r="E614" i="10"/>
  <c r="D614" i="10"/>
  <c r="I613" i="10"/>
  <c r="G613" i="10"/>
  <c r="E613" i="10"/>
  <c r="D613" i="10"/>
  <c r="I612" i="10"/>
  <c r="G612" i="10"/>
  <c r="E612" i="10"/>
  <c r="D612" i="10"/>
  <c r="I611" i="10"/>
  <c r="G611" i="10"/>
  <c r="E611" i="10"/>
  <c r="D611" i="10"/>
  <c r="I610" i="10"/>
  <c r="G610" i="10"/>
  <c r="E610" i="10"/>
  <c r="D610" i="10"/>
  <c r="I609" i="10"/>
  <c r="G609" i="10"/>
  <c r="E609" i="10"/>
  <c r="D609" i="10"/>
  <c r="I608" i="10"/>
  <c r="G608" i="10"/>
  <c r="E608" i="10"/>
  <c r="D608" i="10"/>
  <c r="I607" i="10"/>
  <c r="G607" i="10"/>
  <c r="E607" i="10"/>
  <c r="D607" i="10"/>
  <c r="I606" i="10"/>
  <c r="G606" i="10"/>
  <c r="E606" i="10"/>
  <c r="D606" i="10"/>
  <c r="I605" i="10"/>
  <c r="G605" i="10"/>
  <c r="E605" i="10"/>
  <c r="D605" i="10"/>
  <c r="I604" i="10"/>
  <c r="G604" i="10"/>
  <c r="E604" i="10"/>
  <c r="D604" i="10"/>
  <c r="I603" i="10"/>
  <c r="G603" i="10"/>
  <c r="E603" i="10"/>
  <c r="D603" i="10"/>
  <c r="I602" i="10"/>
  <c r="G602" i="10"/>
  <c r="E602" i="10"/>
  <c r="D602" i="10"/>
  <c r="I601" i="10"/>
  <c r="G601" i="10"/>
  <c r="E601" i="10"/>
  <c r="D601" i="10"/>
  <c r="I600" i="10"/>
  <c r="G600" i="10"/>
  <c r="E600" i="10"/>
  <c r="D600" i="10"/>
  <c r="I599" i="10"/>
  <c r="G599" i="10"/>
  <c r="E599" i="10"/>
  <c r="D599" i="10"/>
  <c r="I598" i="10"/>
  <c r="G598" i="10"/>
  <c r="E598" i="10"/>
  <c r="D598" i="10"/>
  <c r="I597" i="10"/>
  <c r="G597" i="10"/>
  <c r="E597" i="10"/>
  <c r="D597" i="10"/>
  <c r="I596" i="10"/>
  <c r="G596" i="10"/>
  <c r="E596" i="10"/>
  <c r="D596" i="10"/>
  <c r="I595" i="10"/>
  <c r="G595" i="10"/>
  <c r="E595" i="10"/>
  <c r="D595" i="10"/>
  <c r="I594" i="10"/>
  <c r="G594" i="10"/>
  <c r="E594" i="10"/>
  <c r="D594" i="10"/>
  <c r="I593" i="10"/>
  <c r="G593" i="10"/>
  <c r="E593" i="10"/>
  <c r="D593" i="10"/>
  <c r="I592" i="10"/>
  <c r="G592" i="10"/>
  <c r="E592" i="10"/>
  <c r="D592" i="10"/>
  <c r="I591" i="10"/>
  <c r="G591" i="10"/>
  <c r="E591" i="10"/>
  <c r="D591" i="10"/>
  <c r="I590" i="10"/>
  <c r="G590" i="10"/>
  <c r="E590" i="10"/>
  <c r="D590" i="10"/>
  <c r="I589" i="10"/>
  <c r="G589" i="10"/>
  <c r="E589" i="10"/>
  <c r="D589" i="10"/>
  <c r="I588" i="10"/>
  <c r="G588" i="10"/>
  <c r="E588" i="10"/>
  <c r="D588" i="10"/>
  <c r="I587" i="10"/>
  <c r="G587" i="10"/>
  <c r="E587" i="10"/>
  <c r="D587" i="10"/>
  <c r="I586" i="10"/>
  <c r="G586" i="10"/>
  <c r="E586" i="10"/>
  <c r="D586" i="10"/>
  <c r="I585" i="10"/>
  <c r="G585" i="10"/>
  <c r="E585" i="10"/>
  <c r="D585" i="10"/>
  <c r="I584" i="10"/>
  <c r="G584" i="10"/>
  <c r="E584" i="10"/>
  <c r="D584" i="10"/>
  <c r="I583" i="10"/>
  <c r="G583" i="10"/>
  <c r="E583" i="10"/>
  <c r="D583" i="10"/>
  <c r="I582" i="10"/>
  <c r="G582" i="10"/>
  <c r="E582" i="10"/>
  <c r="D582" i="10"/>
  <c r="I581" i="10"/>
  <c r="G581" i="10"/>
  <c r="E581" i="10"/>
  <c r="D581" i="10"/>
  <c r="I580" i="10"/>
  <c r="G580" i="10"/>
  <c r="E580" i="10"/>
  <c r="D580" i="10"/>
  <c r="I579" i="10"/>
  <c r="G579" i="10"/>
  <c r="E579" i="10"/>
  <c r="D579" i="10"/>
  <c r="I578" i="10"/>
  <c r="G578" i="10"/>
  <c r="E578" i="10"/>
  <c r="D578" i="10"/>
  <c r="I577" i="10"/>
  <c r="G577" i="10"/>
  <c r="E577" i="10"/>
  <c r="D577" i="10"/>
  <c r="I576" i="10"/>
  <c r="G576" i="10"/>
  <c r="E576" i="10"/>
  <c r="D576" i="10"/>
  <c r="I575" i="10"/>
  <c r="G575" i="10"/>
  <c r="E575" i="10"/>
  <c r="D575" i="10"/>
  <c r="I574" i="10"/>
  <c r="G574" i="10"/>
  <c r="E574" i="10"/>
  <c r="D574" i="10"/>
  <c r="I573" i="10"/>
  <c r="G573" i="10"/>
  <c r="E573" i="10"/>
  <c r="D573" i="10"/>
  <c r="I572" i="10"/>
  <c r="G572" i="10"/>
  <c r="E572" i="10"/>
  <c r="D572" i="10"/>
  <c r="I571" i="10"/>
  <c r="G571" i="10"/>
  <c r="E571" i="10"/>
  <c r="D571" i="10"/>
  <c r="I570" i="10"/>
  <c r="G570" i="10"/>
  <c r="E570" i="10"/>
  <c r="D570" i="10"/>
  <c r="I569" i="10"/>
  <c r="G569" i="10"/>
  <c r="E569" i="10"/>
  <c r="D569" i="10"/>
  <c r="I568" i="10"/>
  <c r="G568" i="10"/>
  <c r="E568" i="10"/>
  <c r="D568" i="10"/>
  <c r="I567" i="10"/>
  <c r="G567" i="10"/>
  <c r="E567" i="10"/>
  <c r="D567" i="10"/>
  <c r="I566" i="10"/>
  <c r="G566" i="10"/>
  <c r="E566" i="10"/>
  <c r="D566" i="10"/>
  <c r="I565" i="10"/>
  <c r="G565" i="10"/>
  <c r="E565" i="10"/>
  <c r="D565" i="10"/>
  <c r="I564" i="10"/>
  <c r="G564" i="10"/>
  <c r="E564" i="10"/>
  <c r="D564" i="10"/>
  <c r="I563" i="10"/>
  <c r="G563" i="10"/>
  <c r="E563" i="10"/>
  <c r="D563" i="10"/>
  <c r="I562" i="10"/>
  <c r="G562" i="10"/>
  <c r="E562" i="10"/>
  <c r="D562" i="10"/>
  <c r="I561" i="10"/>
  <c r="G561" i="10"/>
  <c r="E561" i="10"/>
  <c r="D561" i="10"/>
  <c r="I560" i="10"/>
  <c r="G560" i="10"/>
  <c r="E560" i="10"/>
  <c r="D560" i="10"/>
  <c r="I559" i="10"/>
  <c r="G559" i="10"/>
  <c r="E559" i="10"/>
  <c r="D559" i="10"/>
  <c r="I558" i="10"/>
  <c r="G558" i="10"/>
  <c r="E558" i="10"/>
  <c r="D558" i="10"/>
  <c r="I557" i="10"/>
  <c r="G557" i="10"/>
  <c r="E557" i="10"/>
  <c r="D557" i="10"/>
  <c r="I556" i="10"/>
  <c r="G556" i="10"/>
  <c r="E556" i="10"/>
  <c r="D556" i="10"/>
  <c r="I555" i="10"/>
  <c r="G555" i="10"/>
  <c r="E555" i="10"/>
  <c r="D555" i="10"/>
  <c r="I554" i="10"/>
  <c r="G554" i="10"/>
  <c r="E554" i="10"/>
  <c r="D554" i="10"/>
  <c r="I553" i="10"/>
  <c r="G553" i="10"/>
  <c r="E553" i="10"/>
  <c r="D553" i="10"/>
  <c r="I552" i="10"/>
  <c r="G552" i="10"/>
  <c r="E552" i="10"/>
  <c r="D552" i="10"/>
  <c r="I551" i="10"/>
  <c r="G551" i="10"/>
  <c r="E551" i="10"/>
  <c r="D551" i="10"/>
  <c r="I550" i="10"/>
  <c r="G550" i="10"/>
  <c r="E550" i="10"/>
  <c r="D550" i="10"/>
  <c r="I549" i="10"/>
  <c r="G549" i="10"/>
  <c r="E549" i="10"/>
  <c r="D549" i="10"/>
  <c r="I548" i="10"/>
  <c r="G548" i="10"/>
  <c r="E548" i="10"/>
  <c r="D548" i="10"/>
  <c r="I547" i="10"/>
  <c r="G547" i="10"/>
  <c r="E547" i="10"/>
  <c r="D547" i="10"/>
  <c r="I546" i="10"/>
  <c r="G546" i="10"/>
  <c r="E546" i="10"/>
  <c r="D546" i="10"/>
  <c r="I545" i="10"/>
  <c r="G545" i="10"/>
  <c r="E545" i="10"/>
  <c r="D545" i="10"/>
  <c r="I544" i="10"/>
  <c r="G544" i="10"/>
  <c r="E544" i="10"/>
  <c r="D544" i="10"/>
  <c r="I543" i="10"/>
  <c r="G543" i="10"/>
  <c r="E543" i="10"/>
  <c r="D543" i="10"/>
  <c r="I542" i="10"/>
  <c r="G542" i="10"/>
  <c r="E542" i="10"/>
  <c r="D542" i="10"/>
  <c r="I541" i="10"/>
  <c r="G541" i="10"/>
  <c r="E541" i="10"/>
  <c r="D541" i="10"/>
  <c r="I540" i="10"/>
  <c r="G540" i="10"/>
  <c r="E540" i="10"/>
  <c r="D540" i="10"/>
  <c r="I539" i="10"/>
  <c r="G539" i="10"/>
  <c r="E539" i="10"/>
  <c r="D539" i="10"/>
  <c r="I538" i="10"/>
  <c r="G538" i="10"/>
  <c r="E538" i="10"/>
  <c r="D538" i="10"/>
  <c r="I537" i="10"/>
  <c r="G537" i="10"/>
  <c r="E537" i="10"/>
  <c r="D537" i="10"/>
  <c r="I536" i="10"/>
  <c r="G536" i="10"/>
  <c r="E536" i="10"/>
  <c r="D536" i="10"/>
  <c r="I535" i="10"/>
  <c r="G535" i="10"/>
  <c r="E535" i="10"/>
  <c r="D535" i="10"/>
  <c r="I534" i="10"/>
  <c r="G534" i="10"/>
  <c r="E534" i="10"/>
  <c r="D534" i="10"/>
  <c r="I533" i="10"/>
  <c r="G533" i="10"/>
  <c r="E533" i="10"/>
  <c r="D533" i="10"/>
  <c r="I532" i="10"/>
  <c r="G532" i="10"/>
  <c r="E532" i="10"/>
  <c r="D532" i="10"/>
  <c r="I531" i="10"/>
  <c r="G531" i="10"/>
  <c r="E531" i="10"/>
  <c r="D531" i="10"/>
  <c r="I530" i="10"/>
  <c r="G530" i="10"/>
  <c r="E530" i="10"/>
  <c r="D530" i="10"/>
  <c r="I529" i="10"/>
  <c r="G529" i="10"/>
  <c r="E529" i="10"/>
  <c r="D529" i="10"/>
  <c r="I528" i="10"/>
  <c r="G528" i="10"/>
  <c r="E528" i="10"/>
  <c r="D528" i="10"/>
  <c r="I527" i="10"/>
  <c r="G527" i="10"/>
  <c r="E527" i="10"/>
  <c r="D527" i="10"/>
  <c r="I526" i="10"/>
  <c r="G526" i="10"/>
  <c r="E526" i="10"/>
  <c r="D526" i="10"/>
  <c r="I525" i="10"/>
  <c r="G525" i="10"/>
  <c r="E525" i="10"/>
  <c r="D525" i="10"/>
  <c r="I524" i="10"/>
  <c r="G524" i="10"/>
  <c r="E524" i="10"/>
  <c r="D524" i="10"/>
  <c r="I523" i="10"/>
  <c r="G523" i="10"/>
  <c r="E523" i="10"/>
  <c r="D523" i="10"/>
  <c r="I522" i="10"/>
  <c r="G522" i="10"/>
  <c r="E522" i="10"/>
  <c r="D522" i="10"/>
  <c r="I521" i="10"/>
  <c r="G521" i="10"/>
  <c r="E521" i="10"/>
  <c r="D521" i="10"/>
  <c r="I520" i="10"/>
  <c r="G520" i="10"/>
  <c r="E520" i="10"/>
  <c r="D520" i="10"/>
  <c r="I519" i="10"/>
  <c r="G519" i="10"/>
  <c r="E519" i="10"/>
  <c r="D519" i="10"/>
  <c r="I518" i="10"/>
  <c r="G518" i="10"/>
  <c r="E518" i="10"/>
  <c r="D518" i="10"/>
  <c r="I517" i="10"/>
  <c r="G517" i="10"/>
  <c r="E517" i="10"/>
  <c r="D517" i="10"/>
  <c r="I516" i="10"/>
  <c r="G516" i="10"/>
  <c r="E516" i="10"/>
  <c r="D516" i="10"/>
  <c r="I515" i="10"/>
  <c r="G515" i="10"/>
  <c r="E515" i="10"/>
  <c r="D515" i="10"/>
  <c r="I514" i="10"/>
  <c r="G514" i="10"/>
  <c r="E514" i="10"/>
  <c r="D514" i="10"/>
  <c r="I513" i="10"/>
  <c r="G513" i="10"/>
  <c r="E513" i="10"/>
  <c r="D513" i="10"/>
  <c r="I512" i="10"/>
  <c r="G512" i="10"/>
  <c r="E512" i="10"/>
  <c r="D512" i="10"/>
  <c r="I511" i="10"/>
  <c r="G511" i="10"/>
  <c r="E511" i="10"/>
  <c r="D511" i="10"/>
  <c r="I510" i="10"/>
  <c r="G510" i="10"/>
  <c r="E510" i="10"/>
  <c r="D510" i="10"/>
  <c r="I509" i="10"/>
  <c r="G509" i="10"/>
  <c r="E509" i="10"/>
  <c r="D509" i="10"/>
  <c r="I508" i="10"/>
  <c r="G508" i="10"/>
  <c r="E508" i="10"/>
  <c r="D508" i="10"/>
  <c r="I507" i="10"/>
  <c r="G507" i="10"/>
  <c r="E507" i="10"/>
  <c r="D507" i="10"/>
  <c r="I506" i="10"/>
  <c r="G506" i="10"/>
  <c r="E506" i="10"/>
  <c r="D506" i="10"/>
  <c r="I505" i="10"/>
  <c r="G505" i="10"/>
  <c r="E505" i="10"/>
  <c r="D505" i="10"/>
  <c r="I504" i="10"/>
  <c r="G504" i="10"/>
  <c r="E504" i="10"/>
  <c r="D504" i="10"/>
  <c r="I503" i="10"/>
  <c r="G503" i="10"/>
  <c r="E503" i="10"/>
  <c r="D503" i="10"/>
  <c r="I502" i="10"/>
  <c r="G502" i="10"/>
  <c r="E502" i="10"/>
  <c r="D502" i="10"/>
  <c r="I501" i="10"/>
  <c r="G501" i="10"/>
  <c r="E501" i="10"/>
  <c r="D501" i="10"/>
  <c r="I500" i="10"/>
  <c r="G500" i="10"/>
  <c r="E500" i="10"/>
  <c r="D500" i="10"/>
  <c r="I499" i="10"/>
  <c r="G499" i="10"/>
  <c r="E499" i="10"/>
  <c r="D499" i="10"/>
  <c r="I498" i="10"/>
  <c r="G498" i="10"/>
  <c r="E498" i="10"/>
  <c r="D498" i="10"/>
  <c r="I497" i="10"/>
  <c r="G497" i="10"/>
  <c r="E497" i="10"/>
  <c r="D497" i="10"/>
  <c r="I496" i="10"/>
  <c r="G496" i="10"/>
  <c r="E496" i="10"/>
  <c r="D496" i="10"/>
  <c r="I495" i="10"/>
  <c r="G495" i="10"/>
  <c r="E495" i="10"/>
  <c r="D495" i="10"/>
  <c r="I494" i="10"/>
  <c r="G494" i="10"/>
  <c r="E494" i="10"/>
  <c r="D494" i="10"/>
  <c r="I493" i="10"/>
  <c r="G493" i="10"/>
  <c r="E493" i="10"/>
  <c r="D493" i="10"/>
  <c r="I492" i="10"/>
  <c r="G492" i="10"/>
  <c r="E492" i="10"/>
  <c r="D492" i="10"/>
  <c r="I491" i="10"/>
  <c r="G491" i="10"/>
  <c r="E491" i="10"/>
  <c r="D491" i="10"/>
  <c r="I490" i="10"/>
  <c r="G490" i="10"/>
  <c r="E490" i="10"/>
  <c r="D490" i="10"/>
  <c r="I489" i="10"/>
  <c r="G489" i="10"/>
  <c r="E489" i="10"/>
  <c r="D489" i="10"/>
  <c r="I488" i="10"/>
  <c r="G488" i="10"/>
  <c r="E488" i="10"/>
  <c r="D488" i="10"/>
  <c r="I487" i="10"/>
  <c r="G487" i="10"/>
  <c r="E487" i="10"/>
  <c r="D487" i="10"/>
  <c r="I486" i="10"/>
  <c r="G486" i="10"/>
  <c r="E486" i="10"/>
  <c r="D486" i="10"/>
  <c r="I485" i="10"/>
  <c r="G485" i="10"/>
  <c r="E485" i="10"/>
  <c r="D485" i="10"/>
  <c r="I484" i="10"/>
  <c r="G484" i="10"/>
  <c r="E484" i="10"/>
  <c r="D484" i="10"/>
  <c r="I483" i="10"/>
  <c r="G483" i="10"/>
  <c r="E483" i="10"/>
  <c r="D483" i="10"/>
  <c r="I482" i="10"/>
  <c r="G482" i="10"/>
  <c r="E482" i="10"/>
  <c r="D482" i="10"/>
  <c r="I481" i="10"/>
  <c r="G481" i="10"/>
  <c r="E481" i="10"/>
  <c r="D481" i="10"/>
  <c r="I480" i="10"/>
  <c r="G480" i="10"/>
  <c r="E480" i="10"/>
  <c r="D480" i="10"/>
  <c r="I479" i="10"/>
  <c r="G479" i="10"/>
  <c r="E479" i="10"/>
  <c r="D479" i="10"/>
  <c r="I478" i="10"/>
  <c r="G478" i="10"/>
  <c r="E478" i="10"/>
  <c r="D478" i="10"/>
  <c r="I477" i="10"/>
  <c r="G477" i="10"/>
  <c r="E477" i="10"/>
  <c r="D477" i="10"/>
  <c r="I476" i="10"/>
  <c r="G476" i="10"/>
  <c r="E476" i="10"/>
  <c r="D476" i="10"/>
  <c r="I475" i="10"/>
  <c r="G475" i="10"/>
  <c r="E475" i="10"/>
  <c r="D475" i="10"/>
  <c r="I474" i="10"/>
  <c r="G474" i="10"/>
  <c r="E474" i="10"/>
  <c r="D474" i="10"/>
  <c r="I473" i="10"/>
  <c r="G473" i="10"/>
  <c r="E473" i="10"/>
  <c r="D473" i="10"/>
  <c r="I472" i="10"/>
  <c r="G472" i="10"/>
  <c r="E472" i="10"/>
  <c r="D472" i="10"/>
  <c r="I471" i="10"/>
  <c r="G471" i="10"/>
  <c r="E471" i="10"/>
  <c r="D471" i="10"/>
  <c r="I470" i="10"/>
  <c r="G470" i="10"/>
  <c r="E470" i="10"/>
  <c r="D470" i="10"/>
  <c r="I469" i="10"/>
  <c r="G469" i="10"/>
  <c r="E469" i="10"/>
  <c r="D469" i="10"/>
  <c r="I468" i="10"/>
  <c r="G468" i="10"/>
  <c r="E468" i="10"/>
  <c r="D468" i="10"/>
  <c r="I467" i="10"/>
  <c r="G467" i="10"/>
  <c r="E467" i="10"/>
  <c r="D467" i="10"/>
  <c r="I466" i="10"/>
  <c r="G466" i="10"/>
  <c r="E466" i="10"/>
  <c r="D466" i="10"/>
  <c r="I465" i="10"/>
  <c r="G465" i="10"/>
  <c r="E465" i="10"/>
  <c r="D465" i="10"/>
  <c r="I464" i="10"/>
  <c r="G464" i="10"/>
  <c r="E464" i="10"/>
  <c r="D464" i="10"/>
  <c r="I463" i="10"/>
  <c r="G463" i="10"/>
  <c r="E463" i="10"/>
  <c r="D463" i="10"/>
  <c r="I462" i="10"/>
  <c r="G462" i="10"/>
  <c r="E462" i="10"/>
  <c r="D462" i="10"/>
  <c r="I461" i="10"/>
  <c r="G461" i="10"/>
  <c r="E461" i="10"/>
  <c r="D461" i="10"/>
  <c r="I460" i="10"/>
  <c r="G460" i="10"/>
  <c r="E460" i="10"/>
  <c r="D460" i="10"/>
  <c r="I459" i="10"/>
  <c r="G459" i="10"/>
  <c r="E459" i="10"/>
  <c r="D459" i="10"/>
  <c r="I458" i="10"/>
  <c r="G458" i="10"/>
  <c r="E458" i="10"/>
  <c r="D458" i="10"/>
  <c r="I457" i="10"/>
  <c r="G457" i="10"/>
  <c r="E457" i="10"/>
  <c r="D457" i="10"/>
  <c r="I456" i="10"/>
  <c r="G456" i="10"/>
  <c r="E456" i="10"/>
  <c r="D456" i="10"/>
  <c r="I455" i="10"/>
  <c r="G455" i="10"/>
  <c r="E455" i="10"/>
  <c r="D455" i="10"/>
  <c r="I454" i="10"/>
  <c r="G454" i="10"/>
  <c r="E454" i="10"/>
  <c r="D454" i="10"/>
  <c r="I453" i="10"/>
  <c r="G453" i="10"/>
  <c r="E453" i="10"/>
  <c r="D453" i="10"/>
  <c r="I452" i="10"/>
  <c r="G452" i="10"/>
  <c r="E452" i="10"/>
  <c r="D452" i="10"/>
  <c r="I451" i="10"/>
  <c r="G451" i="10"/>
  <c r="E451" i="10"/>
  <c r="D451" i="10"/>
  <c r="I450" i="10"/>
  <c r="G450" i="10"/>
  <c r="E450" i="10"/>
  <c r="D450" i="10"/>
  <c r="I449" i="10"/>
  <c r="G449" i="10"/>
  <c r="E449" i="10"/>
  <c r="D449" i="10"/>
  <c r="I448" i="10"/>
  <c r="G448" i="10"/>
  <c r="E448" i="10"/>
  <c r="D448" i="10"/>
  <c r="I447" i="10"/>
  <c r="G447" i="10"/>
  <c r="E447" i="10"/>
  <c r="D447" i="10"/>
  <c r="I446" i="10"/>
  <c r="G446" i="10"/>
  <c r="E446" i="10"/>
  <c r="D446" i="10"/>
  <c r="I445" i="10"/>
  <c r="G445" i="10"/>
  <c r="E445" i="10"/>
  <c r="D445" i="10"/>
  <c r="I444" i="10"/>
  <c r="G444" i="10"/>
  <c r="E444" i="10"/>
  <c r="D444" i="10"/>
  <c r="I443" i="10"/>
  <c r="G443" i="10"/>
  <c r="E443" i="10"/>
  <c r="D443" i="10"/>
  <c r="I442" i="10"/>
  <c r="G442" i="10"/>
  <c r="E442" i="10"/>
  <c r="D442" i="10"/>
  <c r="I441" i="10"/>
  <c r="G441" i="10"/>
  <c r="E441" i="10"/>
  <c r="D441" i="10"/>
  <c r="I440" i="10"/>
  <c r="G440" i="10"/>
  <c r="E440" i="10"/>
  <c r="D440" i="10"/>
  <c r="I439" i="10"/>
  <c r="G439" i="10"/>
  <c r="E439" i="10"/>
  <c r="D439" i="10"/>
  <c r="I438" i="10"/>
  <c r="G438" i="10"/>
  <c r="E438" i="10"/>
  <c r="D438" i="10"/>
  <c r="I437" i="10"/>
  <c r="G437" i="10"/>
  <c r="E437" i="10"/>
  <c r="D437" i="10"/>
  <c r="I436" i="10"/>
  <c r="G436" i="10"/>
  <c r="E436" i="10"/>
  <c r="D436" i="10"/>
  <c r="I435" i="10"/>
  <c r="G435" i="10"/>
  <c r="E435" i="10"/>
  <c r="D435" i="10"/>
  <c r="I434" i="10"/>
  <c r="G434" i="10"/>
  <c r="E434" i="10"/>
  <c r="D434" i="10"/>
  <c r="I433" i="10"/>
  <c r="G433" i="10"/>
  <c r="E433" i="10"/>
  <c r="D433" i="10"/>
  <c r="I432" i="10"/>
  <c r="G432" i="10"/>
  <c r="E432" i="10"/>
  <c r="D432" i="10"/>
  <c r="I431" i="10"/>
  <c r="G431" i="10"/>
  <c r="E431" i="10"/>
  <c r="D431" i="10"/>
  <c r="I430" i="10"/>
  <c r="G430" i="10"/>
  <c r="E430" i="10"/>
  <c r="D430" i="10"/>
  <c r="I429" i="10"/>
  <c r="G429" i="10"/>
  <c r="E429" i="10"/>
  <c r="D429" i="10"/>
  <c r="I428" i="10"/>
  <c r="G428" i="10"/>
  <c r="E428" i="10"/>
  <c r="D428" i="10"/>
  <c r="I427" i="10"/>
  <c r="G427" i="10"/>
  <c r="E427" i="10"/>
  <c r="D427" i="10"/>
  <c r="I426" i="10"/>
  <c r="G426" i="10"/>
  <c r="E426" i="10"/>
  <c r="D426" i="10"/>
  <c r="I425" i="10"/>
  <c r="G425" i="10"/>
  <c r="E425" i="10"/>
  <c r="D425" i="10"/>
  <c r="I424" i="10"/>
  <c r="G424" i="10"/>
  <c r="E424" i="10"/>
  <c r="D424" i="10"/>
  <c r="I423" i="10"/>
  <c r="G423" i="10"/>
  <c r="E423" i="10"/>
  <c r="D423" i="10"/>
  <c r="I422" i="10"/>
  <c r="G422" i="10"/>
  <c r="E422" i="10"/>
  <c r="D422" i="10"/>
  <c r="I421" i="10"/>
  <c r="G421" i="10"/>
  <c r="E421" i="10"/>
  <c r="D421" i="10"/>
  <c r="I420" i="10"/>
  <c r="G420" i="10"/>
  <c r="E420" i="10"/>
  <c r="D420" i="10"/>
  <c r="I419" i="10"/>
  <c r="G419" i="10"/>
  <c r="E419" i="10"/>
  <c r="D419" i="10"/>
  <c r="I418" i="10"/>
  <c r="G418" i="10"/>
  <c r="E418" i="10"/>
  <c r="D418" i="10"/>
  <c r="I417" i="10"/>
  <c r="G417" i="10"/>
  <c r="E417" i="10"/>
  <c r="D417" i="10"/>
  <c r="I416" i="10"/>
  <c r="G416" i="10"/>
  <c r="E416" i="10"/>
  <c r="D416" i="10"/>
  <c r="I415" i="10"/>
  <c r="G415" i="10"/>
  <c r="E415" i="10"/>
  <c r="D415" i="10"/>
  <c r="I414" i="10"/>
  <c r="G414" i="10"/>
  <c r="E414" i="10"/>
  <c r="D414" i="10"/>
  <c r="I413" i="10"/>
  <c r="G413" i="10"/>
  <c r="E413" i="10"/>
  <c r="D413" i="10"/>
  <c r="I412" i="10"/>
  <c r="G412" i="10"/>
  <c r="E412" i="10"/>
  <c r="D412" i="10"/>
  <c r="I411" i="10"/>
  <c r="G411" i="10"/>
  <c r="E411" i="10"/>
  <c r="D411" i="10"/>
  <c r="I410" i="10"/>
  <c r="G410" i="10"/>
  <c r="E410" i="10"/>
  <c r="D410" i="10"/>
  <c r="I409" i="10"/>
  <c r="G409" i="10"/>
  <c r="E409" i="10"/>
  <c r="D409" i="10"/>
  <c r="I408" i="10"/>
  <c r="G408" i="10"/>
  <c r="E408" i="10"/>
  <c r="D408" i="10"/>
  <c r="I407" i="10"/>
  <c r="G407" i="10"/>
  <c r="E407" i="10"/>
  <c r="D407" i="10"/>
  <c r="I406" i="10"/>
  <c r="G406" i="10"/>
  <c r="E406" i="10"/>
  <c r="D406" i="10"/>
  <c r="I405" i="10"/>
  <c r="G405" i="10"/>
  <c r="E405" i="10"/>
  <c r="D405" i="10"/>
  <c r="I404" i="10"/>
  <c r="G404" i="10"/>
  <c r="E404" i="10"/>
  <c r="D404" i="10"/>
  <c r="I403" i="10"/>
  <c r="G403" i="10"/>
  <c r="E403" i="10"/>
  <c r="D403" i="10"/>
  <c r="I402" i="10"/>
  <c r="G402" i="10"/>
  <c r="E402" i="10"/>
  <c r="D402" i="10"/>
  <c r="I401" i="10"/>
  <c r="G401" i="10"/>
  <c r="E401" i="10"/>
  <c r="D401" i="10"/>
  <c r="I400" i="10"/>
  <c r="G400" i="10"/>
  <c r="E400" i="10"/>
  <c r="D400" i="10"/>
  <c r="I399" i="10"/>
  <c r="G399" i="10"/>
  <c r="E399" i="10"/>
  <c r="D399" i="10"/>
  <c r="I398" i="10"/>
  <c r="G398" i="10"/>
  <c r="E398" i="10"/>
  <c r="D398" i="10"/>
  <c r="I397" i="10"/>
  <c r="G397" i="10"/>
  <c r="E397" i="10"/>
  <c r="D397" i="10"/>
  <c r="I396" i="10"/>
  <c r="G396" i="10"/>
  <c r="E396" i="10"/>
  <c r="D396" i="10"/>
  <c r="I395" i="10"/>
  <c r="G395" i="10"/>
  <c r="E395" i="10"/>
  <c r="D395" i="10"/>
  <c r="I394" i="10"/>
  <c r="G394" i="10"/>
  <c r="E394" i="10"/>
  <c r="D394" i="10"/>
  <c r="I393" i="10"/>
  <c r="G393" i="10"/>
  <c r="E393" i="10"/>
  <c r="D393" i="10"/>
  <c r="I392" i="10"/>
  <c r="G392" i="10"/>
  <c r="E392" i="10"/>
  <c r="D392" i="10"/>
  <c r="I391" i="10"/>
  <c r="G391" i="10"/>
  <c r="E391" i="10"/>
  <c r="D391" i="10"/>
  <c r="I390" i="10"/>
  <c r="G390" i="10"/>
  <c r="E390" i="10"/>
  <c r="D390" i="10"/>
  <c r="I389" i="10"/>
  <c r="G389" i="10"/>
  <c r="E389" i="10"/>
  <c r="D389" i="10"/>
  <c r="I388" i="10"/>
  <c r="G388" i="10"/>
  <c r="E388" i="10"/>
  <c r="D388" i="10"/>
  <c r="I387" i="10"/>
  <c r="G387" i="10"/>
  <c r="E387" i="10"/>
  <c r="D387" i="10"/>
  <c r="I386" i="10"/>
  <c r="G386" i="10"/>
  <c r="E386" i="10"/>
  <c r="D386" i="10"/>
  <c r="I385" i="10"/>
  <c r="G385" i="10"/>
  <c r="E385" i="10"/>
  <c r="D385" i="10"/>
  <c r="I384" i="10"/>
  <c r="G384" i="10"/>
  <c r="E384" i="10"/>
  <c r="D384" i="10"/>
  <c r="I383" i="10"/>
  <c r="G383" i="10"/>
  <c r="E383" i="10"/>
  <c r="D383" i="10"/>
  <c r="I382" i="10"/>
  <c r="G382" i="10"/>
  <c r="E382" i="10"/>
  <c r="D382" i="10"/>
  <c r="I381" i="10"/>
  <c r="G381" i="10"/>
  <c r="E381" i="10"/>
  <c r="D381" i="10"/>
  <c r="I380" i="10"/>
  <c r="G380" i="10"/>
  <c r="E380" i="10"/>
  <c r="D380" i="10"/>
  <c r="I379" i="10"/>
  <c r="G379" i="10"/>
  <c r="E379" i="10"/>
  <c r="D379" i="10"/>
  <c r="I378" i="10"/>
  <c r="G378" i="10"/>
  <c r="E378" i="10"/>
  <c r="D378" i="10"/>
  <c r="I377" i="10"/>
  <c r="G377" i="10"/>
  <c r="E377" i="10"/>
  <c r="D377" i="10"/>
  <c r="I376" i="10"/>
  <c r="G376" i="10"/>
  <c r="E376" i="10"/>
  <c r="D376" i="10"/>
  <c r="I375" i="10"/>
  <c r="G375" i="10"/>
  <c r="E375" i="10"/>
  <c r="D375" i="10"/>
  <c r="I374" i="10"/>
  <c r="G374" i="10"/>
  <c r="E374" i="10"/>
  <c r="D374" i="10"/>
  <c r="I373" i="10"/>
  <c r="G373" i="10"/>
  <c r="E373" i="10"/>
  <c r="D373" i="10"/>
  <c r="I372" i="10"/>
  <c r="G372" i="10"/>
  <c r="E372" i="10"/>
  <c r="D372" i="10"/>
  <c r="I371" i="10"/>
  <c r="G371" i="10"/>
  <c r="E371" i="10"/>
  <c r="D371" i="10"/>
  <c r="I370" i="10"/>
  <c r="G370" i="10"/>
  <c r="E370" i="10"/>
  <c r="D370" i="10"/>
  <c r="I369" i="10"/>
  <c r="G369" i="10"/>
  <c r="E369" i="10"/>
  <c r="D369" i="10"/>
  <c r="I368" i="10"/>
  <c r="G368" i="10"/>
  <c r="E368" i="10"/>
  <c r="D368" i="10"/>
  <c r="I367" i="10"/>
  <c r="G367" i="10"/>
  <c r="E367" i="10"/>
  <c r="D367" i="10"/>
  <c r="I366" i="10"/>
  <c r="G366" i="10"/>
  <c r="E366" i="10"/>
  <c r="D366" i="10"/>
  <c r="I365" i="10"/>
  <c r="G365" i="10"/>
  <c r="E365" i="10"/>
  <c r="D365" i="10"/>
  <c r="I364" i="10"/>
  <c r="G364" i="10"/>
  <c r="E364" i="10"/>
  <c r="D364" i="10"/>
  <c r="I363" i="10"/>
  <c r="G363" i="10"/>
  <c r="E363" i="10"/>
  <c r="D363" i="10"/>
  <c r="I362" i="10"/>
  <c r="G362" i="10"/>
  <c r="E362" i="10"/>
  <c r="D362" i="10"/>
  <c r="I361" i="10"/>
  <c r="G361" i="10"/>
  <c r="E361" i="10"/>
  <c r="D361" i="10"/>
  <c r="I360" i="10"/>
  <c r="G360" i="10"/>
  <c r="E360" i="10"/>
  <c r="D360" i="10"/>
  <c r="I359" i="10"/>
  <c r="G359" i="10"/>
  <c r="E359" i="10"/>
  <c r="D359" i="10"/>
  <c r="I358" i="10"/>
  <c r="G358" i="10"/>
  <c r="E358" i="10"/>
  <c r="D358" i="10"/>
  <c r="I357" i="10"/>
  <c r="G357" i="10"/>
  <c r="E357" i="10"/>
  <c r="D357" i="10"/>
  <c r="I356" i="10"/>
  <c r="G356" i="10"/>
  <c r="E356" i="10"/>
  <c r="D356" i="10"/>
  <c r="I355" i="10"/>
  <c r="G355" i="10"/>
  <c r="E355" i="10"/>
  <c r="D355" i="10"/>
  <c r="I354" i="10"/>
  <c r="G354" i="10"/>
  <c r="E354" i="10"/>
  <c r="D354" i="10"/>
  <c r="I353" i="10"/>
  <c r="G353" i="10"/>
  <c r="E353" i="10"/>
  <c r="D353" i="10"/>
  <c r="I352" i="10"/>
  <c r="G352" i="10"/>
  <c r="E352" i="10"/>
  <c r="D352" i="10"/>
  <c r="I351" i="10"/>
  <c r="G351" i="10"/>
  <c r="E351" i="10"/>
  <c r="D351" i="10"/>
  <c r="I350" i="10"/>
  <c r="G350" i="10"/>
  <c r="E350" i="10"/>
  <c r="D350" i="10"/>
  <c r="I349" i="10"/>
  <c r="G349" i="10"/>
  <c r="E349" i="10"/>
  <c r="D349" i="10"/>
  <c r="I348" i="10"/>
  <c r="G348" i="10"/>
  <c r="E348" i="10"/>
  <c r="D348" i="10"/>
  <c r="I347" i="10"/>
  <c r="G347" i="10"/>
  <c r="E347" i="10"/>
  <c r="D347" i="10"/>
  <c r="I346" i="10"/>
  <c r="G346" i="10"/>
  <c r="E346" i="10"/>
  <c r="D346" i="10"/>
  <c r="I345" i="10"/>
  <c r="G345" i="10"/>
  <c r="E345" i="10"/>
  <c r="D345" i="10"/>
  <c r="I344" i="10"/>
  <c r="G344" i="10"/>
  <c r="E344" i="10"/>
  <c r="D344" i="10"/>
  <c r="I343" i="10"/>
  <c r="G343" i="10"/>
  <c r="E343" i="10"/>
  <c r="D343" i="10"/>
  <c r="I342" i="10"/>
  <c r="G342" i="10"/>
  <c r="E342" i="10"/>
  <c r="D342" i="10"/>
  <c r="I341" i="10"/>
  <c r="G341" i="10"/>
  <c r="E341" i="10"/>
  <c r="D341" i="10"/>
  <c r="I340" i="10"/>
  <c r="G340" i="10"/>
  <c r="E340" i="10"/>
  <c r="D340" i="10"/>
  <c r="I339" i="10"/>
  <c r="G339" i="10"/>
  <c r="E339" i="10"/>
  <c r="D339" i="10"/>
  <c r="I338" i="10"/>
  <c r="G338" i="10"/>
  <c r="E338" i="10"/>
  <c r="D338" i="10"/>
  <c r="I337" i="10"/>
  <c r="G337" i="10"/>
  <c r="E337" i="10"/>
  <c r="D337" i="10"/>
  <c r="I336" i="10"/>
  <c r="G336" i="10"/>
  <c r="E336" i="10"/>
  <c r="D336" i="10"/>
  <c r="I335" i="10"/>
  <c r="G335" i="10"/>
  <c r="E335" i="10"/>
  <c r="D335" i="10"/>
  <c r="I334" i="10"/>
  <c r="G334" i="10"/>
  <c r="E334" i="10"/>
  <c r="D334" i="10"/>
  <c r="I333" i="10"/>
  <c r="G333" i="10"/>
  <c r="E333" i="10"/>
  <c r="D333" i="10"/>
  <c r="I332" i="10"/>
  <c r="G332" i="10"/>
  <c r="E332" i="10"/>
  <c r="D332" i="10"/>
  <c r="I331" i="10"/>
  <c r="G331" i="10"/>
  <c r="E331" i="10"/>
  <c r="D331" i="10"/>
  <c r="I330" i="10"/>
  <c r="G330" i="10"/>
  <c r="E330" i="10"/>
  <c r="D330" i="10"/>
  <c r="I329" i="10"/>
  <c r="G329" i="10"/>
  <c r="E329" i="10"/>
  <c r="D329" i="10"/>
  <c r="I328" i="10"/>
  <c r="G328" i="10"/>
  <c r="E328" i="10"/>
  <c r="D328" i="10"/>
  <c r="I327" i="10"/>
  <c r="G327" i="10"/>
  <c r="E327" i="10"/>
  <c r="D327" i="10"/>
  <c r="I326" i="10"/>
  <c r="G326" i="10"/>
  <c r="E326" i="10"/>
  <c r="D326" i="10"/>
  <c r="I325" i="10"/>
  <c r="G325" i="10"/>
  <c r="E325" i="10"/>
  <c r="D325" i="10"/>
  <c r="I324" i="10"/>
  <c r="G324" i="10"/>
  <c r="E324" i="10"/>
  <c r="D324" i="10"/>
  <c r="I323" i="10"/>
  <c r="G323" i="10"/>
  <c r="E323" i="10"/>
  <c r="D323" i="10"/>
  <c r="I322" i="10"/>
  <c r="G322" i="10"/>
  <c r="E322" i="10"/>
  <c r="D322" i="10"/>
  <c r="I321" i="10"/>
  <c r="G321" i="10"/>
  <c r="E321" i="10"/>
  <c r="D321" i="10"/>
  <c r="I320" i="10"/>
  <c r="G320" i="10"/>
  <c r="E320" i="10"/>
  <c r="D320" i="10"/>
  <c r="I319" i="10"/>
  <c r="G319" i="10"/>
  <c r="E319" i="10"/>
  <c r="D319" i="10"/>
  <c r="I318" i="10"/>
  <c r="G318" i="10"/>
  <c r="E318" i="10"/>
  <c r="D318" i="10"/>
  <c r="I317" i="10"/>
  <c r="G317" i="10"/>
  <c r="E317" i="10"/>
  <c r="D317" i="10"/>
  <c r="I316" i="10"/>
  <c r="G316" i="10"/>
  <c r="E316" i="10"/>
  <c r="D316" i="10"/>
  <c r="I315" i="10"/>
  <c r="G315" i="10"/>
  <c r="E315" i="10"/>
  <c r="D315" i="10"/>
  <c r="I314" i="10"/>
  <c r="G314" i="10"/>
  <c r="E314" i="10"/>
  <c r="D314" i="10"/>
  <c r="I313" i="10"/>
  <c r="G313" i="10"/>
  <c r="E313" i="10"/>
  <c r="D313" i="10"/>
  <c r="I312" i="10"/>
  <c r="G312" i="10"/>
  <c r="E312" i="10"/>
  <c r="D312" i="10"/>
  <c r="I311" i="10"/>
  <c r="G311" i="10"/>
  <c r="E311" i="10"/>
  <c r="D311" i="10"/>
  <c r="I310" i="10"/>
  <c r="G310" i="10"/>
  <c r="E310" i="10"/>
  <c r="D310" i="10"/>
  <c r="I309" i="10"/>
  <c r="G309" i="10"/>
  <c r="E309" i="10"/>
  <c r="D309" i="10"/>
  <c r="I308" i="10"/>
  <c r="G308" i="10"/>
  <c r="E308" i="10"/>
  <c r="D308" i="10"/>
  <c r="I307" i="10"/>
  <c r="G307" i="10"/>
  <c r="E307" i="10"/>
  <c r="D307" i="10"/>
  <c r="I306" i="10"/>
  <c r="G306" i="10"/>
  <c r="E306" i="10"/>
  <c r="D306" i="10"/>
  <c r="I305" i="10"/>
  <c r="G305" i="10"/>
  <c r="E305" i="10"/>
  <c r="D305" i="10"/>
  <c r="I304" i="10"/>
  <c r="G304" i="10"/>
  <c r="E304" i="10"/>
  <c r="D304" i="10"/>
  <c r="I303" i="10"/>
  <c r="G303" i="10"/>
  <c r="E303" i="10"/>
  <c r="D303" i="10"/>
  <c r="I302" i="10"/>
  <c r="G302" i="10"/>
  <c r="E302" i="10"/>
  <c r="D302" i="10"/>
  <c r="I301" i="10"/>
  <c r="G301" i="10"/>
  <c r="E301" i="10"/>
  <c r="D301" i="10"/>
  <c r="I300" i="10"/>
  <c r="G300" i="10"/>
  <c r="E300" i="10"/>
  <c r="D300" i="10"/>
  <c r="I299" i="10"/>
  <c r="G299" i="10"/>
  <c r="E299" i="10"/>
  <c r="D299" i="10"/>
  <c r="I298" i="10"/>
  <c r="G298" i="10"/>
  <c r="E298" i="10"/>
  <c r="D298" i="10"/>
  <c r="I297" i="10"/>
  <c r="G297" i="10"/>
  <c r="E297" i="10"/>
  <c r="D297" i="10"/>
  <c r="I296" i="10"/>
  <c r="G296" i="10"/>
  <c r="E296" i="10"/>
  <c r="D296" i="10"/>
  <c r="I295" i="10"/>
  <c r="G295" i="10"/>
  <c r="E295" i="10"/>
  <c r="D295" i="10"/>
  <c r="I294" i="10"/>
  <c r="G294" i="10"/>
  <c r="E294" i="10"/>
  <c r="D294" i="10"/>
  <c r="I293" i="10"/>
  <c r="G293" i="10"/>
  <c r="E293" i="10"/>
  <c r="D293" i="10"/>
  <c r="I292" i="10"/>
  <c r="G292" i="10"/>
  <c r="E292" i="10"/>
  <c r="D292" i="10"/>
  <c r="I291" i="10"/>
  <c r="G291" i="10"/>
  <c r="E291" i="10"/>
  <c r="D291" i="10"/>
  <c r="I290" i="10"/>
  <c r="G290" i="10"/>
  <c r="E290" i="10"/>
  <c r="D290" i="10"/>
  <c r="I289" i="10"/>
  <c r="G289" i="10"/>
  <c r="E289" i="10"/>
  <c r="D289" i="10"/>
  <c r="I288" i="10"/>
  <c r="G288" i="10"/>
  <c r="E288" i="10"/>
  <c r="D288" i="10"/>
  <c r="I287" i="10"/>
  <c r="G287" i="10"/>
  <c r="E287" i="10"/>
  <c r="D287" i="10"/>
  <c r="I286" i="10"/>
  <c r="G286" i="10"/>
  <c r="E286" i="10"/>
  <c r="D286" i="10"/>
  <c r="I285" i="10"/>
  <c r="G285" i="10"/>
  <c r="E285" i="10"/>
  <c r="D285" i="10"/>
  <c r="I284" i="10"/>
  <c r="G284" i="10"/>
  <c r="E284" i="10"/>
  <c r="D284" i="10"/>
  <c r="I283" i="10"/>
  <c r="G283" i="10"/>
  <c r="E283" i="10"/>
  <c r="D283" i="10"/>
  <c r="I282" i="10"/>
  <c r="G282" i="10"/>
  <c r="E282" i="10"/>
  <c r="D282" i="10"/>
  <c r="I281" i="10"/>
  <c r="G281" i="10"/>
  <c r="E281" i="10"/>
  <c r="D281" i="10"/>
  <c r="I280" i="10"/>
  <c r="G280" i="10"/>
  <c r="E280" i="10"/>
  <c r="D280" i="10"/>
  <c r="I279" i="10"/>
  <c r="G279" i="10"/>
  <c r="E279" i="10"/>
  <c r="D279" i="10"/>
  <c r="I278" i="10"/>
  <c r="G278" i="10"/>
  <c r="E278" i="10"/>
  <c r="D278" i="10"/>
  <c r="I277" i="10"/>
  <c r="G277" i="10"/>
  <c r="E277" i="10"/>
  <c r="D277" i="10"/>
  <c r="I276" i="10"/>
  <c r="G276" i="10"/>
  <c r="E276" i="10"/>
  <c r="D276" i="10"/>
  <c r="I275" i="10"/>
  <c r="G275" i="10"/>
  <c r="E275" i="10"/>
  <c r="D275" i="10"/>
  <c r="I274" i="10"/>
  <c r="G274" i="10"/>
  <c r="E274" i="10"/>
  <c r="D274" i="10"/>
  <c r="I273" i="10"/>
  <c r="G273" i="10"/>
  <c r="E273" i="10"/>
  <c r="D273" i="10"/>
  <c r="I272" i="10"/>
  <c r="G272" i="10"/>
  <c r="E272" i="10"/>
  <c r="D272" i="10"/>
  <c r="I271" i="10"/>
  <c r="G271" i="10"/>
  <c r="E271" i="10"/>
  <c r="D271" i="10"/>
  <c r="I270" i="10"/>
  <c r="G270" i="10"/>
  <c r="E270" i="10"/>
  <c r="D270" i="10"/>
  <c r="I269" i="10"/>
  <c r="G269" i="10"/>
  <c r="E269" i="10"/>
  <c r="D269" i="10"/>
  <c r="I268" i="10"/>
  <c r="G268" i="10"/>
  <c r="E268" i="10"/>
  <c r="D268" i="10"/>
  <c r="I267" i="10"/>
  <c r="G267" i="10"/>
  <c r="E267" i="10"/>
  <c r="D267" i="10"/>
  <c r="I266" i="10"/>
  <c r="G266" i="10"/>
  <c r="E266" i="10"/>
  <c r="D266" i="10"/>
  <c r="I265" i="10"/>
  <c r="G265" i="10"/>
  <c r="E265" i="10"/>
  <c r="D265" i="10"/>
  <c r="I264" i="10"/>
  <c r="G264" i="10"/>
  <c r="E264" i="10"/>
  <c r="D264" i="10"/>
  <c r="I263" i="10"/>
  <c r="G263" i="10"/>
  <c r="E263" i="10"/>
  <c r="D263" i="10"/>
  <c r="I262" i="10"/>
  <c r="G262" i="10"/>
  <c r="E262" i="10"/>
  <c r="D262" i="10"/>
  <c r="I261" i="10"/>
  <c r="G261" i="10"/>
  <c r="E261" i="10"/>
  <c r="D261" i="10"/>
  <c r="I260" i="10"/>
  <c r="G260" i="10"/>
  <c r="E260" i="10"/>
  <c r="D260" i="10"/>
  <c r="I259" i="10"/>
  <c r="G259" i="10"/>
  <c r="E259" i="10"/>
  <c r="D259" i="10"/>
  <c r="I258" i="10"/>
  <c r="G258" i="10"/>
  <c r="E258" i="10"/>
  <c r="D258" i="10"/>
  <c r="I257" i="10"/>
  <c r="G257" i="10"/>
  <c r="E257" i="10"/>
  <c r="D257" i="10"/>
  <c r="I256" i="10"/>
  <c r="G256" i="10"/>
  <c r="E256" i="10"/>
  <c r="D256" i="10"/>
  <c r="I255" i="10"/>
  <c r="G255" i="10"/>
  <c r="E255" i="10"/>
  <c r="D255" i="10"/>
  <c r="I254" i="10"/>
  <c r="G254" i="10"/>
  <c r="E254" i="10"/>
  <c r="D254" i="10"/>
  <c r="I253" i="10"/>
  <c r="G253" i="10"/>
  <c r="E253" i="10"/>
  <c r="D253" i="10"/>
  <c r="I252" i="10"/>
  <c r="G252" i="10"/>
  <c r="E252" i="10"/>
  <c r="D252" i="10"/>
  <c r="I251" i="10"/>
  <c r="G251" i="10"/>
  <c r="E251" i="10"/>
  <c r="D251" i="10"/>
  <c r="I250" i="10"/>
  <c r="G250" i="10"/>
  <c r="E250" i="10"/>
  <c r="D250" i="10"/>
  <c r="I249" i="10"/>
  <c r="G249" i="10"/>
  <c r="E249" i="10"/>
  <c r="D249" i="10"/>
  <c r="I248" i="10"/>
  <c r="G248" i="10"/>
  <c r="E248" i="10"/>
  <c r="D248" i="10"/>
  <c r="I247" i="10"/>
  <c r="G247" i="10"/>
  <c r="E247" i="10"/>
  <c r="D247" i="10"/>
  <c r="I246" i="10"/>
  <c r="G246" i="10"/>
  <c r="E246" i="10"/>
  <c r="D246" i="10"/>
  <c r="I245" i="10"/>
  <c r="G245" i="10"/>
  <c r="E245" i="10"/>
  <c r="D245" i="10"/>
  <c r="I244" i="10"/>
  <c r="G244" i="10"/>
  <c r="E244" i="10"/>
  <c r="D244" i="10"/>
  <c r="I243" i="10"/>
  <c r="G243" i="10"/>
  <c r="E243" i="10"/>
  <c r="D243" i="10"/>
  <c r="I242" i="10"/>
  <c r="G242" i="10"/>
  <c r="E242" i="10"/>
  <c r="D242" i="10"/>
  <c r="I241" i="10"/>
  <c r="G241" i="10"/>
  <c r="E241" i="10"/>
  <c r="D241" i="10"/>
  <c r="I240" i="10"/>
  <c r="G240" i="10"/>
  <c r="E240" i="10"/>
  <c r="D240" i="10"/>
  <c r="I239" i="10"/>
  <c r="G239" i="10"/>
  <c r="E239" i="10"/>
  <c r="D239" i="10"/>
  <c r="I238" i="10"/>
  <c r="G238" i="10"/>
  <c r="E238" i="10"/>
  <c r="D238" i="10"/>
  <c r="I237" i="10"/>
  <c r="G237" i="10"/>
  <c r="E237" i="10"/>
  <c r="D237" i="10"/>
  <c r="I236" i="10"/>
  <c r="G236" i="10"/>
  <c r="E236" i="10"/>
  <c r="D236" i="10"/>
  <c r="I235" i="10"/>
  <c r="G235" i="10"/>
  <c r="E235" i="10"/>
  <c r="D235" i="10"/>
  <c r="I234" i="10"/>
  <c r="G234" i="10"/>
  <c r="E234" i="10"/>
  <c r="D234" i="10"/>
  <c r="I233" i="10"/>
  <c r="G233" i="10"/>
  <c r="E233" i="10"/>
  <c r="D233" i="10"/>
  <c r="I232" i="10"/>
  <c r="G232" i="10"/>
  <c r="E232" i="10"/>
  <c r="D232" i="10"/>
  <c r="I231" i="10"/>
  <c r="G231" i="10"/>
  <c r="E231" i="10"/>
  <c r="D231" i="10"/>
  <c r="I230" i="10"/>
  <c r="G230" i="10"/>
  <c r="E230" i="10"/>
  <c r="D230" i="10"/>
  <c r="I229" i="10"/>
  <c r="G229" i="10"/>
  <c r="E229" i="10"/>
  <c r="D229" i="10"/>
  <c r="I228" i="10"/>
  <c r="G228" i="10"/>
  <c r="E228" i="10"/>
  <c r="D228" i="10"/>
  <c r="I227" i="10"/>
  <c r="G227" i="10"/>
  <c r="E227" i="10"/>
  <c r="D227" i="10"/>
  <c r="I226" i="10"/>
  <c r="G226" i="10"/>
  <c r="E226" i="10"/>
  <c r="D226" i="10"/>
  <c r="I225" i="10"/>
  <c r="G225" i="10"/>
  <c r="E225" i="10"/>
  <c r="D225" i="10"/>
  <c r="I224" i="10"/>
  <c r="G224" i="10"/>
  <c r="E224" i="10"/>
  <c r="D224" i="10"/>
  <c r="I223" i="10"/>
  <c r="G223" i="10"/>
  <c r="E223" i="10"/>
  <c r="D223" i="10"/>
  <c r="I222" i="10"/>
  <c r="G222" i="10"/>
  <c r="E222" i="10"/>
  <c r="D222" i="10"/>
  <c r="I221" i="10"/>
  <c r="G221" i="10"/>
  <c r="E221" i="10"/>
  <c r="D221" i="10"/>
  <c r="I220" i="10"/>
  <c r="G220" i="10"/>
  <c r="E220" i="10"/>
  <c r="D220" i="10"/>
  <c r="I219" i="10"/>
  <c r="G219" i="10"/>
  <c r="E219" i="10"/>
  <c r="D219" i="10"/>
  <c r="I218" i="10"/>
  <c r="G218" i="10"/>
  <c r="E218" i="10"/>
  <c r="D218" i="10"/>
  <c r="I217" i="10"/>
  <c r="G217" i="10"/>
  <c r="E217" i="10"/>
  <c r="D217" i="10"/>
  <c r="I216" i="10"/>
  <c r="G216" i="10"/>
  <c r="E216" i="10"/>
  <c r="D216" i="10"/>
  <c r="I215" i="10"/>
  <c r="G215" i="10"/>
  <c r="E215" i="10"/>
  <c r="D215" i="10"/>
  <c r="I214" i="10"/>
  <c r="G214" i="10"/>
  <c r="E214" i="10"/>
  <c r="D214" i="10"/>
  <c r="I213" i="10"/>
  <c r="G213" i="10"/>
  <c r="E213" i="10"/>
  <c r="D213" i="10"/>
  <c r="I212" i="10"/>
  <c r="G212" i="10"/>
  <c r="E212" i="10"/>
  <c r="D212" i="10"/>
  <c r="I211" i="10"/>
  <c r="G211" i="10"/>
  <c r="E211" i="10"/>
  <c r="D211" i="10"/>
  <c r="I210" i="10"/>
  <c r="G210" i="10"/>
  <c r="E210" i="10"/>
  <c r="D210" i="10"/>
  <c r="I209" i="10"/>
  <c r="G209" i="10"/>
  <c r="E209" i="10"/>
  <c r="D209" i="10"/>
  <c r="I208" i="10"/>
  <c r="G208" i="10"/>
  <c r="E208" i="10"/>
  <c r="D208" i="10"/>
  <c r="I207" i="10"/>
  <c r="G207" i="10"/>
  <c r="E207" i="10"/>
  <c r="D207" i="10"/>
  <c r="I206" i="10"/>
  <c r="G206" i="10"/>
  <c r="E206" i="10"/>
  <c r="D206" i="10"/>
  <c r="I205" i="10"/>
  <c r="G205" i="10"/>
  <c r="E205" i="10"/>
  <c r="D205" i="10"/>
  <c r="I204" i="10"/>
  <c r="G204" i="10"/>
  <c r="E204" i="10"/>
  <c r="D204" i="10"/>
  <c r="I203" i="10"/>
  <c r="G203" i="10"/>
  <c r="E203" i="10"/>
  <c r="D203" i="10"/>
  <c r="I202" i="10"/>
  <c r="G202" i="10"/>
  <c r="E202" i="10"/>
  <c r="D202" i="10"/>
  <c r="I201" i="10"/>
  <c r="G201" i="10"/>
  <c r="E201" i="10"/>
  <c r="D201" i="10"/>
  <c r="I200" i="10"/>
  <c r="G200" i="10"/>
  <c r="E200" i="10"/>
  <c r="D200" i="10"/>
  <c r="I199" i="10"/>
  <c r="G199" i="10"/>
  <c r="E199" i="10"/>
  <c r="D199" i="10"/>
  <c r="I198" i="10"/>
  <c r="G198" i="10"/>
  <c r="E198" i="10"/>
  <c r="D198" i="10"/>
  <c r="I197" i="10"/>
  <c r="G197" i="10"/>
  <c r="E197" i="10"/>
  <c r="D197" i="10"/>
  <c r="I196" i="10"/>
  <c r="G196" i="10"/>
  <c r="E196" i="10"/>
  <c r="D196" i="10"/>
  <c r="I195" i="10"/>
  <c r="G195" i="10"/>
  <c r="E195" i="10"/>
  <c r="D195" i="10"/>
  <c r="I194" i="10"/>
  <c r="G194" i="10"/>
  <c r="E194" i="10"/>
  <c r="D194" i="10"/>
  <c r="I193" i="10"/>
  <c r="G193" i="10"/>
  <c r="E193" i="10"/>
  <c r="D193" i="10"/>
  <c r="I192" i="10"/>
  <c r="G192" i="10"/>
  <c r="E192" i="10"/>
  <c r="D192" i="10"/>
  <c r="I191" i="10"/>
  <c r="G191" i="10"/>
  <c r="E191" i="10"/>
  <c r="D191" i="10"/>
  <c r="I190" i="10"/>
  <c r="G190" i="10"/>
  <c r="E190" i="10"/>
  <c r="D190" i="10"/>
  <c r="I189" i="10"/>
  <c r="G189" i="10"/>
  <c r="E189" i="10"/>
  <c r="D189" i="10"/>
  <c r="I188" i="10"/>
  <c r="G188" i="10"/>
  <c r="E188" i="10"/>
  <c r="D188" i="10"/>
  <c r="I187" i="10"/>
  <c r="G187" i="10"/>
  <c r="E187" i="10"/>
  <c r="D187" i="10"/>
  <c r="I186" i="10"/>
  <c r="G186" i="10"/>
  <c r="E186" i="10"/>
  <c r="D186" i="10"/>
  <c r="I185" i="10"/>
  <c r="G185" i="10"/>
  <c r="E185" i="10"/>
  <c r="D185" i="10"/>
  <c r="I184" i="10"/>
  <c r="G184" i="10"/>
  <c r="E184" i="10"/>
  <c r="D184" i="10"/>
  <c r="I183" i="10"/>
  <c r="G183" i="10"/>
  <c r="E183" i="10"/>
  <c r="D183" i="10"/>
  <c r="I182" i="10"/>
  <c r="G182" i="10"/>
  <c r="E182" i="10"/>
  <c r="D182" i="10"/>
  <c r="I181" i="10"/>
  <c r="G181" i="10"/>
  <c r="E181" i="10"/>
  <c r="D181" i="10"/>
  <c r="I180" i="10"/>
  <c r="G180" i="10"/>
  <c r="E180" i="10"/>
  <c r="D180" i="10"/>
  <c r="I179" i="10"/>
  <c r="G179" i="10"/>
  <c r="E179" i="10"/>
  <c r="D179" i="10"/>
  <c r="I178" i="10"/>
  <c r="G178" i="10"/>
  <c r="E178" i="10"/>
  <c r="D178" i="10"/>
  <c r="I177" i="10"/>
  <c r="G177" i="10"/>
  <c r="E177" i="10"/>
  <c r="D177" i="10"/>
  <c r="I176" i="10"/>
  <c r="G176" i="10"/>
  <c r="E176" i="10"/>
  <c r="D176" i="10"/>
  <c r="I175" i="10"/>
  <c r="G175" i="10"/>
  <c r="E175" i="10"/>
  <c r="D175" i="10"/>
  <c r="I174" i="10"/>
  <c r="G174" i="10"/>
  <c r="E174" i="10"/>
  <c r="D174" i="10"/>
  <c r="I173" i="10"/>
  <c r="G173" i="10"/>
  <c r="E173" i="10"/>
  <c r="D173" i="10"/>
  <c r="I172" i="10"/>
  <c r="G172" i="10"/>
  <c r="E172" i="10"/>
  <c r="D172" i="10"/>
  <c r="I171" i="10"/>
  <c r="G171" i="10"/>
  <c r="E171" i="10"/>
  <c r="D171" i="10"/>
  <c r="I170" i="10"/>
  <c r="G170" i="10"/>
  <c r="E170" i="10"/>
  <c r="D170" i="10"/>
  <c r="I169" i="10"/>
  <c r="G169" i="10"/>
  <c r="E169" i="10"/>
  <c r="D169" i="10"/>
  <c r="I168" i="10"/>
  <c r="G168" i="10"/>
  <c r="E168" i="10"/>
  <c r="D168" i="10"/>
  <c r="I167" i="10"/>
  <c r="G167" i="10"/>
  <c r="E167" i="10"/>
  <c r="D167" i="10"/>
  <c r="I166" i="10"/>
  <c r="G166" i="10"/>
  <c r="E166" i="10"/>
  <c r="D166" i="10"/>
  <c r="I165" i="10"/>
  <c r="G165" i="10"/>
  <c r="E165" i="10"/>
  <c r="D165" i="10"/>
  <c r="I164" i="10"/>
  <c r="G164" i="10"/>
  <c r="E164" i="10"/>
  <c r="D164" i="10"/>
  <c r="I163" i="10"/>
  <c r="G163" i="10"/>
  <c r="E163" i="10"/>
  <c r="D163" i="10"/>
  <c r="I162" i="10"/>
  <c r="G162" i="10"/>
  <c r="E162" i="10"/>
  <c r="D162" i="10"/>
  <c r="I161" i="10"/>
  <c r="G161" i="10"/>
  <c r="E161" i="10"/>
  <c r="D161" i="10"/>
  <c r="I160" i="10"/>
  <c r="G160" i="10"/>
  <c r="E160" i="10"/>
  <c r="D160" i="10"/>
  <c r="I159" i="10"/>
  <c r="G159" i="10"/>
  <c r="E159" i="10"/>
  <c r="D159" i="10"/>
  <c r="I158" i="10"/>
  <c r="G158" i="10"/>
  <c r="E158" i="10"/>
  <c r="D158" i="10"/>
  <c r="I157" i="10"/>
  <c r="G157" i="10"/>
  <c r="E157" i="10"/>
  <c r="D157" i="10"/>
  <c r="I156" i="10"/>
  <c r="G156" i="10"/>
  <c r="E156" i="10"/>
  <c r="D156" i="10"/>
  <c r="I155" i="10"/>
  <c r="G155" i="10"/>
  <c r="E155" i="10"/>
  <c r="D155" i="10"/>
  <c r="I154" i="10"/>
  <c r="G154" i="10"/>
  <c r="E154" i="10"/>
  <c r="D154" i="10"/>
  <c r="I153" i="10"/>
  <c r="G153" i="10"/>
  <c r="E153" i="10"/>
  <c r="D153" i="10"/>
  <c r="I152" i="10"/>
  <c r="G152" i="10"/>
  <c r="E152" i="10"/>
  <c r="D152" i="10"/>
  <c r="I151" i="10"/>
  <c r="G151" i="10"/>
  <c r="E151" i="10"/>
  <c r="D151" i="10"/>
  <c r="I150" i="10"/>
  <c r="G150" i="10"/>
  <c r="E150" i="10"/>
  <c r="D150" i="10"/>
  <c r="I149" i="10"/>
  <c r="G149" i="10"/>
  <c r="E149" i="10"/>
  <c r="D149" i="10"/>
  <c r="I148" i="10"/>
  <c r="G148" i="10"/>
  <c r="E148" i="10"/>
  <c r="D148" i="10"/>
  <c r="I147" i="10"/>
  <c r="G147" i="10"/>
  <c r="E147" i="10"/>
  <c r="D147" i="10"/>
  <c r="I146" i="10"/>
  <c r="G146" i="10"/>
  <c r="E146" i="10"/>
  <c r="D146" i="10"/>
  <c r="I145" i="10"/>
  <c r="G145" i="10"/>
  <c r="E145" i="10"/>
  <c r="D145" i="10"/>
  <c r="I144" i="10"/>
  <c r="G144" i="10"/>
  <c r="E144" i="10"/>
  <c r="D144" i="10"/>
  <c r="I143" i="10"/>
  <c r="G143" i="10"/>
  <c r="E143" i="10"/>
  <c r="D143" i="10"/>
  <c r="I142" i="10"/>
  <c r="G142" i="10"/>
  <c r="E142" i="10"/>
  <c r="D142" i="10"/>
  <c r="I141" i="10"/>
  <c r="G141" i="10"/>
  <c r="E141" i="10"/>
  <c r="D141" i="10"/>
  <c r="I140" i="10"/>
  <c r="G140" i="10"/>
  <c r="E140" i="10"/>
  <c r="D140" i="10"/>
  <c r="I139" i="10"/>
  <c r="G139" i="10"/>
  <c r="E139" i="10"/>
  <c r="D139" i="10"/>
  <c r="I138" i="10"/>
  <c r="G138" i="10"/>
  <c r="E138" i="10"/>
  <c r="D138" i="10"/>
  <c r="I137" i="10"/>
  <c r="G137" i="10"/>
  <c r="E137" i="10"/>
  <c r="D137" i="10"/>
  <c r="I136" i="10"/>
  <c r="G136" i="10"/>
  <c r="E136" i="10"/>
  <c r="D136" i="10"/>
  <c r="I135" i="10"/>
  <c r="G135" i="10"/>
  <c r="E135" i="10"/>
  <c r="D135" i="10"/>
  <c r="I134" i="10"/>
  <c r="G134" i="10"/>
  <c r="E134" i="10"/>
  <c r="D134" i="10"/>
  <c r="I133" i="10"/>
  <c r="G133" i="10"/>
  <c r="E133" i="10"/>
  <c r="D133" i="10"/>
  <c r="I132" i="10"/>
  <c r="G132" i="10"/>
  <c r="E132" i="10"/>
  <c r="D132" i="10"/>
  <c r="I131" i="10"/>
  <c r="G131" i="10"/>
  <c r="E131" i="10"/>
  <c r="D131" i="10"/>
  <c r="I130" i="10"/>
  <c r="G130" i="10"/>
  <c r="E130" i="10"/>
  <c r="D130" i="10"/>
  <c r="I129" i="10"/>
  <c r="G129" i="10"/>
  <c r="E129" i="10"/>
  <c r="D129" i="10"/>
  <c r="I128" i="10"/>
  <c r="G128" i="10"/>
  <c r="E128" i="10"/>
  <c r="D128" i="10"/>
  <c r="I127" i="10"/>
  <c r="G127" i="10"/>
  <c r="E127" i="10"/>
  <c r="D127" i="10"/>
  <c r="I126" i="10"/>
  <c r="G126" i="10"/>
  <c r="E126" i="10"/>
  <c r="D126" i="10"/>
  <c r="I125" i="10"/>
  <c r="G125" i="10"/>
  <c r="E125" i="10"/>
  <c r="D125" i="10"/>
  <c r="I124" i="10"/>
  <c r="G124" i="10"/>
  <c r="E124" i="10"/>
  <c r="D124" i="10"/>
  <c r="I123" i="10"/>
  <c r="G123" i="10"/>
  <c r="E123" i="10"/>
  <c r="D123" i="10"/>
  <c r="I122" i="10"/>
  <c r="G122" i="10"/>
  <c r="E122" i="10"/>
  <c r="D122" i="10"/>
  <c r="I121" i="10"/>
  <c r="G121" i="10"/>
  <c r="E121" i="10"/>
  <c r="D121" i="10"/>
  <c r="I120" i="10"/>
  <c r="G120" i="10"/>
  <c r="E120" i="10"/>
  <c r="D120" i="10"/>
  <c r="I119" i="10"/>
  <c r="G119" i="10"/>
  <c r="E119" i="10"/>
  <c r="D119" i="10"/>
  <c r="I118" i="10"/>
  <c r="G118" i="10"/>
  <c r="E118" i="10"/>
  <c r="D118" i="10"/>
  <c r="I117" i="10"/>
  <c r="G117" i="10"/>
  <c r="E117" i="10"/>
  <c r="D117" i="10"/>
  <c r="I116" i="10"/>
  <c r="G116" i="10"/>
  <c r="E116" i="10"/>
  <c r="D116" i="10"/>
  <c r="I115" i="10"/>
  <c r="G115" i="10"/>
  <c r="E115" i="10"/>
  <c r="D115" i="10"/>
  <c r="I114" i="10"/>
  <c r="G114" i="10"/>
  <c r="E114" i="10"/>
  <c r="D114" i="10"/>
  <c r="I113" i="10"/>
  <c r="G113" i="10"/>
  <c r="E113" i="10"/>
  <c r="D113" i="10"/>
  <c r="I112" i="10"/>
  <c r="G112" i="10"/>
  <c r="E112" i="10"/>
  <c r="D112" i="10"/>
  <c r="I111" i="10"/>
  <c r="G111" i="10"/>
  <c r="E111" i="10"/>
  <c r="D111" i="10"/>
  <c r="I110" i="10"/>
  <c r="G110" i="10"/>
  <c r="E110" i="10"/>
  <c r="D110" i="10"/>
  <c r="I109" i="10"/>
  <c r="G109" i="10"/>
  <c r="E109" i="10"/>
  <c r="D109" i="10"/>
  <c r="I108" i="10"/>
  <c r="G108" i="10"/>
  <c r="E108" i="10"/>
  <c r="D108" i="10"/>
  <c r="I107" i="10"/>
  <c r="G107" i="10"/>
  <c r="E107" i="10"/>
  <c r="D107" i="10"/>
  <c r="I106" i="10"/>
  <c r="G106" i="10"/>
  <c r="E106" i="10"/>
  <c r="D106" i="10"/>
  <c r="I105" i="10"/>
  <c r="G105" i="10"/>
  <c r="E105" i="10"/>
  <c r="D105" i="10"/>
  <c r="I104" i="10"/>
  <c r="G104" i="10"/>
  <c r="E104" i="10"/>
  <c r="D104" i="10"/>
  <c r="I103" i="10"/>
  <c r="G103" i="10"/>
  <c r="E103" i="10"/>
  <c r="D103" i="10"/>
  <c r="I102" i="10"/>
  <c r="G102" i="10"/>
  <c r="E102" i="10"/>
  <c r="D102" i="10"/>
  <c r="I101" i="10"/>
  <c r="G101" i="10"/>
  <c r="E101" i="10"/>
  <c r="D101" i="10"/>
  <c r="I100" i="10"/>
  <c r="G100" i="10"/>
  <c r="E100" i="10"/>
  <c r="D100" i="10"/>
  <c r="I99" i="10"/>
  <c r="G99" i="10"/>
  <c r="E99" i="10"/>
  <c r="D99" i="10"/>
  <c r="I98" i="10"/>
  <c r="G98" i="10"/>
  <c r="E98" i="10"/>
  <c r="D98" i="10"/>
  <c r="I97" i="10"/>
  <c r="G97" i="10"/>
  <c r="E97" i="10"/>
  <c r="D97" i="10"/>
  <c r="I96" i="10"/>
  <c r="G96" i="10"/>
  <c r="E96" i="10"/>
  <c r="D96" i="10"/>
  <c r="I95" i="10"/>
  <c r="G95" i="10"/>
  <c r="E95" i="10"/>
  <c r="D95" i="10"/>
  <c r="I94" i="10"/>
  <c r="G94" i="10"/>
  <c r="E94" i="10"/>
  <c r="D94" i="10"/>
  <c r="I93" i="10"/>
  <c r="G93" i="10"/>
  <c r="E93" i="10"/>
  <c r="D93" i="10"/>
  <c r="I92" i="10"/>
  <c r="G92" i="10"/>
  <c r="E92" i="10"/>
  <c r="D92" i="10"/>
  <c r="I91" i="10"/>
  <c r="G91" i="10"/>
  <c r="E91" i="10"/>
  <c r="D91" i="10"/>
  <c r="I90" i="10"/>
  <c r="G90" i="10"/>
  <c r="E90" i="10"/>
  <c r="D90" i="10"/>
  <c r="I89" i="10"/>
  <c r="G89" i="10"/>
  <c r="E89" i="10"/>
  <c r="D89" i="10"/>
  <c r="I88" i="10"/>
  <c r="G88" i="10"/>
  <c r="E88" i="10"/>
  <c r="D88" i="10"/>
  <c r="I87" i="10"/>
  <c r="G87" i="10"/>
  <c r="E87" i="10"/>
  <c r="D87" i="10"/>
  <c r="I86" i="10"/>
  <c r="G86" i="10"/>
  <c r="E86" i="10"/>
  <c r="D86" i="10"/>
  <c r="I85" i="10"/>
  <c r="G85" i="10"/>
  <c r="E85" i="10"/>
  <c r="D85" i="10"/>
  <c r="I84" i="10"/>
  <c r="G84" i="10"/>
  <c r="E84" i="10"/>
  <c r="D84" i="10"/>
  <c r="I83" i="10"/>
  <c r="G83" i="10"/>
  <c r="E83" i="10"/>
  <c r="D83" i="10"/>
  <c r="I82" i="10"/>
  <c r="G82" i="10"/>
  <c r="E82" i="10"/>
  <c r="D82" i="10"/>
  <c r="I81" i="10"/>
  <c r="G81" i="10"/>
  <c r="E81" i="10"/>
  <c r="D81" i="10"/>
  <c r="I80" i="10"/>
  <c r="G80" i="10"/>
  <c r="E80" i="10"/>
  <c r="D80" i="10"/>
  <c r="I79" i="10"/>
  <c r="G79" i="10"/>
  <c r="E79" i="10"/>
  <c r="D79" i="10"/>
  <c r="I78" i="10"/>
  <c r="G78" i="10"/>
  <c r="E78" i="10"/>
  <c r="D78" i="10"/>
  <c r="I77" i="10"/>
  <c r="G77" i="10"/>
  <c r="E77" i="10"/>
  <c r="D77" i="10"/>
  <c r="I76" i="10"/>
  <c r="G76" i="10"/>
  <c r="E76" i="10"/>
  <c r="D76" i="10"/>
  <c r="I75" i="10"/>
  <c r="G75" i="10"/>
  <c r="E75" i="10"/>
  <c r="D75" i="10"/>
  <c r="I74" i="10"/>
  <c r="G74" i="10"/>
  <c r="E74" i="10"/>
  <c r="D74" i="10"/>
  <c r="I73" i="10"/>
  <c r="G73" i="10"/>
  <c r="E73" i="10"/>
  <c r="D73" i="10"/>
  <c r="I72" i="10"/>
  <c r="G72" i="10"/>
  <c r="E72" i="10"/>
  <c r="D72" i="10"/>
  <c r="I71" i="10"/>
  <c r="G71" i="10"/>
  <c r="E71" i="10"/>
  <c r="D71" i="10"/>
  <c r="I70" i="10"/>
  <c r="G70" i="10"/>
  <c r="E70" i="10"/>
  <c r="D70" i="10"/>
  <c r="I69" i="10"/>
  <c r="G69" i="10"/>
  <c r="E69" i="10"/>
  <c r="D69" i="10"/>
  <c r="I68" i="10"/>
  <c r="G68" i="10"/>
  <c r="E68" i="10"/>
  <c r="D68" i="10"/>
  <c r="I67" i="10"/>
  <c r="G67" i="10"/>
  <c r="E67" i="10"/>
  <c r="D67" i="10"/>
  <c r="I66" i="10"/>
  <c r="G66" i="10"/>
  <c r="E66" i="10"/>
  <c r="D66" i="10"/>
  <c r="I65" i="10"/>
  <c r="G65" i="10"/>
  <c r="E65" i="10"/>
  <c r="D65" i="10"/>
  <c r="I64" i="10"/>
  <c r="G64" i="10"/>
  <c r="E64" i="10"/>
  <c r="D64" i="10"/>
  <c r="I63" i="10"/>
  <c r="G63" i="10"/>
  <c r="E63" i="10"/>
  <c r="D63" i="10"/>
  <c r="I62" i="10"/>
  <c r="G62" i="10"/>
  <c r="E62" i="10"/>
  <c r="D62" i="10"/>
  <c r="I61" i="10"/>
  <c r="G61" i="10"/>
  <c r="E61" i="10"/>
  <c r="D61" i="10"/>
  <c r="I60" i="10"/>
  <c r="G60" i="10"/>
  <c r="E60" i="10"/>
  <c r="D60" i="10"/>
  <c r="I59" i="10"/>
  <c r="G59" i="10"/>
  <c r="E59" i="10"/>
  <c r="D59" i="10"/>
  <c r="I58" i="10"/>
  <c r="G58" i="10"/>
  <c r="E58" i="10"/>
  <c r="D58" i="10"/>
  <c r="I57" i="10"/>
  <c r="G57" i="10"/>
  <c r="E57" i="10"/>
  <c r="D57" i="10"/>
  <c r="I56" i="10"/>
  <c r="G56" i="10"/>
  <c r="E56" i="10"/>
  <c r="D56" i="10"/>
  <c r="I55" i="10"/>
  <c r="G55" i="10"/>
  <c r="E55" i="10"/>
  <c r="D55" i="10"/>
  <c r="I54" i="10"/>
  <c r="G54" i="10"/>
  <c r="E54" i="10"/>
  <c r="D54" i="10"/>
  <c r="I53" i="10"/>
  <c r="G53" i="10"/>
  <c r="E53" i="10"/>
  <c r="D53" i="10"/>
  <c r="I52" i="10"/>
  <c r="G52" i="10"/>
  <c r="E52" i="10"/>
  <c r="D52" i="10"/>
  <c r="I51" i="10"/>
  <c r="G51" i="10"/>
  <c r="E51" i="10"/>
  <c r="D51" i="10"/>
  <c r="I50" i="10"/>
  <c r="G50" i="10"/>
  <c r="E50" i="10"/>
  <c r="D50" i="10"/>
  <c r="I49" i="10"/>
  <c r="G49" i="10"/>
  <c r="E49" i="10"/>
  <c r="D49" i="10"/>
  <c r="I48" i="10"/>
  <c r="G48" i="10"/>
  <c r="E48" i="10"/>
  <c r="D48" i="10"/>
  <c r="I47" i="10"/>
  <c r="G47" i="10"/>
  <c r="E47" i="10"/>
  <c r="D47" i="10"/>
  <c r="I46" i="10"/>
  <c r="G46" i="10"/>
  <c r="E46" i="10"/>
  <c r="D46" i="10"/>
  <c r="I45" i="10"/>
  <c r="G45" i="10"/>
  <c r="E45" i="10"/>
  <c r="D45" i="10"/>
  <c r="I44" i="10"/>
  <c r="G44" i="10"/>
  <c r="E44" i="10"/>
  <c r="D44" i="10"/>
  <c r="I43" i="10"/>
  <c r="G43" i="10"/>
  <c r="E43" i="10"/>
  <c r="D43" i="10"/>
  <c r="I42" i="10"/>
  <c r="G42" i="10"/>
  <c r="E42" i="10"/>
  <c r="D42" i="10"/>
  <c r="I41" i="10"/>
  <c r="G41" i="10"/>
  <c r="E41" i="10"/>
  <c r="D41" i="10"/>
  <c r="I40" i="10"/>
  <c r="G40" i="10"/>
  <c r="E40" i="10"/>
  <c r="D40" i="10"/>
  <c r="I39" i="10"/>
  <c r="G39" i="10"/>
  <c r="E39" i="10"/>
  <c r="D39" i="10"/>
  <c r="I38" i="10"/>
  <c r="G38" i="10"/>
  <c r="E38" i="10"/>
  <c r="D38" i="10"/>
  <c r="I37" i="10"/>
  <c r="G37" i="10"/>
  <c r="E37" i="10"/>
  <c r="D37" i="10"/>
  <c r="I36" i="10"/>
  <c r="G36" i="10"/>
  <c r="E36" i="10"/>
  <c r="D36" i="10"/>
  <c r="G35" i="10"/>
  <c r="E35" i="10"/>
  <c r="D35" i="10"/>
  <c r="I34" i="10"/>
  <c r="G34" i="10"/>
  <c r="E34" i="10"/>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Y4" i="10"/>
  <c r="AC13" i="10"/>
  <c r="AC1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E48804-984B-47B6-9073-DB24580F1CA0}" keepAlive="1" name="Query - DS1" description="Connection to the 'DS1' query in the workbook." type="5" refreshedVersion="0" background="1">
    <dbPr connection="Provider=Microsoft.Mashup.OleDb.1;Data Source=$Workbook$;Location=DS1;Extended Properties=&quot;&quot;" command="SELECT * FROM [DS1]"/>
  </connection>
</connections>
</file>

<file path=xl/sharedStrings.xml><?xml version="1.0" encoding="utf-8"?>
<sst xmlns="http://schemas.openxmlformats.org/spreadsheetml/2006/main" count="1276" uniqueCount="103">
  <si>
    <t>instant</t>
  </si>
  <si>
    <t>dteday</t>
  </si>
  <si>
    <t>season</t>
  </si>
  <si>
    <t>yr</t>
  </si>
  <si>
    <t>mnth</t>
  </si>
  <si>
    <t>hr</t>
  </si>
  <si>
    <t>holiday</t>
  </si>
  <si>
    <t>weekday</t>
  </si>
  <si>
    <t>weathersit</t>
  </si>
  <si>
    <t>temp</t>
  </si>
  <si>
    <t>28-01-2011</t>
  </si>
  <si>
    <t>Unnamed: 0</t>
  </si>
  <si>
    <t>atemp</t>
  </si>
  <si>
    <t>hum</t>
  </si>
  <si>
    <t>windspeed</t>
  </si>
  <si>
    <t>casual</t>
  </si>
  <si>
    <t>registered</t>
  </si>
  <si>
    <t>cnt</t>
  </si>
  <si>
    <t>29-01-2011</t>
  </si>
  <si>
    <t>30-01-2011</t>
  </si>
  <si>
    <t>31-01-2011</t>
  </si>
  <si>
    <t>13-02-2011</t>
  </si>
  <si>
    <t>14-02-2011</t>
  </si>
  <si>
    <t>Instant</t>
  </si>
  <si>
    <t>Date Day</t>
  </si>
  <si>
    <t>Season</t>
  </si>
  <si>
    <t>Year</t>
  </si>
  <si>
    <t>Month</t>
  </si>
  <si>
    <t>Hour</t>
  </si>
  <si>
    <t>Holiday</t>
  </si>
  <si>
    <t>Weekday</t>
  </si>
  <si>
    <t>Weathersit</t>
  </si>
  <si>
    <t>Temp</t>
  </si>
  <si>
    <t>Atemp</t>
  </si>
  <si>
    <t>Hum</t>
  </si>
  <si>
    <t>Windspeed</t>
  </si>
  <si>
    <t>Casual</t>
  </si>
  <si>
    <t>Registered</t>
  </si>
  <si>
    <t>Cnt</t>
  </si>
  <si>
    <t>Atemp Blank cells</t>
  </si>
  <si>
    <t>Avg_wind</t>
  </si>
  <si>
    <t>Average_Atemp after cell M</t>
  </si>
  <si>
    <t>Avg_Windspeed for "0"</t>
  </si>
  <si>
    <t>Avg windspeed</t>
  </si>
  <si>
    <t>Date</t>
  </si>
  <si>
    <t>Day</t>
  </si>
  <si>
    <t>Holiday Name</t>
  </si>
  <si>
    <t>Saturday</t>
  </si>
  <si>
    <t>New Year’s Day</t>
  </si>
  <si>
    <t>Wednesday</t>
  </si>
  <si>
    <t>Republic Day</t>
  </si>
  <si>
    <t>Tuesday</t>
  </si>
  <si>
    <t>Holi</t>
  </si>
  <si>
    <t>Friday</t>
  </si>
  <si>
    <t>Ram Navami</t>
  </si>
  <si>
    <t>Sunday</t>
  </si>
  <si>
    <t>Mahavir Jayanti</t>
  </si>
  <si>
    <t>Good Friday</t>
  </si>
  <si>
    <t>Labour Day (May Day)</t>
  </si>
  <si>
    <t>Monday</t>
  </si>
  <si>
    <t>Independence Day</t>
  </si>
  <si>
    <t>Janmashtami</t>
  </si>
  <si>
    <t>Eid-ul-Fitr (Ramzan Id)</t>
  </si>
  <si>
    <t>Gandhi Jayanti</t>
  </si>
  <si>
    <t>Thursday</t>
  </si>
  <si>
    <t>Dussehra (Vijaya Dashami)</t>
  </si>
  <si>
    <t>Diwali (Deepavali)</t>
  </si>
  <si>
    <t>Bakrid / Eid al-Adha</t>
  </si>
  <si>
    <t>Guru Nanak Jayanti</t>
  </si>
  <si>
    <t>Muharram</t>
  </si>
  <si>
    <t>Christmas Day</t>
  </si>
  <si>
    <t>Weekdays</t>
  </si>
  <si>
    <t>Public Holidays for 2011</t>
  </si>
  <si>
    <t>Weather Status</t>
  </si>
  <si>
    <t>Temp Status</t>
  </si>
  <si>
    <t>Row Labels</t>
  </si>
  <si>
    <t>Grand Total</t>
  </si>
  <si>
    <t>Sum of Cnt</t>
  </si>
  <si>
    <t>Windspeed Range</t>
  </si>
  <si>
    <t xml:space="preserve">upto 20 </t>
  </si>
  <si>
    <t>Low</t>
  </si>
  <si>
    <t>Medium</t>
  </si>
  <si>
    <t>&gt;20-30 kmph</t>
  </si>
  <si>
    <t>&gt;30-60 kmph</t>
  </si>
  <si>
    <t>High</t>
  </si>
  <si>
    <t>Sum of Casual</t>
  </si>
  <si>
    <t>Sum of Registered</t>
  </si>
  <si>
    <t>Week</t>
  </si>
  <si>
    <t>Column1</t>
  </si>
  <si>
    <t>Week 1</t>
  </si>
  <si>
    <t>Week 2</t>
  </si>
  <si>
    <t>Sum of Hum</t>
  </si>
  <si>
    <t xml:space="preserve">UBIQUE ID </t>
  </si>
  <si>
    <t>DATE , M , Y</t>
  </si>
  <si>
    <t xml:space="preserve">1-JAN -WINTER </t>
  </si>
  <si>
    <t xml:space="preserve">FALSE -NO HOLIDAY , TRUE -HOLIDAY </t>
  </si>
  <si>
    <t>1-6 MON TO SAT</t>
  </si>
  <si>
    <t xml:space="preserve">1-CLEAR SKY, 2, MODERATE, 3, LIGHT RAIN , 4, HEAVY RAIN </t>
  </si>
  <si>
    <t>FIXED TEMP</t>
  </si>
  <si>
    <t>ASSUEME TEMP</t>
  </si>
  <si>
    <t xml:space="preserve">NOT PERMANENT REGISTRATION </t>
  </si>
  <si>
    <t xml:space="preserve">PERMANENT REGISTRATION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</si>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</sst>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000"/>
  </numFmts>
  <fonts count="7" x14ac:knownFonts="1">
    <font>
      <sz val="11"/>
      <color theme="1"/>
      <name val="Calibri"/>
      <family val="2"/>
      <scheme val="minor"/>
    </font>
    <font>
      <sz val="10"/>
      <color theme="1"/>
      <name val="Arial"/>
      <family val="2"/>
    </font>
    <font>
      <b/>
      <sz val="11"/>
      <color theme="1"/>
      <name val="Calibri"/>
      <family val="2"/>
      <scheme val="minor"/>
    </font>
    <font>
      <b/>
      <sz val="10"/>
      <color theme="1"/>
      <name val="Arial"/>
      <family val="2"/>
    </font>
    <font>
      <sz val="11"/>
      <color rgb="FFFFFF00"/>
      <name val="Calibri"/>
      <family val="2"/>
      <scheme val="minor"/>
    </font>
    <font>
      <sz val="12"/>
      <color theme="1"/>
      <name val="Calibri"/>
      <family val="2"/>
      <scheme val="minor"/>
    </font>
    <font>
      <sz val="12"/>
      <color rgb="FFFF0000"/>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tint="-4.9989318521683403E-2"/>
        <bgColor indexed="64"/>
      </patternFill>
    </fill>
  </fills>
  <borders count="2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2">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horizontal="right" wrapText="1"/>
    </xf>
    <xf numFmtId="0" fontId="1" fillId="0" borderId="1" xfId="0" applyFont="1" applyBorder="1" applyAlignment="1">
      <alignment horizontal="center" wrapText="1"/>
    </xf>
    <xf numFmtId="0" fontId="0" fillId="0" borderId="1" xfId="0" applyBorder="1" applyAlignment="1">
      <alignment wrapText="1"/>
    </xf>
    <xf numFmtId="0" fontId="1" fillId="0" borderId="4" xfId="0" applyFont="1" applyBorder="1" applyAlignment="1">
      <alignment wrapText="1"/>
    </xf>
    <xf numFmtId="0" fontId="1" fillId="0" borderId="2" xfId="0" applyFont="1" applyBorder="1" applyAlignment="1">
      <alignment horizontal="center" wrapText="1"/>
    </xf>
    <xf numFmtId="164" fontId="1" fillId="0" borderId="2" xfId="0" applyNumberFormat="1" applyFont="1" applyBorder="1" applyAlignment="1">
      <alignment horizontal="center" wrapText="1"/>
    </xf>
    <xf numFmtId="0" fontId="1" fillId="0" borderId="5" xfId="0" applyFont="1" applyBorder="1" applyAlignment="1">
      <alignment horizontal="center" wrapText="1"/>
    </xf>
    <xf numFmtId="0" fontId="1" fillId="0" borderId="6" xfId="0" applyFont="1" applyBorder="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9" xfId="0" applyFont="1" applyBorder="1" applyAlignment="1">
      <alignment horizontal="center" wrapText="1"/>
    </xf>
    <xf numFmtId="0" fontId="1" fillId="0" borderId="10" xfId="0" applyFont="1" applyBorder="1" applyAlignment="1">
      <alignment horizontal="center" wrapText="1"/>
    </xf>
    <xf numFmtId="164" fontId="1" fillId="0" borderId="11" xfId="0" applyNumberFormat="1" applyFont="1" applyBorder="1" applyAlignment="1">
      <alignment horizontal="center" wrapText="1"/>
    </xf>
    <xf numFmtId="0" fontId="1" fillId="0" borderId="11" xfId="0" applyFont="1" applyBorder="1" applyAlignment="1">
      <alignment horizontal="center" wrapText="1"/>
    </xf>
    <xf numFmtId="0" fontId="1" fillId="0" borderId="12" xfId="0" applyFont="1" applyBorder="1" applyAlignment="1">
      <alignment horizontal="center" wrapText="1"/>
    </xf>
    <xf numFmtId="0" fontId="0" fillId="0" borderId="3" xfId="0" applyBorder="1" applyAlignment="1">
      <alignment wrapText="1"/>
    </xf>
    <xf numFmtId="0" fontId="0" fillId="0" borderId="4" xfId="0" applyBorder="1" applyAlignment="1">
      <alignment wrapText="1"/>
    </xf>
    <xf numFmtId="0" fontId="0" fillId="0" borderId="2" xfId="0" applyBorder="1" applyAlignment="1">
      <alignment horizontal="center" vertical="center" wrapText="1"/>
    </xf>
    <xf numFmtId="0" fontId="0" fillId="0" borderId="2" xfId="0" applyBorder="1" applyAlignment="1">
      <alignment horizontal="center" wrapText="1"/>
    </xf>
    <xf numFmtId="165" fontId="0" fillId="0" borderId="2" xfId="0" applyNumberFormat="1" applyBorder="1" applyAlignment="1">
      <alignment horizontal="center" wrapText="1"/>
    </xf>
    <xf numFmtId="0" fontId="0" fillId="0" borderId="6" xfId="0" applyBorder="1" applyAlignment="1">
      <alignment horizontal="center" wrapText="1"/>
    </xf>
    <xf numFmtId="0" fontId="0" fillId="0" borderId="13" xfId="0" applyBorder="1" applyAlignment="1">
      <alignment wrapText="1"/>
    </xf>
    <xf numFmtId="0" fontId="0" fillId="0" borderId="14" xfId="0" applyBorder="1" applyAlignment="1">
      <alignment wrapText="1"/>
    </xf>
    <xf numFmtId="0" fontId="0" fillId="0" borderId="15" xfId="0" applyBorder="1" applyAlignment="1">
      <alignment wrapText="1"/>
    </xf>
    <xf numFmtId="0" fontId="0" fillId="0" borderId="5" xfId="0" applyBorder="1" applyAlignment="1">
      <alignment horizont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wrapText="1"/>
    </xf>
    <xf numFmtId="0" fontId="0" fillId="0" borderId="11" xfId="0" applyBorder="1" applyAlignment="1">
      <alignment horizontal="center" wrapText="1"/>
    </xf>
    <xf numFmtId="165" fontId="0" fillId="0" borderId="11" xfId="0" applyNumberFormat="1" applyBorder="1" applyAlignment="1">
      <alignment horizontal="center" wrapText="1"/>
    </xf>
    <xf numFmtId="0" fontId="0" fillId="0" borderId="12" xfId="0" applyBorder="1" applyAlignment="1">
      <alignment horizontal="center" wrapText="1"/>
    </xf>
    <xf numFmtId="0" fontId="4" fillId="0" borderId="9"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165" fontId="4" fillId="2" borderId="6" xfId="0" applyNumberFormat="1" applyFont="1" applyFill="1" applyBorder="1" applyAlignment="1">
      <alignment horizontal="center" wrapText="1"/>
    </xf>
    <xf numFmtId="0" fontId="0" fillId="0" borderId="2" xfId="0" applyBorder="1" applyAlignment="1">
      <alignment horizontal="center"/>
    </xf>
    <xf numFmtId="0" fontId="0" fillId="0" borderId="0" xfId="0" applyAlignment="1">
      <alignment horizontal="center"/>
    </xf>
    <xf numFmtId="164" fontId="0" fillId="0" borderId="0" xfId="0" applyNumberFormat="1"/>
    <xf numFmtId="164" fontId="0" fillId="0" borderId="0" xfId="0" applyNumberFormat="1" applyAlignment="1">
      <alignment horizontal="center"/>
    </xf>
    <xf numFmtId="165" fontId="1" fillId="0" borderId="1" xfId="0" applyNumberFormat="1" applyFont="1" applyBorder="1"/>
    <xf numFmtId="165" fontId="1" fillId="0" borderId="1" xfId="0" applyNumberFormat="1" applyFont="1" applyBorder="1" applyAlignment="1">
      <alignment horizontal="right" wrapText="1"/>
    </xf>
    <xf numFmtId="15" fontId="0" fillId="0" borderId="2" xfId="0" applyNumberFormat="1" applyBorder="1" applyAlignment="1">
      <alignment horizontal="center" vertical="center" wrapText="1"/>
    </xf>
    <xf numFmtId="0" fontId="2" fillId="0" borderId="8"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6" fillId="3" borderId="8" xfId="0" applyFont="1" applyFill="1" applyBorder="1" applyAlignment="1">
      <alignment horizontal="center" vertical="center"/>
    </xf>
    <xf numFmtId="0" fontId="5" fillId="0" borderId="0" xfId="0" applyFont="1" applyAlignment="1">
      <alignment horizontal="center" vertical="center"/>
    </xf>
    <xf numFmtId="0" fontId="0" fillId="4" borderId="19" xfId="0" applyFill="1" applyBorder="1" applyAlignment="1">
      <alignment horizontal="center"/>
    </xf>
    <xf numFmtId="0" fontId="0" fillId="4" borderId="20" xfId="0" applyFill="1" applyBorder="1" applyAlignment="1">
      <alignment horizontal="center"/>
    </xf>
    <xf numFmtId="0" fontId="0" fillId="4" borderId="21" xfId="0" applyFill="1" applyBorder="1" applyAlignment="1">
      <alignment horizontal="center"/>
    </xf>
    <xf numFmtId="0" fontId="0" fillId="4" borderId="22" xfId="0" applyFill="1" applyBorder="1" applyAlignment="1">
      <alignment horizontal="center"/>
    </xf>
    <xf numFmtId="0" fontId="0" fillId="4" borderId="0" xfId="0" applyFill="1" applyAlignment="1">
      <alignment horizontal="center"/>
    </xf>
    <xf numFmtId="0" fontId="0" fillId="4" borderId="23" xfId="0" applyFill="1" applyBorder="1" applyAlignment="1">
      <alignment horizontal="center"/>
    </xf>
    <xf numFmtId="0" fontId="0" fillId="4" borderId="24" xfId="0" applyFill="1" applyBorder="1" applyAlignment="1">
      <alignment horizontal="center"/>
    </xf>
    <xf numFmtId="0" fontId="0" fillId="4" borderId="25" xfId="0" applyFill="1" applyBorder="1" applyAlignment="1">
      <alignment horizontal="center"/>
    </xf>
    <xf numFmtId="0" fontId="0" fillId="4" borderId="26" xfId="0" applyFill="1" applyBorder="1" applyAlignment="1">
      <alignment horizontal="center"/>
    </xf>
    <xf numFmtId="0" fontId="5" fillId="0" borderId="5" xfId="0" applyFont="1" applyBorder="1" applyAlignment="1">
      <alignment horizontal="center"/>
    </xf>
    <xf numFmtId="164" fontId="5" fillId="0" borderId="2" xfId="0" applyNumberFormat="1" applyFont="1" applyBorder="1" applyAlignment="1">
      <alignment horizontal="center"/>
    </xf>
    <xf numFmtId="0" fontId="5" fillId="0" borderId="2" xfId="0" applyFont="1" applyBorder="1" applyAlignment="1">
      <alignment horizontal="center"/>
    </xf>
    <xf numFmtId="0" fontId="6" fillId="3" borderId="2" xfId="0" applyFont="1" applyFill="1" applyBorder="1" applyAlignment="1">
      <alignment horizontal="center"/>
    </xf>
    <xf numFmtId="165" fontId="5" fillId="0" borderId="2" xfId="0" applyNumberFormat="1" applyFont="1" applyBorder="1" applyAlignment="1">
      <alignment horizontal="center"/>
    </xf>
    <xf numFmtId="0" fontId="5" fillId="0" borderId="10" xfId="0" applyFont="1" applyBorder="1" applyAlignment="1">
      <alignment horizontal="center"/>
    </xf>
    <xf numFmtId="164" fontId="5" fillId="0" borderId="11" xfId="0" applyNumberFormat="1" applyFont="1" applyBorder="1" applyAlignment="1">
      <alignment horizontal="center"/>
    </xf>
    <xf numFmtId="0" fontId="5" fillId="0" borderId="11" xfId="0" applyFont="1" applyBorder="1" applyAlignment="1">
      <alignment horizontal="center"/>
    </xf>
    <xf numFmtId="0" fontId="6" fillId="3" borderId="11" xfId="0" applyFont="1" applyFill="1" applyBorder="1" applyAlignment="1">
      <alignment horizontal="center"/>
    </xf>
    <xf numFmtId="165" fontId="5" fillId="0" borderId="11" xfId="0" applyNumberFormat="1" applyFont="1" applyBorder="1" applyAlignment="1">
      <alignment horizontal="center"/>
    </xf>
    <xf numFmtId="0" fontId="0" fillId="0" borderId="0" xfId="0" applyNumberFormat="1"/>
    <xf numFmtId="0" fontId="5" fillId="0" borderId="2" xfId="0" applyFont="1" applyBorder="1" applyAlignment="1">
      <alignment horizontal="center" vertical="center"/>
    </xf>
    <xf numFmtId="0" fontId="6" fillId="3" borderId="2" xfId="0" applyFont="1" applyFill="1" applyBorder="1" applyAlignment="1">
      <alignment horizontal="center" vertical="center"/>
    </xf>
    <xf numFmtId="165" fontId="6" fillId="3" borderId="2" xfId="0" applyNumberFormat="1" applyFont="1" applyFill="1" applyBorder="1" applyAlignment="1">
      <alignment horizontal="center"/>
    </xf>
    <xf numFmtId="165" fontId="6" fillId="3" borderId="11" xfId="0" applyNumberFormat="1" applyFont="1" applyFill="1" applyBorder="1" applyAlignment="1">
      <alignment horizontal="center"/>
    </xf>
    <xf numFmtId="165" fontId="0" fillId="0" borderId="10" xfId="0" applyNumberFormat="1" applyBorder="1" applyAlignment="1">
      <alignment horizontal="center" wrapText="1"/>
    </xf>
    <xf numFmtId="165" fontId="1" fillId="0" borderId="1" xfId="0" applyNumberFormat="1" applyFont="1" applyBorder="1" applyAlignment="1">
      <alignment wrapText="1"/>
    </xf>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xf>
  </cellXfs>
  <cellStyles count="1">
    <cellStyle name="Normal" xfId="0" builtinId="0"/>
  </cellStyles>
  <dxfs count="80">
    <dxf>
      <font>
        <strike val="0"/>
        <outline val="0"/>
        <shadow val="0"/>
        <u val="none"/>
        <vertAlign val="baseline"/>
        <sz val="12"/>
        <color rgb="FFFF0000"/>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rgb="FFFF0000"/>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rgb="FFFF0000"/>
        <name val="Calibri"/>
        <family val="2"/>
        <scheme val="minor"/>
      </font>
      <numFmt numFmtId="165" formatCode="0.0000"/>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5" formatCode="0.0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rgb="FFFF0000"/>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rgb="FFFF0000"/>
        <name val="Calibri"/>
        <family val="2"/>
        <scheme val="minor"/>
      </font>
      <numFmt numFmtId="0" formatCode="General"/>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409]d\-m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bottom" textRotation="0" wrapText="0" indent="0" justifyLastLine="0" shrinkToFit="0" readingOrder="0"/>
    </dxf>
    <dxf>
      <border>
        <bottom style="thin">
          <color indexed="64"/>
        </bottom>
      </border>
    </dxf>
    <dxf>
      <font>
        <strike val="0"/>
        <outline val="0"/>
        <shadow val="0"/>
        <u val="none"/>
        <vertAlign val="baseline"/>
        <sz val="12"/>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09]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border diagonalUp="0" diagonalDown="0" outline="0">
        <left style="thin">
          <color indexed="64"/>
        </left>
        <right/>
        <top style="thin">
          <color indexed="64"/>
        </top>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1" indent="0" justifyLastLine="0" shrinkToFit="0" readingOrder="0"/>
      <border diagonalUp="0" diagonalDown="0" outline="0">
        <left/>
        <right style="thin">
          <color indexed="64"/>
        </right>
        <top style="thin">
          <color indexed="64"/>
        </top>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rgb="FFFFFF00"/>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1"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0.0000"/>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border outline="0">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numFmt numFmtId="164" formatCode="[$-409]d\-mmm\-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33333"/>
      <color rgb="FF696969"/>
      <color rgb="FFFF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1.xlsx]New DS_2!PivotTable6</c:name>
    <c:fmtId val="1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34524258133085E-2"/>
          <c:y val="0"/>
          <c:w val="0.95798611225978481"/>
          <c:h val="0.82447506561679795"/>
        </c:manualLayout>
      </c:layout>
      <c:lineChart>
        <c:grouping val="stacked"/>
        <c:varyColors val="0"/>
        <c:ser>
          <c:idx val="0"/>
          <c:order val="0"/>
          <c:tx>
            <c:strRef>
              <c:f>'New DS_2'!$W$8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DS_2'!$V$9:$V$32</c:f>
              <c:strCache>
                <c:ptCount val="23"/>
                <c:pt idx="0">
                  <c:v>0</c:v>
                </c:pt>
                <c:pt idx="1">
                  <c:v>1</c:v>
                </c:pt>
                <c:pt idx="2">
                  <c:v>2</c:v>
                </c:pt>
                <c:pt idx="3">
                  <c:v>3</c:v>
                </c:pt>
                <c:pt idx="4">
                  <c:v>4</c:v>
                </c:pt>
                <c:pt idx="5">
                  <c:v>5</c:v>
                </c:pt>
                <c:pt idx="6">
                  <c:v>6</c:v>
                </c:pt>
                <c:pt idx="7">
                  <c:v>7</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strCache>
            </c:strRef>
          </c:cat>
          <c:val>
            <c:numRef>
              <c:f>'New DS_2'!$W$9:$W$32</c:f>
              <c:numCache>
                <c:formatCode>General</c:formatCode>
                <c:ptCount val="23"/>
                <c:pt idx="0">
                  <c:v>60</c:v>
                </c:pt>
                <c:pt idx="1">
                  <c:v>55</c:v>
                </c:pt>
                <c:pt idx="2">
                  <c:v>24</c:v>
                </c:pt>
                <c:pt idx="3">
                  <c:v>16</c:v>
                </c:pt>
                <c:pt idx="4">
                  <c:v>7</c:v>
                </c:pt>
                <c:pt idx="5">
                  <c:v>6</c:v>
                </c:pt>
                <c:pt idx="6">
                  <c:v>66</c:v>
                </c:pt>
                <c:pt idx="7">
                  <c:v>98</c:v>
                </c:pt>
                <c:pt idx="8">
                  <c:v>45</c:v>
                </c:pt>
                <c:pt idx="9">
                  <c:v>194</c:v>
                </c:pt>
                <c:pt idx="10">
                  <c:v>390</c:v>
                </c:pt>
                <c:pt idx="11">
                  <c:v>512</c:v>
                </c:pt>
                <c:pt idx="12">
                  <c:v>692</c:v>
                </c:pt>
                <c:pt idx="13">
                  <c:v>740</c:v>
                </c:pt>
                <c:pt idx="14">
                  <c:v>808</c:v>
                </c:pt>
                <c:pt idx="15">
                  <c:v>877</c:v>
                </c:pt>
                <c:pt idx="16">
                  <c:v>1205</c:v>
                </c:pt>
                <c:pt idx="17">
                  <c:v>851</c:v>
                </c:pt>
                <c:pt idx="18">
                  <c:v>527</c:v>
                </c:pt>
                <c:pt idx="19">
                  <c:v>270</c:v>
                </c:pt>
                <c:pt idx="20">
                  <c:v>263</c:v>
                </c:pt>
                <c:pt idx="21">
                  <c:v>180</c:v>
                </c:pt>
                <c:pt idx="22">
                  <c:v>114</c:v>
                </c:pt>
              </c:numCache>
            </c:numRef>
          </c:val>
          <c:smooth val="0"/>
          <c:extLst>
            <c:ext xmlns:c16="http://schemas.microsoft.com/office/drawing/2014/chart" uri="{C3380CC4-5D6E-409C-BE32-E72D297353CC}">
              <c16:uniqueId val="{00000000-3814-48A3-BCF7-3D078E7560E4}"/>
            </c:ext>
          </c:extLst>
        </c:ser>
        <c:dLbls>
          <c:dLblPos val="t"/>
          <c:showLegendKey val="0"/>
          <c:showVal val="1"/>
          <c:showCatName val="0"/>
          <c:showSerName val="0"/>
          <c:showPercent val="0"/>
          <c:showBubbleSize val="0"/>
        </c:dLbls>
        <c:smooth val="0"/>
        <c:axId val="1309960703"/>
        <c:axId val="1309961183"/>
      </c:lineChart>
      <c:catAx>
        <c:axId val="130996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309961183"/>
        <c:crosses val="autoZero"/>
        <c:auto val="1"/>
        <c:lblAlgn val="ctr"/>
        <c:lblOffset val="100"/>
        <c:noMultiLvlLbl val="0"/>
      </c:catAx>
      <c:valAx>
        <c:axId val="1309961183"/>
        <c:scaling>
          <c:orientation val="minMax"/>
        </c:scaling>
        <c:delete val="1"/>
        <c:axPos val="l"/>
        <c:numFmt formatCode="General" sourceLinked="1"/>
        <c:majorTickMark val="none"/>
        <c:minorTickMark val="none"/>
        <c:tickLblPos val="nextTo"/>
        <c:crossAx val="130996070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1.xlsx]New DS_2!PivotTable6</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18080091330493E-3"/>
          <c:y val="0.14073758728482999"/>
          <c:w val="0.95703505594976823"/>
          <c:h val="0.67381287592364558"/>
        </c:manualLayout>
      </c:layout>
      <c:lineChart>
        <c:grouping val="stacked"/>
        <c:varyColors val="0"/>
        <c:ser>
          <c:idx val="0"/>
          <c:order val="0"/>
          <c:tx>
            <c:strRef>
              <c:f>'New DS_2'!$W$8</c:f>
              <c:strCache>
                <c:ptCount val="1"/>
                <c:pt idx="0">
                  <c:v>Total</c:v>
                </c:pt>
              </c:strCache>
            </c:strRef>
          </c:tx>
          <c:spPr>
            <a:ln w="28575" cap="rnd">
              <a:solidFill>
                <a:srgbClr val="0070C0"/>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DS_2'!$V$9:$V$32</c:f>
              <c:strCache>
                <c:ptCount val="23"/>
                <c:pt idx="0">
                  <c:v>0</c:v>
                </c:pt>
                <c:pt idx="1">
                  <c:v>1</c:v>
                </c:pt>
                <c:pt idx="2">
                  <c:v>2</c:v>
                </c:pt>
                <c:pt idx="3">
                  <c:v>3</c:v>
                </c:pt>
                <c:pt idx="4">
                  <c:v>4</c:v>
                </c:pt>
                <c:pt idx="5">
                  <c:v>5</c:v>
                </c:pt>
                <c:pt idx="6">
                  <c:v>6</c:v>
                </c:pt>
                <c:pt idx="7">
                  <c:v>7</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strCache>
            </c:strRef>
          </c:cat>
          <c:val>
            <c:numRef>
              <c:f>'New DS_2'!$W$9:$W$32</c:f>
              <c:numCache>
                <c:formatCode>General</c:formatCode>
                <c:ptCount val="23"/>
                <c:pt idx="0">
                  <c:v>60</c:v>
                </c:pt>
                <c:pt idx="1">
                  <c:v>55</c:v>
                </c:pt>
                <c:pt idx="2">
                  <c:v>24</c:v>
                </c:pt>
                <c:pt idx="3">
                  <c:v>16</c:v>
                </c:pt>
                <c:pt idx="4">
                  <c:v>7</c:v>
                </c:pt>
                <c:pt idx="5">
                  <c:v>6</c:v>
                </c:pt>
                <c:pt idx="6">
                  <c:v>66</c:v>
                </c:pt>
                <c:pt idx="7">
                  <c:v>98</c:v>
                </c:pt>
                <c:pt idx="8">
                  <c:v>45</c:v>
                </c:pt>
                <c:pt idx="9">
                  <c:v>194</c:v>
                </c:pt>
                <c:pt idx="10">
                  <c:v>390</c:v>
                </c:pt>
                <c:pt idx="11">
                  <c:v>512</c:v>
                </c:pt>
                <c:pt idx="12">
                  <c:v>692</c:v>
                </c:pt>
                <c:pt idx="13">
                  <c:v>740</c:v>
                </c:pt>
                <c:pt idx="14">
                  <c:v>808</c:v>
                </c:pt>
                <c:pt idx="15">
                  <c:v>877</c:v>
                </c:pt>
                <c:pt idx="16">
                  <c:v>1205</c:v>
                </c:pt>
                <c:pt idx="17">
                  <c:v>851</c:v>
                </c:pt>
                <c:pt idx="18">
                  <c:v>527</c:v>
                </c:pt>
                <c:pt idx="19">
                  <c:v>270</c:v>
                </c:pt>
                <c:pt idx="20">
                  <c:v>263</c:v>
                </c:pt>
                <c:pt idx="21">
                  <c:v>180</c:v>
                </c:pt>
                <c:pt idx="22">
                  <c:v>114</c:v>
                </c:pt>
              </c:numCache>
            </c:numRef>
          </c:val>
          <c:smooth val="0"/>
          <c:extLst>
            <c:ext xmlns:c16="http://schemas.microsoft.com/office/drawing/2014/chart" uri="{C3380CC4-5D6E-409C-BE32-E72D297353CC}">
              <c16:uniqueId val="{00000000-F2D5-4743-A636-B93F057E5E75}"/>
            </c:ext>
          </c:extLst>
        </c:ser>
        <c:dLbls>
          <c:dLblPos val="t"/>
          <c:showLegendKey val="0"/>
          <c:showVal val="1"/>
          <c:showCatName val="0"/>
          <c:showSerName val="0"/>
          <c:showPercent val="0"/>
          <c:showBubbleSize val="0"/>
        </c:dLbls>
        <c:smooth val="0"/>
        <c:axId val="1309960703"/>
        <c:axId val="1309961183"/>
      </c:lineChart>
      <c:catAx>
        <c:axId val="130996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309961183"/>
        <c:crosses val="autoZero"/>
        <c:auto val="1"/>
        <c:lblAlgn val="ctr"/>
        <c:lblOffset val="100"/>
        <c:noMultiLvlLbl val="0"/>
      </c:catAx>
      <c:valAx>
        <c:axId val="1309961183"/>
        <c:scaling>
          <c:orientation val="minMax"/>
        </c:scaling>
        <c:delete val="1"/>
        <c:axPos val="l"/>
        <c:numFmt formatCode="General" sourceLinked="1"/>
        <c:majorTickMark val="none"/>
        <c:minorTickMark val="none"/>
        <c:tickLblPos val="nextTo"/>
        <c:crossAx val="130996070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1.xlsx]New DS_2!PivotTable3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DS_2'!$AC$18</c:f>
              <c:strCache>
                <c:ptCount val="1"/>
                <c:pt idx="0">
                  <c:v>Total</c:v>
                </c:pt>
              </c:strCache>
            </c:strRef>
          </c:tx>
          <c:spPr>
            <a:solidFill>
              <a:schemeClr val="accent1"/>
            </a:solidFill>
            <a:ln>
              <a:noFill/>
            </a:ln>
            <a:effectLst/>
          </c:spPr>
          <c:invertIfNegative val="0"/>
          <c:cat>
            <c:strRef>
              <c:f>'New DS_2'!$AB$19:$AB$21</c:f>
              <c:strCache>
                <c:ptCount val="2"/>
                <c:pt idx="0">
                  <c:v>Week 1</c:v>
                </c:pt>
                <c:pt idx="1">
                  <c:v>Week 2</c:v>
                </c:pt>
              </c:strCache>
            </c:strRef>
          </c:cat>
          <c:val>
            <c:numRef>
              <c:f>'New DS_2'!$AC$19:$AC$21</c:f>
              <c:numCache>
                <c:formatCode>General</c:formatCode>
                <c:ptCount val="2"/>
                <c:pt idx="0">
                  <c:v>4514</c:v>
                </c:pt>
                <c:pt idx="1">
                  <c:v>3486</c:v>
                </c:pt>
              </c:numCache>
            </c:numRef>
          </c:val>
          <c:extLst>
            <c:ext xmlns:c16="http://schemas.microsoft.com/office/drawing/2014/chart" uri="{C3380CC4-5D6E-409C-BE32-E72D297353CC}">
              <c16:uniqueId val="{00000000-414B-495E-B828-58F6B1C5E7E5}"/>
            </c:ext>
          </c:extLst>
        </c:ser>
        <c:dLbls>
          <c:showLegendKey val="0"/>
          <c:showVal val="0"/>
          <c:showCatName val="0"/>
          <c:showSerName val="0"/>
          <c:showPercent val="0"/>
          <c:showBubbleSize val="0"/>
        </c:dLbls>
        <c:gapWidth val="219"/>
        <c:overlap val="-27"/>
        <c:axId val="61179616"/>
        <c:axId val="61172896"/>
      </c:barChart>
      <c:catAx>
        <c:axId val="611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72896"/>
        <c:crosses val="autoZero"/>
        <c:auto val="1"/>
        <c:lblAlgn val="ctr"/>
        <c:lblOffset val="100"/>
        <c:noMultiLvlLbl val="0"/>
      </c:catAx>
      <c:valAx>
        <c:axId val="611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7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1.xlsx]New DS_2!PivotTable3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alpha val="80000"/>
            </a:srgbClr>
          </a:solidFill>
          <a:ln>
            <a:solidFill>
              <a:schemeClr val="bg1">
                <a:alpha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DS_2'!$AC$18</c:f>
              <c:strCache>
                <c:ptCount val="1"/>
                <c:pt idx="0">
                  <c:v>Total</c:v>
                </c:pt>
              </c:strCache>
            </c:strRef>
          </c:tx>
          <c:spPr>
            <a:solidFill>
              <a:srgbClr val="0070C0">
                <a:alpha val="80000"/>
              </a:srgbClr>
            </a:solidFill>
            <a:ln>
              <a:solidFill>
                <a:schemeClr val="bg1">
                  <a:alpha val="6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'New DS_2'!$AB$19:$AB$21</c:f>
              <c:strCache>
                <c:ptCount val="2"/>
                <c:pt idx="0">
                  <c:v>Week 1</c:v>
                </c:pt>
                <c:pt idx="1">
                  <c:v>Week 2</c:v>
                </c:pt>
              </c:strCache>
            </c:strRef>
          </c:cat>
          <c:val>
            <c:numRef>
              <c:f>'New DS_2'!$AC$19:$AC$21</c:f>
              <c:numCache>
                <c:formatCode>General</c:formatCode>
                <c:ptCount val="2"/>
                <c:pt idx="0">
                  <c:v>4514</c:v>
                </c:pt>
                <c:pt idx="1">
                  <c:v>3486</c:v>
                </c:pt>
              </c:numCache>
            </c:numRef>
          </c:val>
          <c:extLst>
            <c:ext xmlns:c16="http://schemas.microsoft.com/office/drawing/2014/chart" uri="{C3380CC4-5D6E-409C-BE32-E72D297353CC}">
              <c16:uniqueId val="{00000000-D0CC-4CA1-B4E8-AF2A157C9F03}"/>
            </c:ext>
          </c:extLst>
        </c:ser>
        <c:dLbls>
          <c:dLblPos val="outEnd"/>
          <c:showLegendKey val="0"/>
          <c:showVal val="1"/>
          <c:showCatName val="0"/>
          <c:showSerName val="0"/>
          <c:showPercent val="0"/>
          <c:showBubbleSize val="0"/>
        </c:dLbls>
        <c:gapWidth val="219"/>
        <c:overlap val="-27"/>
        <c:axId val="61179616"/>
        <c:axId val="61172896"/>
      </c:barChart>
      <c:catAx>
        <c:axId val="611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1172896"/>
        <c:crosses val="autoZero"/>
        <c:auto val="1"/>
        <c:lblAlgn val="ctr"/>
        <c:lblOffset val="100"/>
        <c:noMultiLvlLbl val="0"/>
      </c:catAx>
      <c:valAx>
        <c:axId val="61172896"/>
        <c:scaling>
          <c:orientation val="minMax"/>
        </c:scaling>
        <c:delete val="1"/>
        <c:axPos val="l"/>
        <c:numFmt formatCode="General" sourceLinked="1"/>
        <c:majorTickMark val="none"/>
        <c:minorTickMark val="none"/>
        <c:tickLblPos val="nextTo"/>
        <c:crossAx val="61179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1.xlsx]New DS_2!PivotTable7</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'New DS_2'!$AN$18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55-4731-A8CE-CC7DE7AB2B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55-4731-A8CE-CC7DE7AB2B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55-4731-A8CE-CC7DE7AB2BFA}"/>
              </c:ext>
            </c:extLst>
          </c:dPt>
          <c:cat>
            <c:strRef>
              <c:f>'New DS_2'!$AM$19:$AM$22</c:f>
              <c:strCache>
                <c:ptCount val="3"/>
                <c:pt idx="0">
                  <c:v>High</c:v>
                </c:pt>
                <c:pt idx="1">
                  <c:v>Low</c:v>
                </c:pt>
                <c:pt idx="2">
                  <c:v>Medium</c:v>
                </c:pt>
              </c:strCache>
            </c:strRef>
          </c:cat>
          <c:val>
            <c:numRef>
              <c:f>'New DS_2'!$AN$19:$AN$22</c:f>
              <c:numCache>
                <c:formatCode>General</c:formatCode>
                <c:ptCount val="3"/>
                <c:pt idx="0">
                  <c:v>2854</c:v>
                </c:pt>
                <c:pt idx="1">
                  <c:v>3705</c:v>
                </c:pt>
                <c:pt idx="2">
                  <c:v>1441</c:v>
                </c:pt>
              </c:numCache>
            </c:numRef>
          </c:val>
          <c:extLst>
            <c:ext xmlns:c16="http://schemas.microsoft.com/office/drawing/2014/chart" uri="{C3380CC4-5D6E-409C-BE32-E72D297353CC}">
              <c16:uniqueId val="{00000000-9224-4B0D-A11A-16A004980B3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1.xlsx]New DS_2!PivotTable7</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5.5784630595533874E-2"/>
          <c:y val="0.24739548974022166"/>
          <c:w val="0.88956360206590834"/>
          <c:h val="0.7239498602933484"/>
        </c:manualLayout>
      </c:layout>
      <c:doughnutChart>
        <c:varyColors val="1"/>
        <c:ser>
          <c:idx val="0"/>
          <c:order val="0"/>
          <c:tx>
            <c:strRef>
              <c:f>'New DS_2'!$AN$18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D2-4754-86BA-2126A113D8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D2-4754-86BA-2126A113D8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D2-4754-86BA-2126A113D8C1}"/>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'New DS_2'!$AM$19:$AM$22</c:f>
              <c:strCache>
                <c:ptCount val="3"/>
                <c:pt idx="0">
                  <c:v>High</c:v>
                </c:pt>
                <c:pt idx="1">
                  <c:v>Low</c:v>
                </c:pt>
                <c:pt idx="2">
                  <c:v>Medium</c:v>
                </c:pt>
              </c:strCache>
            </c:strRef>
          </c:cat>
          <c:val>
            <c:numRef>
              <c:f>'New DS_2'!$AN$19:$AN$22</c:f>
              <c:numCache>
                <c:formatCode>General</c:formatCode>
                <c:ptCount val="3"/>
                <c:pt idx="0">
                  <c:v>2854</c:v>
                </c:pt>
                <c:pt idx="1">
                  <c:v>3705</c:v>
                </c:pt>
                <c:pt idx="2">
                  <c:v>1441</c:v>
                </c:pt>
              </c:numCache>
            </c:numRef>
          </c:val>
          <c:extLst>
            <c:ext xmlns:c16="http://schemas.microsoft.com/office/drawing/2014/chart" uri="{C3380CC4-5D6E-409C-BE32-E72D297353CC}">
              <c16:uniqueId val="{00000006-EFD2-4754-86BA-2126A113D8C1}"/>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12236227502839886"/>
          <c:y val="2.1105319806262582E-2"/>
          <c:w val="0.78838352462665717"/>
          <c:h val="0.2089399258147604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 AND CHART!PivotTable29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228600">
                      <a:schemeClr val="bg1">
                        <a:lumMod val="95000"/>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228600">
                      <a:schemeClr val="bg1">
                        <a:lumMod val="95000"/>
                        <a:alpha val="40000"/>
                      </a:schemeClr>
                    </a:glow>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228600">
                      <a:schemeClr val="bg1">
                        <a:lumMod val="95000"/>
                        <a:alpha val="40000"/>
                      </a:schemeClr>
                    </a:glo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228600">
                      <a:schemeClr val="bg1">
                        <a:lumMod val="95000"/>
                        <a:alpha val="40000"/>
                      </a:schemeClr>
                    </a:glow>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228600">
                      <a:schemeClr val="bg1">
                        <a:lumMod val="95000"/>
                        <a:alpha val="40000"/>
                      </a:schemeClr>
                    </a:glow>
                  </a:effectLst>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CHART'!$B$3</c:f>
              <c:strCache>
                <c:ptCount val="1"/>
                <c:pt idx="0">
                  <c:v>Sum of Cnt</c:v>
                </c:pt>
              </c:strCache>
            </c:strRef>
          </c:tx>
          <c:spPr>
            <a:solidFill>
              <a:schemeClr val="accent1"/>
            </a:solidFill>
            <a:ln>
              <a:noFill/>
            </a:ln>
            <a:effectLst/>
          </c:spPr>
          <c:invertIfNegative val="0"/>
          <c:cat>
            <c:strRef>
              <c:f>'PIVOT TABLE AND CHART'!$A$4:$A$26</c:f>
              <c:strCache>
                <c:ptCount val="23"/>
                <c:pt idx="0">
                  <c:v>2</c:v>
                </c:pt>
                <c:pt idx="1">
                  <c:v>4</c:v>
                </c:pt>
                <c:pt idx="2">
                  <c:v>6</c:v>
                </c:pt>
                <c:pt idx="3">
                  <c:v>8</c:v>
                </c:pt>
                <c:pt idx="4">
                  <c:v>10</c:v>
                </c:pt>
                <c:pt idx="5">
                  <c:v>12</c:v>
                </c:pt>
                <c:pt idx="6">
                  <c:v>14</c:v>
                </c:pt>
                <c:pt idx="7">
                  <c:v>16</c:v>
                </c:pt>
                <c:pt idx="8">
                  <c:v>18</c:v>
                </c:pt>
                <c:pt idx="9">
                  <c:v>20</c:v>
                </c:pt>
                <c:pt idx="10">
                  <c:v>22</c:v>
                </c:pt>
                <c:pt idx="11">
                  <c:v>24</c:v>
                </c:pt>
                <c:pt idx="12">
                  <c:v>26</c:v>
                </c:pt>
                <c:pt idx="13">
                  <c:v>28</c:v>
                </c:pt>
                <c:pt idx="14">
                  <c:v>30</c:v>
                </c:pt>
                <c:pt idx="15">
                  <c:v>32</c:v>
                </c:pt>
                <c:pt idx="16">
                  <c:v>34</c:v>
                </c:pt>
                <c:pt idx="17">
                  <c:v>36</c:v>
                </c:pt>
                <c:pt idx="18">
                  <c:v>38</c:v>
                </c:pt>
                <c:pt idx="19">
                  <c:v>40</c:v>
                </c:pt>
                <c:pt idx="20">
                  <c:v>42</c:v>
                </c:pt>
                <c:pt idx="21">
                  <c:v>44</c:v>
                </c:pt>
                <c:pt idx="22">
                  <c:v>46</c:v>
                </c:pt>
              </c:strCache>
            </c:strRef>
          </c:cat>
          <c:val>
            <c:numRef>
              <c:f>'PIVOT TABLE AND CHART'!$B$4:$B$26</c:f>
              <c:numCache>
                <c:formatCode>General</c:formatCode>
                <c:ptCount val="23"/>
                <c:pt idx="0">
                  <c:v>168</c:v>
                </c:pt>
                <c:pt idx="1">
                  <c:v>387</c:v>
                </c:pt>
                <c:pt idx="2">
                  <c:v>608</c:v>
                </c:pt>
                <c:pt idx="3">
                  <c:v>357</c:v>
                </c:pt>
                <c:pt idx="4">
                  <c:v>1259</c:v>
                </c:pt>
                <c:pt idx="5">
                  <c:v>2104</c:v>
                </c:pt>
                <c:pt idx="6">
                  <c:v>4335</c:v>
                </c:pt>
                <c:pt idx="7">
                  <c:v>7003</c:v>
                </c:pt>
                <c:pt idx="8">
                  <c:v>4045</c:v>
                </c:pt>
                <c:pt idx="9">
                  <c:v>7926</c:v>
                </c:pt>
                <c:pt idx="10">
                  <c:v>7212</c:v>
                </c:pt>
                <c:pt idx="11">
                  <c:v>5965</c:v>
                </c:pt>
                <c:pt idx="12">
                  <c:v>3157</c:v>
                </c:pt>
                <c:pt idx="13">
                  <c:v>1958</c:v>
                </c:pt>
                <c:pt idx="14">
                  <c:v>3551</c:v>
                </c:pt>
                <c:pt idx="15">
                  <c:v>1966</c:v>
                </c:pt>
                <c:pt idx="16">
                  <c:v>2478</c:v>
                </c:pt>
                <c:pt idx="17">
                  <c:v>1341</c:v>
                </c:pt>
                <c:pt idx="18">
                  <c:v>521</c:v>
                </c:pt>
                <c:pt idx="19">
                  <c:v>985</c:v>
                </c:pt>
                <c:pt idx="20">
                  <c:v>519</c:v>
                </c:pt>
                <c:pt idx="21">
                  <c:v>194</c:v>
                </c:pt>
                <c:pt idx="22">
                  <c:v>265</c:v>
                </c:pt>
              </c:numCache>
            </c:numRef>
          </c:val>
          <c:extLst>
            <c:ext xmlns:c16="http://schemas.microsoft.com/office/drawing/2014/chart" uri="{C3380CC4-5D6E-409C-BE32-E72D297353CC}">
              <c16:uniqueId val="{00000000-E916-4812-88E1-102D7C22F842}"/>
            </c:ext>
          </c:extLst>
        </c:ser>
        <c:ser>
          <c:idx val="1"/>
          <c:order val="1"/>
          <c:tx>
            <c:strRef>
              <c:f>'PIVOT TABLE AND CHART'!$C$3</c:f>
              <c:strCache>
                <c:ptCount val="1"/>
                <c:pt idx="0">
                  <c:v>Sum of Hum</c:v>
                </c:pt>
              </c:strCache>
            </c:strRef>
          </c:tx>
          <c:spPr>
            <a:solidFill>
              <a:schemeClr val="accent2"/>
            </a:solidFill>
            <a:ln>
              <a:noFill/>
            </a:ln>
            <a:effectLst/>
          </c:spPr>
          <c:invertIfNegative val="0"/>
          <c:cat>
            <c:strRef>
              <c:f>'PIVOT TABLE AND CHART'!$A$4:$A$26</c:f>
              <c:strCache>
                <c:ptCount val="23"/>
                <c:pt idx="0">
                  <c:v>2</c:v>
                </c:pt>
                <c:pt idx="1">
                  <c:v>4</c:v>
                </c:pt>
                <c:pt idx="2">
                  <c:v>6</c:v>
                </c:pt>
                <c:pt idx="3">
                  <c:v>8</c:v>
                </c:pt>
                <c:pt idx="4">
                  <c:v>10</c:v>
                </c:pt>
                <c:pt idx="5">
                  <c:v>12</c:v>
                </c:pt>
                <c:pt idx="6">
                  <c:v>14</c:v>
                </c:pt>
                <c:pt idx="7">
                  <c:v>16</c:v>
                </c:pt>
                <c:pt idx="8">
                  <c:v>18</c:v>
                </c:pt>
                <c:pt idx="9">
                  <c:v>20</c:v>
                </c:pt>
                <c:pt idx="10">
                  <c:v>22</c:v>
                </c:pt>
                <c:pt idx="11">
                  <c:v>24</c:v>
                </c:pt>
                <c:pt idx="12">
                  <c:v>26</c:v>
                </c:pt>
                <c:pt idx="13">
                  <c:v>28</c:v>
                </c:pt>
                <c:pt idx="14">
                  <c:v>30</c:v>
                </c:pt>
                <c:pt idx="15">
                  <c:v>32</c:v>
                </c:pt>
                <c:pt idx="16">
                  <c:v>34</c:v>
                </c:pt>
                <c:pt idx="17">
                  <c:v>36</c:v>
                </c:pt>
                <c:pt idx="18">
                  <c:v>38</c:v>
                </c:pt>
                <c:pt idx="19">
                  <c:v>40</c:v>
                </c:pt>
                <c:pt idx="20">
                  <c:v>42</c:v>
                </c:pt>
                <c:pt idx="21">
                  <c:v>44</c:v>
                </c:pt>
                <c:pt idx="22">
                  <c:v>46</c:v>
                </c:pt>
              </c:strCache>
            </c:strRef>
          </c:cat>
          <c:val>
            <c:numRef>
              <c:f>'PIVOT TABLE AND CHART'!$C$4:$C$26</c:f>
              <c:numCache>
                <c:formatCode>General</c:formatCode>
                <c:ptCount val="23"/>
                <c:pt idx="0">
                  <c:v>4.9600000000000009</c:v>
                </c:pt>
                <c:pt idx="1">
                  <c:v>6.7400000000000011</c:v>
                </c:pt>
                <c:pt idx="2">
                  <c:v>6.5900000000000007</c:v>
                </c:pt>
                <c:pt idx="3">
                  <c:v>5.7200000000000006</c:v>
                </c:pt>
                <c:pt idx="4">
                  <c:v>15.569999999999999</c:v>
                </c:pt>
                <c:pt idx="5">
                  <c:v>22.37</c:v>
                </c:pt>
                <c:pt idx="6">
                  <c:v>53.749999999999993</c:v>
                </c:pt>
                <c:pt idx="7">
                  <c:v>82.020000000000053</c:v>
                </c:pt>
                <c:pt idx="8">
                  <c:v>45.07999999999997</c:v>
                </c:pt>
                <c:pt idx="9">
                  <c:v>72.139999999999944</c:v>
                </c:pt>
                <c:pt idx="10">
                  <c:v>91.320000000000022</c:v>
                </c:pt>
                <c:pt idx="11">
                  <c:v>53.56</c:v>
                </c:pt>
                <c:pt idx="12">
                  <c:v>31.810000000000006</c:v>
                </c:pt>
                <c:pt idx="13">
                  <c:v>15.29</c:v>
                </c:pt>
                <c:pt idx="14">
                  <c:v>17.45</c:v>
                </c:pt>
                <c:pt idx="15">
                  <c:v>11.79</c:v>
                </c:pt>
                <c:pt idx="16">
                  <c:v>10.110000000000001</c:v>
                </c:pt>
                <c:pt idx="17">
                  <c:v>9.1100000000000012</c:v>
                </c:pt>
                <c:pt idx="18">
                  <c:v>5.25</c:v>
                </c:pt>
                <c:pt idx="19">
                  <c:v>8.5599999999999987</c:v>
                </c:pt>
                <c:pt idx="20">
                  <c:v>5.68</c:v>
                </c:pt>
                <c:pt idx="21">
                  <c:v>2.5299999999999998</c:v>
                </c:pt>
                <c:pt idx="22">
                  <c:v>5.08</c:v>
                </c:pt>
              </c:numCache>
            </c:numRef>
          </c:val>
          <c:extLst>
            <c:ext xmlns:c16="http://schemas.microsoft.com/office/drawing/2014/chart" uri="{C3380CC4-5D6E-409C-BE32-E72D297353CC}">
              <c16:uniqueId val="{00000003-E916-4812-88E1-102D7C22F842}"/>
            </c:ext>
          </c:extLst>
        </c:ser>
        <c:dLbls>
          <c:showLegendKey val="0"/>
          <c:showVal val="0"/>
          <c:showCatName val="0"/>
          <c:showSerName val="0"/>
          <c:showPercent val="0"/>
          <c:showBubbleSize val="0"/>
        </c:dLbls>
        <c:gapWidth val="219"/>
        <c:overlap val="-27"/>
        <c:axId val="773849720"/>
        <c:axId val="773848408"/>
      </c:barChart>
      <c:catAx>
        <c:axId val="773849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effectLst>
                      <a:glow rad="228600">
                        <a:schemeClr val="bg1">
                          <a:lumMod val="95000"/>
                          <a:alpha val="40000"/>
                        </a:schemeClr>
                      </a:glow>
                    </a:effectLst>
                    <a:latin typeface="+mn-lt"/>
                    <a:ea typeface="+mn-ea"/>
                    <a:cs typeface="+mn-cs"/>
                  </a:defRPr>
                </a:pPr>
                <a:r>
                  <a:rPr lang="en-IN"/>
                  <a:t>TEMP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effectLst>
                    <a:glow rad="228600">
                      <a:schemeClr val="bg1">
                        <a:lumMod val="95000"/>
                        <a:alpha val="40000"/>
                      </a:schemeClr>
                    </a:glo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glow rad="228600">
                    <a:schemeClr val="bg1">
                      <a:lumMod val="95000"/>
                      <a:alpha val="40000"/>
                    </a:schemeClr>
                  </a:glow>
                </a:effectLst>
                <a:latin typeface="+mn-lt"/>
                <a:ea typeface="+mn-ea"/>
                <a:cs typeface="+mn-cs"/>
              </a:defRPr>
            </a:pPr>
            <a:endParaRPr lang="en-US"/>
          </a:p>
        </c:txPr>
        <c:crossAx val="773848408"/>
        <c:crosses val="autoZero"/>
        <c:auto val="1"/>
        <c:lblAlgn val="ctr"/>
        <c:lblOffset val="100"/>
        <c:noMultiLvlLbl val="0"/>
      </c:catAx>
      <c:valAx>
        <c:axId val="773848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effectLst>
                      <a:glow rad="228600">
                        <a:schemeClr val="bg1">
                          <a:lumMod val="95000"/>
                          <a:alpha val="40000"/>
                        </a:schemeClr>
                      </a:glow>
                    </a:effectLst>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effectLst>
                    <a:glow rad="228600">
                      <a:schemeClr val="bg1">
                        <a:lumMod val="95000"/>
                        <a:alpha val="40000"/>
                      </a:schemeClr>
                    </a:glow>
                  </a:effectLst>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glow rad="228600">
                    <a:schemeClr val="bg1">
                      <a:lumMod val="95000"/>
                      <a:alpha val="40000"/>
                    </a:schemeClr>
                  </a:glow>
                </a:effectLst>
                <a:latin typeface="+mn-lt"/>
                <a:ea typeface="+mn-ea"/>
                <a:cs typeface="+mn-cs"/>
              </a:defRPr>
            </a:pPr>
            <a:endParaRPr lang="en-US"/>
          </a:p>
        </c:txPr>
        <c:crossAx val="773849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ivot">
      <a:fgClr>
        <a:schemeClr val="accent1"/>
      </a:fgClr>
      <a:bgClr>
        <a:schemeClr val="bg1"/>
      </a:bgClr>
    </a:pattFill>
    <a:ln w="9525" cap="flat" cmpd="sng" algn="ctr">
      <a:solidFill>
        <a:schemeClr val="tx1">
          <a:lumMod val="15000"/>
          <a:lumOff val="85000"/>
        </a:schemeClr>
      </a:solidFill>
      <a:round/>
    </a:ln>
    <a:effectLst/>
  </c:spPr>
  <c:txPr>
    <a:bodyPr/>
    <a:lstStyle/>
    <a:p>
      <a:pPr>
        <a:defRPr>
          <a:effectLst>
            <a:glow rad="228600">
              <a:schemeClr val="bg1">
                <a:lumMod val="95000"/>
                <a:alpha val="40000"/>
              </a:schemeClr>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138546</xdr:colOff>
      <xdr:row>0</xdr:row>
      <xdr:rowOff>92363</xdr:rowOff>
    </xdr:from>
    <xdr:to>
      <xdr:col>1</xdr:col>
      <xdr:colOff>1304636</xdr:colOff>
      <xdr:row>5</xdr:row>
      <xdr:rowOff>173182</xdr:rowOff>
    </xdr:to>
    <xdr:sp macro="" textlink="">
      <xdr:nvSpPr>
        <xdr:cNvPr id="4" name="Rectangle: Rounded Corners 3">
          <a:extLst>
            <a:ext uri="{FF2B5EF4-FFF2-40B4-BE49-F238E27FC236}">
              <a16:creationId xmlns:a16="http://schemas.microsoft.com/office/drawing/2014/main" id="{60EE6E06-A4D8-0ECF-6AEF-488AB0095156}"/>
            </a:ext>
          </a:extLst>
        </xdr:cNvPr>
        <xdr:cNvSpPr/>
      </xdr:nvSpPr>
      <xdr:spPr>
        <a:xfrm>
          <a:off x="138546" y="92363"/>
          <a:ext cx="3117272" cy="1004455"/>
        </a:xfrm>
        <a:prstGeom prst="roundRect">
          <a:avLst>
            <a:gd name="adj" fmla="val 1593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latin typeface="Times" panose="02020603050405020304" pitchFamily="18" charset="0"/>
            </a:rPr>
            <a:t>Total Vehicle Sold</a:t>
          </a:r>
        </a:p>
      </xdr:txBody>
    </xdr:sp>
    <xdr:clientData/>
  </xdr:twoCellAnchor>
  <xdr:twoCellAnchor>
    <xdr:from>
      <xdr:col>0</xdr:col>
      <xdr:colOff>176067</xdr:colOff>
      <xdr:row>6</xdr:row>
      <xdr:rowOff>109682</xdr:rowOff>
    </xdr:from>
    <xdr:to>
      <xdr:col>4</xdr:col>
      <xdr:colOff>1841500</xdr:colOff>
      <xdr:row>28</xdr:row>
      <xdr:rowOff>174625</xdr:rowOff>
    </xdr:to>
    <xdr:sp macro="" textlink="">
      <xdr:nvSpPr>
        <xdr:cNvPr id="5" name="Rectangle: Rounded Corners 4">
          <a:extLst>
            <a:ext uri="{FF2B5EF4-FFF2-40B4-BE49-F238E27FC236}">
              <a16:creationId xmlns:a16="http://schemas.microsoft.com/office/drawing/2014/main" id="{7F8F80A1-A069-BADF-5246-BC6F37E20637}"/>
            </a:ext>
          </a:extLst>
        </xdr:cNvPr>
        <xdr:cNvSpPr/>
      </xdr:nvSpPr>
      <xdr:spPr>
        <a:xfrm>
          <a:off x="176067" y="1190337"/>
          <a:ext cx="9313142" cy="4027343"/>
        </a:xfrm>
        <a:prstGeom prst="roundRect">
          <a:avLst>
            <a:gd name="adj" fmla="val 403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000" b="1">
              <a:latin typeface="Times" panose="02020603050405020304" pitchFamily="18" charset="0"/>
            </a:rPr>
            <a:t>Bikes sold on hour basis</a:t>
          </a:r>
        </a:p>
      </xdr:txBody>
    </xdr:sp>
    <xdr:clientData/>
  </xdr:twoCellAnchor>
  <xdr:twoCellAnchor>
    <xdr:from>
      <xdr:col>0</xdr:col>
      <xdr:colOff>380999</xdr:colOff>
      <xdr:row>2</xdr:row>
      <xdr:rowOff>138545</xdr:rowOff>
    </xdr:from>
    <xdr:to>
      <xdr:col>1</xdr:col>
      <xdr:colOff>1085272</xdr:colOff>
      <xdr:row>5</xdr:row>
      <xdr:rowOff>46182</xdr:rowOff>
    </xdr:to>
    <xdr:sp macro="" textlink="$Y$4">
      <xdr:nvSpPr>
        <xdr:cNvPr id="6" name="TextBox 5">
          <a:extLst>
            <a:ext uri="{FF2B5EF4-FFF2-40B4-BE49-F238E27FC236}">
              <a16:creationId xmlns:a16="http://schemas.microsoft.com/office/drawing/2014/main" id="{703D389C-9BBD-B32D-076A-56C8E6ECF113}"/>
            </a:ext>
          </a:extLst>
        </xdr:cNvPr>
        <xdr:cNvSpPr txBox="1"/>
      </xdr:nvSpPr>
      <xdr:spPr>
        <a:xfrm>
          <a:off x="380999" y="508000"/>
          <a:ext cx="2655455" cy="461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3C3B9A-E482-4C31-ACC0-B17604AECB9F}" type="TxLink">
            <a:rPr lang="en-US" sz="2800" b="1" i="0" u="none" strike="noStrike">
              <a:solidFill>
                <a:srgbClr val="FF0000"/>
              </a:solidFill>
              <a:latin typeface="Calibri"/>
              <a:ea typeface="Calibri"/>
              <a:cs typeface="Calibri"/>
            </a:rPr>
            <a:pPr algn="ctr"/>
            <a:t>8000</a:t>
          </a:fld>
          <a:r>
            <a:rPr lang="en-US" sz="2800" b="1" i="0" u="none" strike="noStrike">
              <a:solidFill>
                <a:srgbClr val="FF0000"/>
              </a:solidFill>
              <a:latin typeface="Calibri"/>
              <a:ea typeface="Calibri"/>
              <a:cs typeface="Calibri"/>
            </a:rPr>
            <a:t> NOS</a:t>
          </a:r>
          <a:endParaRPr lang="en-US" sz="2800" b="1">
            <a:solidFill>
              <a:srgbClr val="FF0000"/>
            </a:solidFill>
          </a:endParaRPr>
        </a:p>
      </xdr:txBody>
    </xdr:sp>
    <xdr:clientData/>
  </xdr:twoCellAnchor>
  <xdr:twoCellAnchor>
    <xdr:from>
      <xdr:col>4</xdr:col>
      <xdr:colOff>1910772</xdr:colOff>
      <xdr:row>6</xdr:row>
      <xdr:rowOff>121227</xdr:rowOff>
    </xdr:from>
    <xdr:to>
      <xdr:col>9</xdr:col>
      <xdr:colOff>173183</xdr:colOff>
      <xdr:row>29</xdr:row>
      <xdr:rowOff>0</xdr:rowOff>
    </xdr:to>
    <xdr:sp macro="" textlink="">
      <xdr:nvSpPr>
        <xdr:cNvPr id="9" name="Rectangle: Rounded Corners 8">
          <a:extLst>
            <a:ext uri="{FF2B5EF4-FFF2-40B4-BE49-F238E27FC236}">
              <a16:creationId xmlns:a16="http://schemas.microsoft.com/office/drawing/2014/main" id="{3AEE50F0-FC08-E2C8-F5CF-749AAD8D4ED4}"/>
            </a:ext>
          </a:extLst>
        </xdr:cNvPr>
        <xdr:cNvSpPr/>
      </xdr:nvSpPr>
      <xdr:spPr>
        <a:xfrm>
          <a:off x="9715499" y="1229591"/>
          <a:ext cx="8018320" cy="4127500"/>
        </a:xfrm>
        <a:prstGeom prst="roundRect">
          <a:avLst>
            <a:gd name="adj" fmla="val 4664"/>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1">
              <a:effectLst/>
              <a:latin typeface="Times" panose="02020603050405020304" pitchFamily="18" charset="0"/>
            </a:rPr>
            <a:t>Data as per week</a:t>
          </a:r>
          <a:r>
            <a:rPr lang="en-US" sz="2000" b="1" baseline="0">
              <a:effectLst/>
              <a:latin typeface="Times" panose="02020603050405020304" pitchFamily="18" charset="0"/>
            </a:rPr>
            <a:t> count in the month</a:t>
          </a:r>
          <a:endParaRPr lang="en-US" sz="2000" b="1">
            <a:effectLst/>
            <a:latin typeface="Times" panose="02020603050405020304" pitchFamily="18" charset="0"/>
          </a:endParaRPr>
        </a:p>
        <a:p>
          <a:pPr algn="l"/>
          <a:endParaRPr lang="en-US" sz="1100"/>
        </a:p>
      </xdr:txBody>
    </xdr:sp>
    <xdr:clientData/>
  </xdr:twoCellAnchor>
  <xdr:twoCellAnchor>
    <xdr:from>
      <xdr:col>27</xdr:col>
      <xdr:colOff>979054</xdr:colOff>
      <xdr:row>41</xdr:row>
      <xdr:rowOff>309418</xdr:rowOff>
    </xdr:from>
    <xdr:to>
      <xdr:col>43</xdr:col>
      <xdr:colOff>180108</xdr:colOff>
      <xdr:row>46</xdr:row>
      <xdr:rowOff>332509</xdr:rowOff>
    </xdr:to>
    <xdr:graphicFrame macro="">
      <xdr:nvGraphicFramePr>
        <xdr:cNvPr id="13" name="Chart 12">
          <a:extLst>
            <a:ext uri="{FF2B5EF4-FFF2-40B4-BE49-F238E27FC236}">
              <a16:creationId xmlns:a16="http://schemas.microsoft.com/office/drawing/2014/main" id="{0D049A8A-368C-B998-B8B1-B0039C070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242454</xdr:colOff>
      <xdr:row>9</xdr:row>
      <xdr:rowOff>69273</xdr:rowOff>
    </xdr:from>
    <xdr:to>
      <xdr:col>4</xdr:col>
      <xdr:colOff>1714500</xdr:colOff>
      <xdr:row>28</xdr:row>
      <xdr:rowOff>115454</xdr:rowOff>
    </xdr:to>
    <xdr:graphicFrame macro="">
      <xdr:nvGraphicFramePr>
        <xdr:cNvPr id="14" name="Chart 13">
          <a:extLst>
            <a:ext uri="{FF2B5EF4-FFF2-40B4-BE49-F238E27FC236}">
              <a16:creationId xmlns:a16="http://schemas.microsoft.com/office/drawing/2014/main" id="{EB28AB90-27BB-4842-9E28-55310B0F8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1339273</xdr:colOff>
      <xdr:row>0</xdr:row>
      <xdr:rowOff>80817</xdr:rowOff>
    </xdr:from>
    <xdr:to>
      <xdr:col>3</xdr:col>
      <xdr:colOff>554182</xdr:colOff>
      <xdr:row>5</xdr:row>
      <xdr:rowOff>161636</xdr:rowOff>
    </xdr:to>
    <xdr:sp macro="" textlink="">
      <xdr:nvSpPr>
        <xdr:cNvPr id="16" name="Rectangle: Rounded Corners 15">
          <a:extLst>
            <a:ext uri="{FF2B5EF4-FFF2-40B4-BE49-F238E27FC236}">
              <a16:creationId xmlns:a16="http://schemas.microsoft.com/office/drawing/2014/main" id="{49E36651-5741-A903-6472-580886AEA3BE}"/>
            </a:ext>
          </a:extLst>
        </xdr:cNvPr>
        <xdr:cNvSpPr/>
      </xdr:nvSpPr>
      <xdr:spPr>
        <a:xfrm>
          <a:off x="3290455" y="80817"/>
          <a:ext cx="3117272" cy="1004455"/>
        </a:xfrm>
        <a:prstGeom prst="roundRect">
          <a:avLst>
            <a:gd name="adj" fmla="val 1593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latin typeface="Times" panose="02020603050405020304" pitchFamily="18" charset="0"/>
            </a:rPr>
            <a:t>Casual</a:t>
          </a:r>
        </a:p>
      </xdr:txBody>
    </xdr:sp>
    <xdr:clientData/>
  </xdr:twoCellAnchor>
  <xdr:twoCellAnchor>
    <xdr:from>
      <xdr:col>3</xdr:col>
      <xdr:colOff>600364</xdr:colOff>
      <xdr:row>0</xdr:row>
      <xdr:rowOff>103908</xdr:rowOff>
    </xdr:from>
    <xdr:to>
      <xdr:col>4</xdr:col>
      <xdr:colOff>1766454</xdr:colOff>
      <xdr:row>6</xdr:row>
      <xdr:rowOff>-1</xdr:rowOff>
    </xdr:to>
    <xdr:sp macro="" textlink="">
      <xdr:nvSpPr>
        <xdr:cNvPr id="17" name="Rectangle: Rounded Corners 16">
          <a:extLst>
            <a:ext uri="{FF2B5EF4-FFF2-40B4-BE49-F238E27FC236}">
              <a16:creationId xmlns:a16="http://schemas.microsoft.com/office/drawing/2014/main" id="{A4E9AEC8-A006-5D87-68E9-A87A9215E828}"/>
            </a:ext>
          </a:extLst>
        </xdr:cNvPr>
        <xdr:cNvSpPr/>
      </xdr:nvSpPr>
      <xdr:spPr>
        <a:xfrm>
          <a:off x="6453909" y="103908"/>
          <a:ext cx="3117272" cy="1004455"/>
        </a:xfrm>
        <a:prstGeom prst="roundRect">
          <a:avLst>
            <a:gd name="adj" fmla="val 1593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latin typeface="Times" panose="02020603050405020304" pitchFamily="18" charset="0"/>
            </a:rPr>
            <a:t>Registered</a:t>
          </a:r>
        </a:p>
      </xdr:txBody>
    </xdr:sp>
    <xdr:clientData/>
  </xdr:twoCellAnchor>
  <xdr:twoCellAnchor>
    <xdr:from>
      <xdr:col>1</xdr:col>
      <xdr:colOff>1532657</xdr:colOff>
      <xdr:row>2</xdr:row>
      <xdr:rowOff>83704</xdr:rowOff>
    </xdr:from>
    <xdr:to>
      <xdr:col>3</xdr:col>
      <xdr:colOff>428624</xdr:colOff>
      <xdr:row>5</xdr:row>
      <xdr:rowOff>47625</xdr:rowOff>
    </xdr:to>
    <xdr:sp macro="" textlink="$AC$10">
      <xdr:nvSpPr>
        <xdr:cNvPr id="2" name="TextBox 1">
          <a:extLst>
            <a:ext uri="{FF2B5EF4-FFF2-40B4-BE49-F238E27FC236}">
              <a16:creationId xmlns:a16="http://schemas.microsoft.com/office/drawing/2014/main" id="{8CBD58A0-1AAF-7C1C-8383-612A9294ECAA}"/>
            </a:ext>
          </a:extLst>
        </xdr:cNvPr>
        <xdr:cNvSpPr txBox="1"/>
      </xdr:nvSpPr>
      <xdr:spPr>
        <a:xfrm>
          <a:off x="3485282" y="464704"/>
          <a:ext cx="2801217" cy="535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1879BC-A552-42BC-AE8B-59BDBE2FE84D}" type="TxLink">
            <a:rPr lang="en-US" sz="2800" b="1" i="0" u="none" strike="noStrike">
              <a:solidFill>
                <a:srgbClr val="FF0000"/>
              </a:solidFill>
              <a:latin typeface="Calibri"/>
              <a:ea typeface="Calibri"/>
              <a:cs typeface="Calibri"/>
            </a:rPr>
            <a:pPr marL="0" indent="0" algn="ctr"/>
            <a:t>1264</a:t>
          </a:fld>
          <a:r>
            <a:rPr lang="en-US" sz="2800" b="1" i="0" u="none" strike="noStrike">
              <a:solidFill>
                <a:srgbClr val="FF0000"/>
              </a:solidFill>
              <a:latin typeface="Calibri"/>
              <a:ea typeface="Calibri"/>
              <a:cs typeface="Calibri"/>
            </a:rPr>
            <a:t> NOS</a:t>
          </a:r>
        </a:p>
      </xdr:txBody>
    </xdr:sp>
    <xdr:clientData/>
  </xdr:twoCellAnchor>
  <xdr:twoCellAnchor>
    <xdr:from>
      <xdr:col>3</xdr:col>
      <xdr:colOff>900545</xdr:colOff>
      <xdr:row>2</xdr:row>
      <xdr:rowOff>161636</xdr:rowOff>
    </xdr:from>
    <xdr:to>
      <xdr:col>4</xdr:col>
      <xdr:colOff>1604818</xdr:colOff>
      <xdr:row>5</xdr:row>
      <xdr:rowOff>69273</xdr:rowOff>
    </xdr:to>
    <xdr:sp macro="" textlink="$AC$13">
      <xdr:nvSpPr>
        <xdr:cNvPr id="3" name="TextBox 2">
          <a:extLst>
            <a:ext uri="{FF2B5EF4-FFF2-40B4-BE49-F238E27FC236}">
              <a16:creationId xmlns:a16="http://schemas.microsoft.com/office/drawing/2014/main" id="{740745E0-8AC5-A0CC-B44C-28BE70853104}"/>
            </a:ext>
          </a:extLst>
        </xdr:cNvPr>
        <xdr:cNvSpPr txBox="1"/>
      </xdr:nvSpPr>
      <xdr:spPr>
        <a:xfrm>
          <a:off x="6754090" y="531091"/>
          <a:ext cx="2655455" cy="461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7026DB-A359-4BA1-9EA9-FE28520F736C}" type="TxLink">
            <a:rPr lang="en-US" sz="2800" b="1" i="0" u="none" strike="noStrike">
              <a:solidFill>
                <a:srgbClr val="FF0000"/>
              </a:solidFill>
              <a:latin typeface="Calibri"/>
              <a:ea typeface="Calibri"/>
              <a:cs typeface="Calibri"/>
            </a:rPr>
            <a:pPr marL="0" indent="0" algn="ctr"/>
            <a:t>6736</a:t>
          </a:fld>
          <a:r>
            <a:rPr lang="en-US" sz="2800" b="1" i="0" u="none" strike="noStrike">
              <a:solidFill>
                <a:srgbClr val="FF0000"/>
              </a:solidFill>
              <a:latin typeface="Calibri"/>
              <a:ea typeface="Calibri"/>
              <a:cs typeface="Calibri"/>
            </a:rPr>
            <a:t> NOS</a:t>
          </a:r>
        </a:p>
      </xdr:txBody>
    </xdr:sp>
    <xdr:clientData/>
  </xdr:twoCellAnchor>
  <xdr:twoCellAnchor editAs="oneCell">
    <xdr:from>
      <xdr:col>4</xdr:col>
      <xdr:colOff>1836595</xdr:colOff>
      <xdr:row>0</xdr:row>
      <xdr:rowOff>64655</xdr:rowOff>
    </xdr:from>
    <xdr:to>
      <xdr:col>6</xdr:col>
      <xdr:colOff>1016000</xdr:colOff>
      <xdr:row>5</xdr:row>
      <xdr:rowOff>57728</xdr:rowOff>
    </xdr:to>
    <mc:AlternateContent xmlns:mc="http://schemas.openxmlformats.org/markup-compatibility/2006" xmlns:a14="http://schemas.microsoft.com/office/drawing/2010/main">
      <mc:Choice Requires="a14">
        <xdr:graphicFrame macro="">
          <xdr:nvGraphicFramePr>
            <xdr:cNvPr id="7" name="Temp Status">
              <a:extLst>
                <a:ext uri="{FF2B5EF4-FFF2-40B4-BE49-F238E27FC236}">
                  <a16:creationId xmlns:a16="http://schemas.microsoft.com/office/drawing/2014/main" id="{D8E29323-9B47-0776-7374-14ECD32047AC}"/>
                </a:ext>
              </a:extLst>
            </xdr:cNvPr>
            <xdr:cNvGraphicFramePr/>
          </xdr:nvGraphicFramePr>
          <xdr:xfrm>
            <a:off x="0" y="0"/>
            <a:ext cx="0" cy="0"/>
          </xdr:xfrm>
          <a:graphic>
            <a:graphicData uri="http://schemas.microsoft.com/office/drawing/2010/slicer">
              <sle:slicer xmlns:sle="http://schemas.microsoft.com/office/drawing/2010/slicer" name="Temp Status"/>
            </a:graphicData>
          </a:graphic>
        </xdr:graphicFrame>
      </mc:Choice>
      <mc:Fallback xmlns="">
        <xdr:sp macro="" textlink="">
          <xdr:nvSpPr>
            <xdr:cNvPr id="0" name=""/>
            <xdr:cNvSpPr>
              <a:spLocks noTextEdit="1"/>
            </xdr:cNvSpPr>
          </xdr:nvSpPr>
          <xdr:spPr>
            <a:xfrm>
              <a:off x="9641322" y="64655"/>
              <a:ext cx="3081769" cy="916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23090</xdr:colOff>
      <xdr:row>26</xdr:row>
      <xdr:rowOff>163946</xdr:rowOff>
    </xdr:from>
    <xdr:to>
      <xdr:col>36</xdr:col>
      <xdr:colOff>519545</xdr:colOff>
      <xdr:row>37</xdr:row>
      <xdr:rowOff>78510</xdr:rowOff>
    </xdr:to>
    <xdr:graphicFrame macro="">
      <xdr:nvGraphicFramePr>
        <xdr:cNvPr id="8" name="Chart 7">
          <a:extLst>
            <a:ext uri="{FF2B5EF4-FFF2-40B4-BE49-F238E27FC236}">
              <a16:creationId xmlns:a16="http://schemas.microsoft.com/office/drawing/2014/main" id="{9024EB02-57E1-C773-C0DC-EDEB041DC9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63500</xdr:colOff>
      <xdr:row>9</xdr:row>
      <xdr:rowOff>167408</xdr:rowOff>
    </xdr:from>
    <xdr:to>
      <xdr:col>8</xdr:col>
      <xdr:colOff>1916545</xdr:colOff>
      <xdr:row>28</xdr:row>
      <xdr:rowOff>46180</xdr:rowOff>
    </xdr:to>
    <xdr:graphicFrame macro="">
      <xdr:nvGraphicFramePr>
        <xdr:cNvPr id="10" name="Chart 9">
          <a:extLst>
            <a:ext uri="{FF2B5EF4-FFF2-40B4-BE49-F238E27FC236}">
              <a16:creationId xmlns:a16="http://schemas.microsoft.com/office/drawing/2014/main" id="{4DDA4094-48E3-4192-A1B5-DC29A5FEC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1092776</xdr:colOff>
      <xdr:row>0</xdr:row>
      <xdr:rowOff>51377</xdr:rowOff>
    </xdr:from>
    <xdr:to>
      <xdr:col>7</xdr:col>
      <xdr:colOff>1131455</xdr:colOff>
      <xdr:row>5</xdr:row>
      <xdr:rowOff>46182</xdr:rowOff>
    </xdr:to>
    <mc:AlternateContent xmlns:mc="http://schemas.openxmlformats.org/markup-compatibility/2006" xmlns:a14="http://schemas.microsoft.com/office/drawing/2010/main">
      <mc:Choice Requires="a14">
        <xdr:graphicFrame macro="">
          <xdr:nvGraphicFramePr>
            <xdr:cNvPr id="11" name="Months (Date Day)">
              <a:extLst>
                <a:ext uri="{FF2B5EF4-FFF2-40B4-BE49-F238E27FC236}">
                  <a16:creationId xmlns:a16="http://schemas.microsoft.com/office/drawing/2014/main" id="{F2A80022-D427-2C96-103D-64E05D482B5E}"/>
                </a:ext>
              </a:extLst>
            </xdr:cNvPr>
            <xdr:cNvGraphicFramePr/>
          </xdr:nvGraphicFramePr>
          <xdr:xfrm>
            <a:off x="0" y="0"/>
            <a:ext cx="0" cy="0"/>
          </xdr:xfrm>
          <a:graphic>
            <a:graphicData uri="http://schemas.microsoft.com/office/drawing/2010/slicer">
              <sle:slicer xmlns:sle="http://schemas.microsoft.com/office/drawing/2010/slicer" name="Months (Date Day)"/>
            </a:graphicData>
          </a:graphic>
        </xdr:graphicFrame>
      </mc:Choice>
      <mc:Fallback xmlns="">
        <xdr:sp macro="" textlink="">
          <xdr:nvSpPr>
            <xdr:cNvPr id="0" name=""/>
            <xdr:cNvSpPr>
              <a:spLocks noTextEdit="1"/>
            </xdr:cNvSpPr>
          </xdr:nvSpPr>
          <xdr:spPr>
            <a:xfrm>
              <a:off x="12799867" y="51377"/>
              <a:ext cx="1989861" cy="918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1175328</xdr:colOff>
      <xdr:row>0</xdr:row>
      <xdr:rowOff>11545</xdr:rowOff>
    </xdr:from>
    <xdr:to>
      <xdr:col>9</xdr:col>
      <xdr:colOff>138547</xdr:colOff>
      <xdr:row>5</xdr:row>
      <xdr:rowOff>46182</xdr:rowOff>
    </xdr:to>
    <mc:AlternateContent xmlns:mc="http://schemas.openxmlformats.org/markup-compatibility/2006" xmlns:a14="http://schemas.microsoft.com/office/drawing/2010/main">
      <mc:Choice Requires="a14">
        <xdr:graphicFrame macro="">
          <xdr:nvGraphicFramePr>
            <xdr:cNvPr id="15" name="Weather Status">
              <a:extLst>
                <a:ext uri="{FF2B5EF4-FFF2-40B4-BE49-F238E27FC236}">
                  <a16:creationId xmlns:a16="http://schemas.microsoft.com/office/drawing/2014/main" id="{E7D90D3B-C77D-0C49-8E10-4B1C963D8876}"/>
                </a:ext>
              </a:extLst>
            </xdr:cNvPr>
            <xdr:cNvGraphicFramePr/>
          </xdr:nvGraphicFramePr>
          <xdr:xfrm>
            <a:off x="0" y="0"/>
            <a:ext cx="0" cy="0"/>
          </xdr:xfrm>
          <a:graphic>
            <a:graphicData uri="http://schemas.microsoft.com/office/drawing/2010/slicer">
              <sle:slicer xmlns:sle="http://schemas.microsoft.com/office/drawing/2010/slicer" name="Weather Status"/>
            </a:graphicData>
          </a:graphic>
        </xdr:graphicFrame>
      </mc:Choice>
      <mc:Fallback xmlns="">
        <xdr:sp macro="" textlink="">
          <xdr:nvSpPr>
            <xdr:cNvPr id="0" name=""/>
            <xdr:cNvSpPr>
              <a:spLocks noTextEdit="1"/>
            </xdr:cNvSpPr>
          </xdr:nvSpPr>
          <xdr:spPr>
            <a:xfrm>
              <a:off x="14833601" y="11545"/>
              <a:ext cx="2865582" cy="958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265544</xdr:colOff>
      <xdr:row>0</xdr:row>
      <xdr:rowOff>46182</xdr:rowOff>
    </xdr:from>
    <xdr:to>
      <xdr:col>10</xdr:col>
      <xdr:colOff>1904999</xdr:colOff>
      <xdr:row>28</xdr:row>
      <xdr:rowOff>150091</xdr:rowOff>
    </xdr:to>
    <xdr:sp macro="" textlink="">
      <xdr:nvSpPr>
        <xdr:cNvPr id="18" name="Rectangle: Rounded Corners 17">
          <a:extLst>
            <a:ext uri="{FF2B5EF4-FFF2-40B4-BE49-F238E27FC236}">
              <a16:creationId xmlns:a16="http://schemas.microsoft.com/office/drawing/2014/main" id="{D1811603-0C64-3B2E-509C-0B3009CFCA60}"/>
            </a:ext>
          </a:extLst>
        </xdr:cNvPr>
        <xdr:cNvSpPr/>
      </xdr:nvSpPr>
      <xdr:spPr>
        <a:xfrm>
          <a:off x="17826180" y="46182"/>
          <a:ext cx="3590637" cy="5276273"/>
        </a:xfrm>
        <a:prstGeom prst="roundRect">
          <a:avLst>
            <a:gd name="adj" fmla="val 4664"/>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523875</xdr:colOff>
      <xdr:row>0</xdr:row>
      <xdr:rowOff>142875</xdr:rowOff>
    </xdr:from>
    <xdr:to>
      <xdr:col>10</xdr:col>
      <xdr:colOff>1524000</xdr:colOff>
      <xdr:row>5</xdr:row>
      <xdr:rowOff>31750</xdr:rowOff>
    </xdr:to>
    <xdr:sp macro="" textlink="">
      <xdr:nvSpPr>
        <xdr:cNvPr id="19" name="TextBox 18">
          <a:extLst>
            <a:ext uri="{FF2B5EF4-FFF2-40B4-BE49-F238E27FC236}">
              <a16:creationId xmlns:a16="http://schemas.microsoft.com/office/drawing/2014/main" id="{1A312A8A-1B36-0C45-9DBF-E442C0F44402}"/>
            </a:ext>
          </a:extLst>
        </xdr:cNvPr>
        <xdr:cNvSpPr txBox="1"/>
      </xdr:nvSpPr>
      <xdr:spPr>
        <a:xfrm>
          <a:off x="18097500" y="142875"/>
          <a:ext cx="2952750" cy="841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Times" panose="02020603050405020304" pitchFamily="18" charset="0"/>
            </a:rPr>
            <a:t>Vehicle</a:t>
          </a:r>
          <a:r>
            <a:rPr lang="en-US" sz="2000" b="1" baseline="0">
              <a:latin typeface="Times" panose="02020603050405020304" pitchFamily="18" charset="0"/>
            </a:rPr>
            <a:t> sold as per wind speed analysis</a:t>
          </a:r>
          <a:endParaRPr lang="en-US" sz="2000" b="1">
            <a:latin typeface="Times" panose="02020603050405020304" pitchFamily="18" charset="0"/>
          </a:endParaRPr>
        </a:p>
      </xdr:txBody>
    </xdr:sp>
    <xdr:clientData/>
  </xdr:twoCellAnchor>
  <xdr:twoCellAnchor>
    <xdr:from>
      <xdr:col>45</xdr:col>
      <xdr:colOff>216579</xdr:colOff>
      <xdr:row>7</xdr:row>
      <xdr:rowOff>122917</xdr:rowOff>
    </xdr:from>
    <xdr:to>
      <xdr:col>52</xdr:col>
      <xdr:colOff>565829</xdr:colOff>
      <xdr:row>22</xdr:row>
      <xdr:rowOff>17688</xdr:rowOff>
    </xdr:to>
    <xdr:graphicFrame macro="">
      <xdr:nvGraphicFramePr>
        <xdr:cNvPr id="23" name="Chart 22">
          <a:extLst>
            <a:ext uri="{FF2B5EF4-FFF2-40B4-BE49-F238E27FC236}">
              <a16:creationId xmlns:a16="http://schemas.microsoft.com/office/drawing/2014/main" id="{8E8E133A-BAA2-E9CF-9B8B-3A79DFF97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383179</xdr:colOff>
      <xdr:row>6</xdr:row>
      <xdr:rowOff>0</xdr:rowOff>
    </xdr:from>
    <xdr:to>
      <xdr:col>10</xdr:col>
      <xdr:colOff>1725282</xdr:colOff>
      <xdr:row>28</xdr:row>
      <xdr:rowOff>59907</xdr:rowOff>
    </xdr:to>
    <xdr:graphicFrame macro="">
      <xdr:nvGraphicFramePr>
        <xdr:cNvPr id="24" name="Chart 23">
          <a:extLst>
            <a:ext uri="{FF2B5EF4-FFF2-40B4-BE49-F238E27FC236}">
              <a16:creationId xmlns:a16="http://schemas.microsoft.com/office/drawing/2014/main" id="{4A07E02C-DA16-47D8-AB34-E97BC978C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457200</xdr:colOff>
      <xdr:row>5</xdr:row>
      <xdr:rowOff>160020</xdr:rowOff>
    </xdr:from>
    <xdr:to>
      <xdr:col>12</xdr:col>
      <xdr:colOff>53340</xdr:colOff>
      <xdr:row>20</xdr:row>
      <xdr:rowOff>160020</xdr:rowOff>
    </xdr:to>
    <xdr:graphicFrame macro="">
      <xdr:nvGraphicFramePr>
        <xdr:cNvPr id="3" name="Chart 2">
          <a:extLst>
            <a:ext uri="{FF2B5EF4-FFF2-40B4-BE49-F238E27FC236}">
              <a16:creationId xmlns:a16="http://schemas.microsoft.com/office/drawing/2014/main" id="{E4AD8E85-84BF-4475-AE19-5B63FE971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Mohapatra" refreshedDate="45951.499433449077" createdVersion="8" refreshedVersion="8" minRefreshableVersion="3" recordCount="1000" xr:uid="{1B18FF2F-3159-42CD-8239-EE7B8C214524}">
  <cacheSource type="worksheet">
    <worksheetSource name="Table8"/>
  </cacheSource>
  <cacheFields count="21">
    <cacheField name="Instant" numFmtId="0">
      <sharedItems containsSemiMixedTypes="0" containsString="0" containsNumber="1" containsInteger="1" minValue="1" maxValue="1000"/>
    </cacheField>
    <cacheField name="Date Day" numFmtId="164">
      <sharedItems containsSemiMixedTypes="0" containsNonDate="0" containsDate="1" containsString="0" minDate="2011-01-01T00:00:00" maxDate="2012-01-14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2-01-13T00:00:00" u="1"/>
      </sharedItems>
      <fieldGroup par="20"/>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s" numFmtId="0">
      <sharedItems containsSemiMixedTypes="0" containsString="0" containsNumber="1" containsInteger="1" minValue="1" maxValue="7"/>
    </cacheField>
    <cacheField name="Weathersit" numFmtId="0">
      <sharedItems containsSemiMixedTypes="0" containsString="0" containsNumber="1" containsInteger="1" minValue="1" maxValue="3"/>
    </cacheField>
    <cacheField name="Weather Status" numFmtId="0">
      <sharedItems count="3">
        <s v="BAD"/>
        <s v="MODERATE"/>
        <s v="GOOD"/>
      </sharedItems>
    </cacheField>
    <cacheField name="Temp" numFmtId="0">
      <sharedItems containsSemiMixedTypes="0" containsString="0" containsNumber="1" minValue="2" maxValue="46"/>
    </cacheField>
    <cacheField name="Temp Status" numFmtId="0">
      <sharedItems count="3">
        <s v="COMFORTABLE"/>
        <s v="WARM"/>
        <s v="COLD"/>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165">
      <sharedItems containsSemiMixedTypes="0" containsString="0" containsNumber="1" minValue="8.9599999999999991" maxValue="58.209999999999994"/>
    </cacheField>
    <cacheField name="Windspeed Range" numFmtId="165">
      <sharedItems count="3">
        <s v="Medium"/>
        <s v="Low"/>
        <s v="High"/>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Column1" numFmtId="0">
      <sharedItems containsNonDate="0" containsString="0" containsBlank="1"/>
    </cacheField>
    <cacheField name="Week" numFmtId="0">
      <sharedItems count="5">
        <s v="Week 1"/>
        <s v="Week 2"/>
        <s v="Week 3"/>
        <s v="Week 4"/>
        <s v="Week 5"/>
      </sharedItems>
    </cacheField>
    <cacheField name="Months (Date Day)" numFmtId="0" databaseField="0">
      <fieldGroup base="1">
        <rangePr groupBy="months" startDate="2011-01-01T00:00:00" endDate="2011-02-14T00:00:00"/>
        <groupItems count="14">
          <s v="&lt;1/1/2011"/>
          <s v="Jan"/>
          <s v="Feb"/>
          <s v="Mar"/>
          <s v="Apr"/>
          <s v="May"/>
          <s v="Jun"/>
          <s v="Jul"/>
          <s v="Aug"/>
          <s v="Sep"/>
          <s v="Oct"/>
          <s v="Nov"/>
          <s v="Dec"/>
          <s v="&gt;2/14/2011"/>
        </groupItems>
      </fieldGroup>
    </cacheField>
    <cacheField name="Quarters (Date Day)" numFmtId="0" databaseField="0">
      <fieldGroup base="1">
        <rangePr groupBy="quarters" startDate="2011-01-01T00:00:00" endDate="2011-02-14T00:00:00"/>
        <groupItems count="6">
          <s v="&lt;1/1/2011"/>
          <s v="Qtr1"/>
          <s v="Qtr2"/>
          <s v="Qtr3"/>
          <s v="Qtr4"/>
          <s v="&gt;2/14/2011"/>
        </groupItems>
      </fieldGroup>
    </cacheField>
    <cacheField name="Years (Date Day)" numFmtId="0" databaseField="0">
      <fieldGroup base="1">
        <rangePr groupBy="years" startDate="2011-01-01T00:00:00" endDate="2011-02-14T00:00:00"/>
        <groupItems count="3">
          <s v="&lt;1/1/2011"/>
          <s v="2011"/>
          <s v="&gt;2/14/2011"/>
        </groupItems>
      </fieldGroup>
    </cacheField>
  </cacheFields>
  <extLst>
    <ext xmlns:x14="http://schemas.microsoft.com/office/spreadsheetml/2009/9/main" uri="{725AE2AE-9491-48be-B2B4-4EB974FC3084}">
      <x14:pivotCacheDefinition pivotCacheId="477286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2.004566087962" createdVersion="6" refreshedVersion="6" minRefreshableVersion="3" recordCount="1000" xr:uid="{D02A601E-9F0F-4477-BAA2-70B6C6851041}">
  <cacheSource type="worksheet">
    <worksheetSource name="Table8"/>
  </cacheSource>
  <cacheFields count="20">
    <cacheField name="Instant" numFmtId="0">
      <sharedItems containsSemiMixedTypes="0" containsString="0" containsNumber="1" containsInteger="1" minValue="1" maxValue="1000"/>
    </cacheField>
    <cacheField name="Date Day" numFmtId="164">
      <sharedItems containsSemiMixedTypes="0" containsNonDate="0" containsDate="1" containsString="0" minDate="2011-01-01T00:00:00" maxDate="2011-02-14T00:00:00" count="44">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sharedItems>
      <fieldGroup par="19" base="1">
        <rangePr groupBy="days" startDate="2011-01-01T00:00:00" endDate="2011-02-14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4-02-2011"/>
        </groupItems>
      </fieldGroup>
    </cacheField>
    <cacheField name="Hour" numFmtId="0">
      <sharedItems containsSemiMixedTypes="0" containsString="0" containsNumber="1" containsInteger="1" minValue="0" maxValue="23"/>
    </cacheField>
    <cacheField name="Holiday" numFmtId="0">
      <sharedItems count="2">
        <b v="1"/>
        <b v="0"/>
      </sharedItems>
    </cacheField>
    <cacheField name="Weekdays" numFmtId="0">
      <sharedItems containsSemiMixedTypes="0" containsString="0" containsNumber="1" containsInteger="1" minValue="1" maxValue="7"/>
    </cacheField>
    <cacheField name="Weathersit" numFmtId="0">
      <sharedItems containsSemiMixedTypes="0" containsString="0" containsNumber="1" containsInteger="1" minValue="1" maxValue="3"/>
    </cacheField>
    <cacheField name="Weather Status" numFmtId="0">
      <sharedItems count="3">
        <s v="BAD"/>
        <s v="MODERATE"/>
        <s v="GOOD"/>
      </sharedItems>
    </cacheField>
    <cacheField name="Temp" numFmtId="0">
      <sharedItems containsSemiMixedTypes="0" containsString="0" containsNumber="1" minValue="2" maxValue="46" count="23">
        <n v="24"/>
        <n v="22"/>
        <n v="20"/>
        <n v="32"/>
        <n v="38"/>
        <n v="36"/>
        <n v="42"/>
        <n v="46"/>
        <n v="44"/>
        <n v="40"/>
        <n v="34"/>
        <n v="30"/>
        <n v="26"/>
        <n v="16"/>
        <n v="14.000000000000002"/>
        <n v="18"/>
        <n v="12"/>
        <n v="28.000000000000004"/>
        <n v="10"/>
        <n v="8"/>
        <n v="6"/>
        <n v="4"/>
        <n v="2"/>
      </sharedItems>
    </cacheField>
    <cacheField name="Temp Status" numFmtId="0">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165">
      <sharedItems containsSemiMixedTypes="0" containsString="0" containsNumber="1" minValue="8.9599999999999991" maxValue="58.209999999999994"/>
    </cacheField>
    <cacheField name="Windspeed Range" numFmtId="165">
      <sharedItems count="3">
        <s v="Medium"/>
        <s v="Low"/>
        <s v="High"/>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 name="Column1" numFmtId="0">
      <sharedItems containsNonDate="0" containsString="0" containsBlank="1"/>
    </cacheField>
    <cacheField name="Week" numFmtId="0">
      <sharedItems/>
    </cacheField>
    <cacheField name="Month" numFmtId="0">
      <sharedItems count="2">
        <s v="Jan,2011"/>
        <s v="Feb,2011"/>
      </sharedItems>
    </cacheField>
    <cacheField name="Months" numFmtId="0" databaseField="0">
      <fieldGroup base="1">
        <rangePr groupBy="months" startDate="2011-01-01T00:00:00" endDate="2011-02-14T00:00:00"/>
        <groupItems count="14">
          <s v="&lt;01-01-2011"/>
          <s v="Jan"/>
          <s v="Feb"/>
          <s v="Mar"/>
          <s v="Apr"/>
          <s v="May"/>
          <s v="Jun"/>
          <s v="Jul"/>
          <s v="Aug"/>
          <s v="Sep"/>
          <s v="Oct"/>
          <s v="Nov"/>
          <s v="Dec"/>
          <s v="&gt;14-02-201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b v="1"/>
    <n v="6"/>
    <n v="1"/>
    <x v="0"/>
    <n v="24"/>
    <x v="0"/>
    <n v="0.28789999999999999"/>
    <n v="0.81"/>
    <n v="20.485098360655737"/>
    <x v="0"/>
    <n v="3"/>
    <n v="13"/>
    <n v="16"/>
    <m/>
    <x v="0"/>
  </r>
  <r>
    <n v="2"/>
    <x v="0"/>
    <x v="1"/>
    <b v="1"/>
    <n v="6"/>
    <n v="1"/>
    <x v="0"/>
    <n v="22"/>
    <x v="0"/>
    <n v="0.2727"/>
    <n v="0.8"/>
    <n v="20.485098360655737"/>
    <x v="0"/>
    <n v="8"/>
    <n v="32"/>
    <n v="40"/>
    <m/>
    <x v="0"/>
  </r>
  <r>
    <n v="3"/>
    <x v="0"/>
    <x v="2"/>
    <b v="1"/>
    <n v="6"/>
    <n v="1"/>
    <x v="0"/>
    <n v="22"/>
    <x v="0"/>
    <n v="0.2727"/>
    <n v="0.8"/>
    <n v="20.485098360655737"/>
    <x v="0"/>
    <n v="5"/>
    <n v="27"/>
    <n v="32"/>
    <m/>
    <x v="0"/>
  </r>
  <r>
    <n v="4"/>
    <x v="0"/>
    <x v="3"/>
    <b v="1"/>
    <n v="6"/>
    <n v="1"/>
    <x v="0"/>
    <n v="24"/>
    <x v="0"/>
    <n v="0.28789999999999999"/>
    <n v="0.75"/>
    <n v="20.485098360655737"/>
    <x v="0"/>
    <n v="3"/>
    <n v="10"/>
    <n v="13"/>
    <m/>
    <x v="0"/>
  </r>
  <r>
    <n v="5"/>
    <x v="0"/>
    <x v="4"/>
    <b v="1"/>
    <n v="6"/>
    <n v="1"/>
    <x v="0"/>
    <n v="24"/>
    <x v="0"/>
    <n v="0.28789999999999999"/>
    <n v="0.75"/>
    <n v="20.485098360655737"/>
    <x v="0"/>
    <n v="0"/>
    <n v="1"/>
    <n v="1"/>
    <m/>
    <x v="0"/>
  </r>
  <r>
    <n v="6"/>
    <x v="0"/>
    <x v="5"/>
    <b v="1"/>
    <n v="6"/>
    <n v="2"/>
    <x v="1"/>
    <n v="24"/>
    <x v="0"/>
    <n v="0.2576"/>
    <n v="0.75"/>
    <n v="8.9599999999999991"/>
    <x v="1"/>
    <n v="0"/>
    <n v="1"/>
    <n v="1"/>
    <m/>
    <x v="0"/>
  </r>
  <r>
    <n v="7"/>
    <x v="0"/>
    <x v="6"/>
    <b v="1"/>
    <n v="6"/>
    <n v="1"/>
    <x v="0"/>
    <n v="22"/>
    <x v="0"/>
    <n v="0.2727"/>
    <n v="0.8"/>
    <n v="20.485098360655737"/>
    <x v="0"/>
    <n v="2"/>
    <n v="0"/>
    <n v="2"/>
    <m/>
    <x v="0"/>
  </r>
  <r>
    <n v="8"/>
    <x v="0"/>
    <x v="7"/>
    <b v="1"/>
    <n v="6"/>
    <n v="1"/>
    <x v="0"/>
    <n v="20"/>
    <x v="0"/>
    <n v="0.2576"/>
    <n v="0.86"/>
    <n v="20.485098360655737"/>
    <x v="0"/>
    <n v="1"/>
    <n v="2"/>
    <n v="3"/>
    <m/>
    <x v="0"/>
  </r>
  <r>
    <n v="9"/>
    <x v="0"/>
    <x v="8"/>
    <b v="1"/>
    <n v="6"/>
    <n v="1"/>
    <x v="0"/>
    <n v="24"/>
    <x v="0"/>
    <n v="0.19993489148580987"/>
    <n v="0.75"/>
    <n v="20.485098360655737"/>
    <x v="0"/>
    <n v="1"/>
    <n v="7"/>
    <n v="8"/>
    <m/>
    <x v="0"/>
  </r>
  <r>
    <n v="10"/>
    <x v="0"/>
    <x v="9"/>
    <b v="1"/>
    <n v="6"/>
    <n v="1"/>
    <x v="0"/>
    <n v="32"/>
    <x v="1"/>
    <n v="0.34849999999999998"/>
    <n v="0.76"/>
    <n v="20.485098360655737"/>
    <x v="0"/>
    <n v="8"/>
    <n v="6"/>
    <n v="14"/>
    <m/>
    <x v="0"/>
  </r>
  <r>
    <n v="11"/>
    <x v="0"/>
    <x v="10"/>
    <b v="1"/>
    <n v="6"/>
    <n v="1"/>
    <x v="0"/>
    <n v="38"/>
    <x v="1"/>
    <n v="0.39389999999999997"/>
    <n v="0.76"/>
    <n v="25.369999999999997"/>
    <x v="0"/>
    <n v="12"/>
    <n v="24"/>
    <n v="36"/>
    <m/>
    <x v="0"/>
  </r>
  <r>
    <n v="12"/>
    <x v="0"/>
    <x v="11"/>
    <b v="1"/>
    <n v="6"/>
    <n v="1"/>
    <x v="0"/>
    <n v="36"/>
    <x v="1"/>
    <n v="0.33329999999999999"/>
    <n v="0.81"/>
    <n v="28.360000000000003"/>
    <x v="0"/>
    <n v="26"/>
    <n v="30"/>
    <n v="56"/>
    <m/>
    <x v="0"/>
  </r>
  <r>
    <n v="13"/>
    <x v="0"/>
    <x v="12"/>
    <b v="1"/>
    <n v="6"/>
    <n v="1"/>
    <x v="0"/>
    <n v="42"/>
    <x v="1"/>
    <n v="0.42420000000000002"/>
    <n v="0.77"/>
    <n v="28.360000000000003"/>
    <x v="0"/>
    <n v="29"/>
    <n v="55"/>
    <n v="84"/>
    <m/>
    <x v="0"/>
  </r>
  <r>
    <n v="14"/>
    <x v="0"/>
    <x v="13"/>
    <b v="1"/>
    <n v="6"/>
    <n v="2"/>
    <x v="1"/>
    <n v="46"/>
    <x v="1"/>
    <n v="0.45450000000000002"/>
    <n v="0.72"/>
    <n v="29.849999999999998"/>
    <x v="0"/>
    <n v="47"/>
    <n v="47"/>
    <n v="94"/>
    <m/>
    <x v="0"/>
  </r>
  <r>
    <n v="15"/>
    <x v="0"/>
    <x v="14"/>
    <b v="1"/>
    <n v="6"/>
    <n v="2"/>
    <x v="1"/>
    <n v="46"/>
    <x v="1"/>
    <n v="0.45450000000000002"/>
    <n v="0.72"/>
    <n v="28.360000000000003"/>
    <x v="0"/>
    <n v="35"/>
    <n v="71"/>
    <n v="106"/>
    <m/>
    <x v="0"/>
  </r>
  <r>
    <n v="16"/>
    <x v="0"/>
    <x v="15"/>
    <b v="1"/>
    <n v="6"/>
    <n v="2"/>
    <x v="1"/>
    <n v="44"/>
    <x v="1"/>
    <n v="0.43940000000000001"/>
    <n v="0.77"/>
    <n v="29.849999999999998"/>
    <x v="0"/>
    <n v="40"/>
    <n v="70"/>
    <n v="110"/>
    <m/>
    <x v="0"/>
  </r>
  <r>
    <n v="17"/>
    <x v="0"/>
    <x v="16"/>
    <b v="1"/>
    <n v="6"/>
    <n v="2"/>
    <x v="1"/>
    <n v="42"/>
    <x v="1"/>
    <n v="0.42420000000000002"/>
    <n v="0.82"/>
    <n v="29.849999999999998"/>
    <x v="0"/>
    <n v="41"/>
    <n v="52"/>
    <n v="93"/>
    <m/>
    <x v="0"/>
  </r>
  <r>
    <n v="18"/>
    <x v="0"/>
    <x v="17"/>
    <b v="1"/>
    <n v="6"/>
    <n v="2"/>
    <x v="1"/>
    <n v="44"/>
    <x v="1"/>
    <n v="0.19993489148580987"/>
    <n v="0.82"/>
    <n v="28.360000000000003"/>
    <x v="0"/>
    <n v="15"/>
    <n v="52"/>
    <n v="67"/>
    <m/>
    <x v="0"/>
  </r>
  <r>
    <n v="19"/>
    <x v="0"/>
    <x v="18"/>
    <b v="1"/>
    <n v="6"/>
    <n v="3"/>
    <x v="2"/>
    <n v="42"/>
    <x v="1"/>
    <n v="0.42420000000000002"/>
    <n v="0.88"/>
    <n v="25.369999999999997"/>
    <x v="0"/>
    <n v="9"/>
    <n v="26"/>
    <n v="35"/>
    <m/>
    <x v="0"/>
  </r>
  <r>
    <n v="20"/>
    <x v="0"/>
    <x v="19"/>
    <b v="1"/>
    <n v="6"/>
    <n v="3"/>
    <x v="2"/>
    <n v="42"/>
    <x v="1"/>
    <n v="0.42420000000000002"/>
    <n v="0.88"/>
    <n v="25.369999999999997"/>
    <x v="0"/>
    <n v="6"/>
    <n v="31"/>
    <n v="37"/>
    <m/>
    <x v="0"/>
  </r>
  <r>
    <n v="21"/>
    <x v="0"/>
    <x v="20"/>
    <b v="1"/>
    <n v="6"/>
    <n v="2"/>
    <x v="1"/>
    <n v="40"/>
    <x v="1"/>
    <n v="0.40910000000000002"/>
    <n v="0.87"/>
    <n v="25.369999999999997"/>
    <x v="0"/>
    <n v="11"/>
    <n v="25"/>
    <n v="36"/>
    <m/>
    <x v="0"/>
  </r>
  <r>
    <n v="22"/>
    <x v="0"/>
    <x v="21"/>
    <b v="1"/>
    <n v="6"/>
    <n v="2"/>
    <x v="1"/>
    <n v="40"/>
    <x v="1"/>
    <n v="0.40910000000000002"/>
    <n v="0.87"/>
    <n v="19.400000000000002"/>
    <x v="1"/>
    <n v="3"/>
    <n v="31"/>
    <n v="34"/>
    <m/>
    <x v="0"/>
  </r>
  <r>
    <n v="23"/>
    <x v="0"/>
    <x v="22"/>
    <b v="1"/>
    <n v="6"/>
    <n v="2"/>
    <x v="1"/>
    <n v="40"/>
    <x v="1"/>
    <n v="0.40910000000000002"/>
    <n v="0.94"/>
    <n v="22.39"/>
    <x v="0"/>
    <n v="11"/>
    <n v="17"/>
    <n v="28"/>
    <m/>
    <x v="0"/>
  </r>
  <r>
    <n v="24"/>
    <x v="0"/>
    <x v="23"/>
    <b v="1"/>
    <n v="6"/>
    <n v="2"/>
    <x v="1"/>
    <n v="46"/>
    <x v="1"/>
    <n v="0.19993489148580987"/>
    <n v="0.88"/>
    <n v="29.849999999999998"/>
    <x v="0"/>
    <n v="15"/>
    <n v="24"/>
    <n v="39"/>
    <m/>
    <x v="0"/>
  </r>
  <r>
    <n v="25"/>
    <x v="1"/>
    <x v="0"/>
    <b v="0"/>
    <n v="7"/>
    <n v="2"/>
    <x v="1"/>
    <n v="46"/>
    <x v="1"/>
    <n v="0.45450000000000002"/>
    <n v="0.88"/>
    <n v="29.849999999999998"/>
    <x v="0"/>
    <n v="4"/>
    <n v="13"/>
    <n v="17"/>
    <m/>
    <x v="0"/>
  </r>
  <r>
    <n v="26"/>
    <x v="1"/>
    <x v="1"/>
    <b v="0"/>
    <n v="7"/>
    <n v="2"/>
    <x v="1"/>
    <n v="44"/>
    <x v="1"/>
    <n v="0.43940000000000001"/>
    <n v="0.94"/>
    <n v="25.369999999999997"/>
    <x v="0"/>
    <n v="1"/>
    <n v="16"/>
    <n v="17"/>
    <m/>
    <x v="0"/>
  </r>
  <r>
    <n v="27"/>
    <x v="1"/>
    <x v="2"/>
    <b v="0"/>
    <n v="7"/>
    <n v="2"/>
    <x v="1"/>
    <n v="42"/>
    <x v="1"/>
    <n v="0.42420000000000002"/>
    <n v="1"/>
    <n v="28.360000000000003"/>
    <x v="0"/>
    <n v="1"/>
    <n v="8"/>
    <n v="9"/>
    <m/>
    <x v="0"/>
  </r>
  <r>
    <n v="28"/>
    <x v="1"/>
    <x v="3"/>
    <b v="0"/>
    <n v="7"/>
    <n v="2"/>
    <x v="1"/>
    <n v="46"/>
    <x v="1"/>
    <n v="0.45450000000000002"/>
    <n v="0.94"/>
    <n v="19.400000000000002"/>
    <x v="1"/>
    <n v="2"/>
    <n v="4"/>
    <n v="6"/>
    <m/>
    <x v="0"/>
  </r>
  <r>
    <n v="29"/>
    <x v="1"/>
    <x v="4"/>
    <b v="0"/>
    <n v="7"/>
    <n v="2"/>
    <x v="1"/>
    <n v="46"/>
    <x v="1"/>
    <n v="0.19993489148580987"/>
    <n v="0.94"/>
    <n v="19.400000000000002"/>
    <x v="1"/>
    <n v="2"/>
    <n v="1"/>
    <n v="3"/>
    <m/>
    <x v="0"/>
  </r>
  <r>
    <n v="30"/>
    <x v="1"/>
    <x v="6"/>
    <b v="0"/>
    <n v="7"/>
    <n v="3"/>
    <x v="2"/>
    <n v="42"/>
    <x v="1"/>
    <n v="0.42420000000000002"/>
    <n v="0.77"/>
    <n v="29.849999999999998"/>
    <x v="0"/>
    <n v="0"/>
    <n v="2"/>
    <n v="2"/>
    <m/>
    <x v="0"/>
  </r>
  <r>
    <n v="31"/>
    <x v="1"/>
    <x v="7"/>
    <b v="0"/>
    <n v="7"/>
    <n v="2"/>
    <x v="1"/>
    <n v="40"/>
    <x v="1"/>
    <n v="0.40910000000000002"/>
    <n v="0.76"/>
    <n v="19.400000000000002"/>
    <x v="1"/>
    <n v="0"/>
    <n v="1"/>
    <n v="1"/>
    <m/>
    <x v="0"/>
  </r>
  <r>
    <n v="32"/>
    <x v="1"/>
    <x v="8"/>
    <b v="0"/>
    <n v="7"/>
    <n v="3"/>
    <x v="2"/>
    <n v="40"/>
    <x v="1"/>
    <n v="0.40910000000000002"/>
    <n v="0.71"/>
    <n v="22.39"/>
    <x v="0"/>
    <n v="0"/>
    <n v="8"/>
    <n v="8"/>
    <m/>
    <x v="0"/>
  </r>
  <r>
    <n v="33"/>
    <x v="1"/>
    <x v="9"/>
    <b v="0"/>
    <n v="7"/>
    <n v="2"/>
    <x v="1"/>
    <n v="38"/>
    <x v="1"/>
    <n v="0.19993489148580987"/>
    <n v="0.76"/>
    <n v="22.39"/>
    <x v="0"/>
    <n v="1"/>
    <n v="19"/>
    <n v="20"/>
    <m/>
    <x v="0"/>
  </r>
  <r>
    <n v="34"/>
    <x v="1"/>
    <x v="10"/>
    <b v="0"/>
    <n v="7"/>
    <n v="2"/>
    <x v="1"/>
    <n v="36"/>
    <x v="1"/>
    <n v="0.34849999999999998"/>
    <n v="0.81"/>
    <n v="22.39"/>
    <x v="0"/>
    <n v="7"/>
    <n v="46"/>
    <n v="53"/>
    <m/>
    <x v="0"/>
  </r>
  <r>
    <n v="35"/>
    <x v="1"/>
    <x v="11"/>
    <b v="0"/>
    <n v="7"/>
    <n v="2"/>
    <x v="1"/>
    <n v="36"/>
    <x v="1"/>
    <n v="0.33329999999999999"/>
    <n v="0.71"/>
    <n v="25.369999999999997"/>
    <x v="0"/>
    <n v="16"/>
    <n v="54"/>
    <n v="70"/>
    <m/>
    <x v="0"/>
  </r>
  <r>
    <n v="36"/>
    <x v="1"/>
    <x v="12"/>
    <b v="0"/>
    <n v="7"/>
    <n v="2"/>
    <x v="1"/>
    <n v="36"/>
    <x v="1"/>
    <n v="0.33329999999999999"/>
    <n v="0.66"/>
    <n v="29.849999999999998"/>
    <x v="0"/>
    <n v="20"/>
    <n v="73"/>
    <n v="93"/>
    <m/>
    <x v="0"/>
  </r>
  <r>
    <n v="37"/>
    <x v="1"/>
    <x v="13"/>
    <b v="0"/>
    <n v="7"/>
    <n v="2"/>
    <x v="1"/>
    <n v="36"/>
    <x v="1"/>
    <n v="0.34849999999999998"/>
    <n v="0.66"/>
    <n v="13.43"/>
    <x v="1"/>
    <n v="11"/>
    <n v="64"/>
    <n v="75"/>
    <m/>
    <x v="0"/>
  </r>
  <r>
    <n v="38"/>
    <x v="1"/>
    <x v="14"/>
    <b v="0"/>
    <n v="7"/>
    <n v="3"/>
    <x v="2"/>
    <n v="36"/>
    <x v="1"/>
    <n v="0.19993489148580987"/>
    <n v="0.76"/>
    <n v="19.400000000000002"/>
    <x v="1"/>
    <n v="4"/>
    <n v="55"/>
    <n v="59"/>
    <m/>
    <x v="0"/>
  </r>
  <r>
    <n v="39"/>
    <x v="1"/>
    <x v="15"/>
    <b v="0"/>
    <n v="7"/>
    <n v="3"/>
    <x v="2"/>
    <n v="34"/>
    <x v="1"/>
    <n v="0.33329999999999999"/>
    <n v="0.81"/>
    <n v="16.420000000000002"/>
    <x v="1"/>
    <n v="19"/>
    <n v="55"/>
    <n v="74"/>
    <m/>
    <x v="0"/>
  </r>
  <r>
    <n v="40"/>
    <x v="1"/>
    <x v="16"/>
    <b v="0"/>
    <n v="7"/>
    <n v="3"/>
    <x v="2"/>
    <n v="34"/>
    <x v="1"/>
    <n v="0.33329999999999999"/>
    <n v="0.71"/>
    <n v="16.420000000000002"/>
    <x v="1"/>
    <n v="9"/>
    <n v="67"/>
    <n v="76"/>
    <m/>
    <x v="0"/>
  </r>
  <r>
    <n v="41"/>
    <x v="1"/>
    <x v="17"/>
    <b v="0"/>
    <n v="7"/>
    <n v="1"/>
    <x v="0"/>
    <n v="34"/>
    <x v="1"/>
    <n v="0.33329999999999999"/>
    <n v="0.56999999999999995"/>
    <n v="19.400000000000002"/>
    <x v="1"/>
    <n v="7"/>
    <n v="58"/>
    <n v="65"/>
    <m/>
    <x v="0"/>
  </r>
  <r>
    <n v="42"/>
    <x v="1"/>
    <x v="18"/>
    <b v="0"/>
    <n v="7"/>
    <n v="2"/>
    <x v="1"/>
    <n v="36"/>
    <x v="1"/>
    <n v="0.33329999999999999"/>
    <n v="0.46"/>
    <n v="32.840000000000003"/>
    <x v="2"/>
    <n v="10"/>
    <n v="43"/>
    <n v="53"/>
    <m/>
    <x v="0"/>
  </r>
  <r>
    <n v="43"/>
    <x v="1"/>
    <x v="19"/>
    <b v="0"/>
    <n v="7"/>
    <n v="1"/>
    <x v="0"/>
    <n v="32"/>
    <x v="1"/>
    <n v="0.28789999999999999"/>
    <n v="0.42"/>
    <n v="44.78"/>
    <x v="2"/>
    <n v="1"/>
    <n v="29"/>
    <n v="30"/>
    <m/>
    <x v="0"/>
  </r>
  <r>
    <n v="44"/>
    <x v="1"/>
    <x v="20"/>
    <b v="0"/>
    <n v="7"/>
    <n v="1"/>
    <x v="0"/>
    <n v="30"/>
    <x v="1"/>
    <n v="0.19993489148580987"/>
    <n v="0.39"/>
    <n v="35.82"/>
    <x v="2"/>
    <n v="5"/>
    <n v="17"/>
    <n v="22"/>
    <m/>
    <x v="0"/>
  </r>
  <r>
    <n v="45"/>
    <x v="1"/>
    <x v="21"/>
    <b v="0"/>
    <n v="7"/>
    <n v="1"/>
    <x v="0"/>
    <n v="26"/>
    <x v="1"/>
    <n v="0.2273"/>
    <n v="0.44"/>
    <n v="32.840000000000003"/>
    <x v="2"/>
    <n v="11"/>
    <n v="20"/>
    <n v="31"/>
    <m/>
    <x v="0"/>
  </r>
  <r>
    <n v="46"/>
    <x v="1"/>
    <x v="22"/>
    <b v="0"/>
    <n v="7"/>
    <n v="1"/>
    <x v="0"/>
    <n v="24"/>
    <x v="0"/>
    <n v="0.21210000000000001"/>
    <n v="0.44"/>
    <n v="29.849999999999998"/>
    <x v="0"/>
    <n v="0"/>
    <n v="9"/>
    <n v="9"/>
    <m/>
    <x v="0"/>
  </r>
  <r>
    <n v="47"/>
    <x v="1"/>
    <x v="23"/>
    <b v="0"/>
    <n v="7"/>
    <n v="1"/>
    <x v="0"/>
    <n v="22"/>
    <x v="0"/>
    <n v="0.2273"/>
    <n v="0.47"/>
    <n v="16.420000000000002"/>
    <x v="1"/>
    <n v="0"/>
    <n v="8"/>
    <n v="8"/>
    <m/>
    <x v="0"/>
  </r>
  <r>
    <n v="48"/>
    <x v="2"/>
    <x v="0"/>
    <b v="0"/>
    <n v="1"/>
    <n v="1"/>
    <x v="0"/>
    <n v="22"/>
    <x v="0"/>
    <n v="0.19700000000000001"/>
    <n v="0.44"/>
    <n v="35.82"/>
    <x v="2"/>
    <n v="0"/>
    <n v="5"/>
    <n v="5"/>
    <m/>
    <x v="0"/>
  </r>
  <r>
    <n v="49"/>
    <x v="2"/>
    <x v="1"/>
    <b v="0"/>
    <n v="1"/>
    <n v="1"/>
    <x v="0"/>
    <n v="20"/>
    <x v="0"/>
    <n v="0.19993489148580987"/>
    <n v="0.44"/>
    <n v="41.79"/>
    <x v="2"/>
    <n v="0"/>
    <n v="2"/>
    <n v="2"/>
    <m/>
    <x v="0"/>
  </r>
  <r>
    <n v="50"/>
    <x v="2"/>
    <x v="4"/>
    <b v="0"/>
    <n v="1"/>
    <n v="1"/>
    <x v="0"/>
    <n v="16"/>
    <x v="0"/>
    <n v="0.13639999999999999"/>
    <n v="0.47"/>
    <n v="38.81"/>
    <x v="2"/>
    <n v="0"/>
    <n v="1"/>
    <n v="1"/>
    <m/>
    <x v="0"/>
  </r>
  <r>
    <n v="51"/>
    <x v="2"/>
    <x v="5"/>
    <b v="0"/>
    <n v="1"/>
    <n v="1"/>
    <x v="0"/>
    <n v="16"/>
    <x v="0"/>
    <n v="0.13639999999999999"/>
    <n v="0.47"/>
    <n v="28.360000000000003"/>
    <x v="0"/>
    <n v="0"/>
    <n v="3"/>
    <n v="3"/>
    <m/>
    <x v="0"/>
  </r>
  <r>
    <n v="52"/>
    <x v="2"/>
    <x v="6"/>
    <b v="0"/>
    <n v="1"/>
    <n v="1"/>
    <x v="0"/>
    <n v="14.000000000000002"/>
    <x v="0"/>
    <n v="0.1061"/>
    <n v="0.5"/>
    <n v="38.81"/>
    <x v="2"/>
    <n v="0"/>
    <n v="30"/>
    <n v="30"/>
    <m/>
    <x v="0"/>
  </r>
  <r>
    <n v="53"/>
    <x v="2"/>
    <x v="7"/>
    <b v="0"/>
    <n v="1"/>
    <n v="1"/>
    <x v="0"/>
    <n v="14.000000000000002"/>
    <x v="0"/>
    <n v="0.13639999999999999"/>
    <n v="0.5"/>
    <n v="19.400000000000002"/>
    <x v="1"/>
    <n v="1"/>
    <n v="63"/>
    <n v="64"/>
    <m/>
    <x v="0"/>
  </r>
  <r>
    <n v="54"/>
    <x v="2"/>
    <x v="8"/>
    <b v="0"/>
    <n v="1"/>
    <n v="1"/>
    <x v="0"/>
    <n v="14.000000000000002"/>
    <x v="0"/>
    <n v="0.1212"/>
    <n v="0.5"/>
    <n v="28.360000000000003"/>
    <x v="0"/>
    <n v="1"/>
    <n v="153"/>
    <n v="154"/>
    <m/>
    <x v="0"/>
  </r>
  <r>
    <n v="55"/>
    <x v="2"/>
    <x v="9"/>
    <b v="0"/>
    <n v="1"/>
    <n v="1"/>
    <x v="0"/>
    <n v="16"/>
    <x v="0"/>
    <n v="0.13639999999999999"/>
    <n v="0.43"/>
    <n v="38.81"/>
    <x v="2"/>
    <n v="7"/>
    <n v="81"/>
    <n v="88"/>
    <m/>
    <x v="0"/>
  </r>
  <r>
    <n v="56"/>
    <x v="2"/>
    <x v="10"/>
    <b v="0"/>
    <n v="1"/>
    <n v="1"/>
    <x v="0"/>
    <n v="18"/>
    <x v="0"/>
    <n v="0.16669999999999999"/>
    <n v="0.43"/>
    <n v="25.369999999999997"/>
    <x v="0"/>
    <n v="11"/>
    <n v="33"/>
    <n v="44"/>
    <m/>
    <x v="0"/>
  </r>
  <r>
    <n v="57"/>
    <x v="2"/>
    <x v="11"/>
    <b v="0"/>
    <n v="1"/>
    <n v="1"/>
    <x v="0"/>
    <n v="20"/>
    <x v="0"/>
    <n v="0.18179999999999999"/>
    <n v="0.4"/>
    <n v="32.840000000000003"/>
    <x v="2"/>
    <n v="10"/>
    <n v="41"/>
    <n v="51"/>
    <m/>
    <x v="0"/>
  </r>
  <r>
    <n v="58"/>
    <x v="2"/>
    <x v="12"/>
    <b v="0"/>
    <n v="1"/>
    <n v="1"/>
    <x v="0"/>
    <n v="22"/>
    <x v="0"/>
    <n v="0.21210000000000001"/>
    <n v="0.35"/>
    <n v="29.849999999999998"/>
    <x v="0"/>
    <n v="13"/>
    <n v="48"/>
    <n v="61"/>
    <m/>
    <x v="0"/>
  </r>
  <r>
    <n v="59"/>
    <x v="2"/>
    <x v="13"/>
    <b v="0"/>
    <n v="1"/>
    <n v="1"/>
    <x v="0"/>
    <n v="24"/>
    <x v="0"/>
    <n v="0.19993489148580987"/>
    <n v="0.35"/>
    <n v="28.360000000000003"/>
    <x v="0"/>
    <n v="8"/>
    <n v="53"/>
    <n v="61"/>
    <m/>
    <x v="0"/>
  </r>
  <r>
    <n v="60"/>
    <x v="2"/>
    <x v="14"/>
    <b v="0"/>
    <n v="1"/>
    <n v="1"/>
    <x v="0"/>
    <n v="26"/>
    <x v="1"/>
    <n v="0.2424"/>
    <n v="0.3"/>
    <n v="28.360000000000003"/>
    <x v="0"/>
    <n v="11"/>
    <n v="66"/>
    <n v="77"/>
    <m/>
    <x v="0"/>
  </r>
  <r>
    <n v="61"/>
    <x v="2"/>
    <x v="15"/>
    <b v="0"/>
    <n v="1"/>
    <n v="1"/>
    <x v="0"/>
    <n v="26"/>
    <x v="1"/>
    <n v="0.2424"/>
    <n v="0.3"/>
    <n v="25.369999999999997"/>
    <x v="0"/>
    <n v="14"/>
    <n v="58"/>
    <n v="72"/>
    <m/>
    <x v="0"/>
  </r>
  <r>
    <n v="62"/>
    <x v="2"/>
    <x v="16"/>
    <b v="0"/>
    <n v="1"/>
    <n v="1"/>
    <x v="0"/>
    <n v="26"/>
    <x v="1"/>
    <n v="0.2424"/>
    <n v="0.3"/>
    <n v="25.369999999999997"/>
    <x v="0"/>
    <n v="9"/>
    <n v="67"/>
    <n v="76"/>
    <m/>
    <x v="0"/>
  </r>
  <r>
    <n v="63"/>
    <x v="2"/>
    <x v="17"/>
    <b v="0"/>
    <n v="1"/>
    <n v="1"/>
    <x v="0"/>
    <n v="24"/>
    <x v="0"/>
    <n v="0.2273"/>
    <n v="0.3"/>
    <n v="22.39"/>
    <x v="0"/>
    <n v="11"/>
    <n v="146"/>
    <n v="157"/>
    <m/>
    <x v="0"/>
  </r>
  <r>
    <n v="64"/>
    <x v="2"/>
    <x v="18"/>
    <b v="0"/>
    <n v="1"/>
    <n v="1"/>
    <x v="0"/>
    <n v="24"/>
    <x v="0"/>
    <n v="0.2576"/>
    <n v="0.32"/>
    <n v="10.45"/>
    <x v="1"/>
    <n v="9"/>
    <n v="148"/>
    <n v="157"/>
    <m/>
    <x v="0"/>
  </r>
  <r>
    <n v="65"/>
    <x v="2"/>
    <x v="19"/>
    <b v="0"/>
    <n v="1"/>
    <n v="1"/>
    <x v="0"/>
    <n v="20"/>
    <x v="0"/>
    <n v="0.2576"/>
    <n v="0.47"/>
    <n v="20.485098360655737"/>
    <x v="0"/>
    <n v="8"/>
    <n v="102"/>
    <n v="110"/>
    <m/>
    <x v="0"/>
  </r>
  <r>
    <n v="66"/>
    <x v="2"/>
    <x v="20"/>
    <b v="0"/>
    <n v="1"/>
    <n v="1"/>
    <x v="0"/>
    <n v="20"/>
    <x v="0"/>
    <n v="0.19993489148580987"/>
    <n v="0.47"/>
    <n v="10.45"/>
    <x v="1"/>
    <n v="3"/>
    <n v="49"/>
    <n v="52"/>
    <m/>
    <x v="0"/>
  </r>
  <r>
    <n v="67"/>
    <x v="2"/>
    <x v="21"/>
    <b v="0"/>
    <n v="1"/>
    <n v="1"/>
    <x v="0"/>
    <n v="18"/>
    <x v="0"/>
    <n v="0.19700000000000001"/>
    <n v="0.64"/>
    <n v="13.43"/>
    <x v="1"/>
    <n v="3"/>
    <n v="49"/>
    <n v="52"/>
    <m/>
    <x v="0"/>
  </r>
  <r>
    <n v="68"/>
    <x v="2"/>
    <x v="22"/>
    <b v="0"/>
    <n v="1"/>
    <n v="1"/>
    <x v="0"/>
    <n v="14.000000000000002"/>
    <x v="0"/>
    <n v="0.1515"/>
    <n v="0.69"/>
    <n v="13.43"/>
    <x v="1"/>
    <n v="0"/>
    <n v="20"/>
    <n v="20"/>
    <m/>
    <x v="0"/>
  </r>
  <r>
    <n v="69"/>
    <x v="2"/>
    <x v="23"/>
    <b v="0"/>
    <n v="1"/>
    <n v="1"/>
    <x v="0"/>
    <n v="18"/>
    <x v="0"/>
    <n v="0.21210000000000001"/>
    <n v="0.55000000000000004"/>
    <n v="10.45"/>
    <x v="1"/>
    <n v="1"/>
    <n v="11"/>
    <n v="12"/>
    <m/>
    <x v="0"/>
  </r>
  <r>
    <n v="70"/>
    <x v="3"/>
    <x v="0"/>
    <b v="0"/>
    <n v="2"/>
    <n v="1"/>
    <x v="0"/>
    <n v="16"/>
    <x v="0"/>
    <n v="0.19993489148580987"/>
    <n v="0.55000000000000004"/>
    <n v="10.45"/>
    <x v="1"/>
    <n v="0"/>
    <n v="5"/>
    <n v="5"/>
    <m/>
    <x v="0"/>
  </r>
  <r>
    <n v="71"/>
    <x v="3"/>
    <x v="1"/>
    <b v="0"/>
    <n v="2"/>
    <n v="1"/>
    <x v="0"/>
    <n v="16"/>
    <x v="0"/>
    <n v="0.18179999999999999"/>
    <n v="0.59"/>
    <n v="10.45"/>
    <x v="1"/>
    <n v="0"/>
    <n v="2"/>
    <n v="2"/>
    <m/>
    <x v="0"/>
  </r>
  <r>
    <n v="72"/>
    <x v="3"/>
    <x v="2"/>
    <b v="0"/>
    <n v="2"/>
    <n v="1"/>
    <x v="0"/>
    <n v="14.000000000000002"/>
    <x v="0"/>
    <n v="0.1515"/>
    <n v="0.63"/>
    <n v="13.43"/>
    <x v="1"/>
    <n v="0"/>
    <n v="1"/>
    <n v="1"/>
    <m/>
    <x v="0"/>
  </r>
  <r>
    <n v="73"/>
    <x v="3"/>
    <x v="4"/>
    <b v="0"/>
    <n v="2"/>
    <n v="1"/>
    <x v="0"/>
    <n v="14.000000000000002"/>
    <x v="0"/>
    <n v="0.18179999999999999"/>
    <n v="0.63"/>
    <n v="8.9599999999999991"/>
    <x v="1"/>
    <n v="0"/>
    <n v="2"/>
    <n v="2"/>
    <m/>
    <x v="0"/>
  </r>
  <r>
    <n v="74"/>
    <x v="3"/>
    <x v="5"/>
    <b v="0"/>
    <n v="2"/>
    <n v="1"/>
    <x v="0"/>
    <n v="12"/>
    <x v="0"/>
    <n v="0.1515"/>
    <n v="0.68"/>
    <n v="10.45"/>
    <x v="1"/>
    <n v="0"/>
    <n v="4"/>
    <n v="4"/>
    <m/>
    <x v="0"/>
  </r>
  <r>
    <n v="75"/>
    <x v="3"/>
    <x v="6"/>
    <b v="0"/>
    <n v="2"/>
    <n v="1"/>
    <x v="0"/>
    <n v="12"/>
    <x v="0"/>
    <n v="0.1515"/>
    <n v="0.74"/>
    <n v="10.45"/>
    <x v="1"/>
    <n v="0"/>
    <n v="36"/>
    <n v="36"/>
    <m/>
    <x v="0"/>
  </r>
  <r>
    <n v="76"/>
    <x v="3"/>
    <x v="7"/>
    <b v="0"/>
    <n v="2"/>
    <n v="1"/>
    <x v="0"/>
    <n v="12"/>
    <x v="0"/>
    <n v="0.1515"/>
    <n v="0.74"/>
    <n v="13.43"/>
    <x v="1"/>
    <n v="2"/>
    <n v="92"/>
    <n v="94"/>
    <m/>
    <x v="0"/>
  </r>
  <r>
    <n v="77"/>
    <x v="3"/>
    <x v="8"/>
    <b v="0"/>
    <n v="2"/>
    <n v="1"/>
    <x v="0"/>
    <n v="14.000000000000002"/>
    <x v="0"/>
    <n v="0.1515"/>
    <n v="0.69"/>
    <n v="16.420000000000002"/>
    <x v="1"/>
    <n v="2"/>
    <n v="177"/>
    <n v="179"/>
    <m/>
    <x v="0"/>
  </r>
  <r>
    <n v="78"/>
    <x v="3"/>
    <x v="9"/>
    <b v="0"/>
    <n v="2"/>
    <n v="1"/>
    <x v="0"/>
    <n v="16"/>
    <x v="0"/>
    <n v="0.1515"/>
    <n v="0.64"/>
    <n v="22.39"/>
    <x v="0"/>
    <n v="2"/>
    <n v="98"/>
    <n v="100"/>
    <m/>
    <x v="0"/>
  </r>
  <r>
    <n v="79"/>
    <x v="3"/>
    <x v="10"/>
    <b v="0"/>
    <n v="2"/>
    <n v="2"/>
    <x v="1"/>
    <n v="16"/>
    <x v="0"/>
    <n v="0.13639999999999999"/>
    <n v="0.69"/>
    <n v="32.840000000000003"/>
    <x v="2"/>
    <n v="5"/>
    <n v="37"/>
    <n v="42"/>
    <m/>
    <x v="0"/>
  </r>
  <r>
    <n v="80"/>
    <x v="3"/>
    <x v="11"/>
    <b v="0"/>
    <n v="2"/>
    <n v="1"/>
    <x v="0"/>
    <n v="22"/>
    <x v="0"/>
    <n v="0.21210000000000001"/>
    <n v="0.51"/>
    <n v="29.849999999999998"/>
    <x v="0"/>
    <n v="7"/>
    <n v="50"/>
    <n v="57"/>
    <m/>
    <x v="0"/>
  </r>
  <r>
    <n v="81"/>
    <x v="3"/>
    <x v="12"/>
    <b v="0"/>
    <n v="2"/>
    <n v="1"/>
    <x v="0"/>
    <n v="22"/>
    <x v="0"/>
    <n v="0.2273"/>
    <n v="0.51"/>
    <n v="16.420000000000002"/>
    <x v="1"/>
    <n v="12"/>
    <n v="66"/>
    <n v="78"/>
    <m/>
    <x v="0"/>
  </r>
  <r>
    <n v="82"/>
    <x v="3"/>
    <x v="13"/>
    <b v="0"/>
    <n v="2"/>
    <n v="1"/>
    <x v="0"/>
    <n v="24"/>
    <x v="0"/>
    <n v="0.2273"/>
    <n v="0.56000000000000005"/>
    <n v="19.400000000000002"/>
    <x v="1"/>
    <n v="18"/>
    <n v="79"/>
    <n v="97"/>
    <m/>
    <x v="0"/>
  </r>
  <r>
    <n v="83"/>
    <x v="3"/>
    <x v="14"/>
    <b v="0"/>
    <n v="2"/>
    <n v="1"/>
    <x v="0"/>
    <n v="26"/>
    <x v="1"/>
    <n v="0.2576"/>
    <n v="0.52"/>
    <n v="22.39"/>
    <x v="0"/>
    <n v="9"/>
    <n v="54"/>
    <n v="63"/>
    <m/>
    <x v="0"/>
  </r>
  <r>
    <n v="84"/>
    <x v="3"/>
    <x v="15"/>
    <b v="0"/>
    <n v="2"/>
    <n v="1"/>
    <x v="0"/>
    <n v="28.000000000000004"/>
    <x v="1"/>
    <n v="0.2727"/>
    <n v="0.52"/>
    <n v="25.369999999999997"/>
    <x v="0"/>
    <n v="17"/>
    <n v="48"/>
    <n v="65"/>
    <m/>
    <x v="0"/>
  </r>
  <r>
    <n v="85"/>
    <x v="3"/>
    <x v="16"/>
    <b v="0"/>
    <n v="2"/>
    <n v="1"/>
    <x v="0"/>
    <n v="30"/>
    <x v="1"/>
    <n v="0.28789999999999999"/>
    <n v="0.49"/>
    <n v="25.369999999999997"/>
    <x v="0"/>
    <n v="15"/>
    <n v="68"/>
    <n v="83"/>
    <m/>
    <x v="0"/>
  </r>
  <r>
    <n v="86"/>
    <x v="3"/>
    <x v="17"/>
    <b v="0"/>
    <n v="2"/>
    <n v="1"/>
    <x v="0"/>
    <n v="28.000000000000004"/>
    <x v="1"/>
    <n v="0.2727"/>
    <n v="0.48"/>
    <n v="22.39"/>
    <x v="0"/>
    <n v="10"/>
    <n v="202"/>
    <n v="212"/>
    <m/>
    <x v="0"/>
  </r>
  <r>
    <n v="87"/>
    <x v="3"/>
    <x v="18"/>
    <b v="0"/>
    <n v="2"/>
    <n v="1"/>
    <x v="0"/>
    <n v="26"/>
    <x v="1"/>
    <n v="0.2576"/>
    <n v="0.48"/>
    <n v="19.400000000000002"/>
    <x v="1"/>
    <n v="3"/>
    <n v="179"/>
    <n v="182"/>
    <m/>
    <x v="0"/>
  </r>
  <r>
    <n v="88"/>
    <x v="3"/>
    <x v="19"/>
    <b v="0"/>
    <n v="2"/>
    <n v="1"/>
    <x v="0"/>
    <n v="24"/>
    <x v="0"/>
    <n v="0.2576"/>
    <n v="0.48"/>
    <n v="10.45"/>
    <x v="1"/>
    <n v="2"/>
    <n v="110"/>
    <n v="112"/>
    <m/>
    <x v="0"/>
  </r>
  <r>
    <n v="89"/>
    <x v="3"/>
    <x v="20"/>
    <b v="0"/>
    <n v="2"/>
    <n v="1"/>
    <x v="0"/>
    <n v="24"/>
    <x v="0"/>
    <n v="0.2576"/>
    <n v="0.48"/>
    <n v="10.45"/>
    <x v="1"/>
    <n v="1"/>
    <n v="53"/>
    <n v="54"/>
    <m/>
    <x v="0"/>
  </r>
  <r>
    <n v="90"/>
    <x v="3"/>
    <x v="21"/>
    <b v="0"/>
    <n v="2"/>
    <n v="1"/>
    <x v="0"/>
    <n v="22"/>
    <x v="0"/>
    <n v="0.2727"/>
    <n v="0.64"/>
    <n v="20.485098360655737"/>
    <x v="0"/>
    <n v="0"/>
    <n v="48"/>
    <n v="48"/>
    <m/>
    <x v="0"/>
  </r>
  <r>
    <n v="91"/>
    <x v="3"/>
    <x v="22"/>
    <b v="0"/>
    <n v="2"/>
    <n v="1"/>
    <x v="0"/>
    <n v="22"/>
    <x v="0"/>
    <n v="0.2576"/>
    <n v="0.64"/>
    <n v="8.9599999999999991"/>
    <x v="1"/>
    <n v="1"/>
    <n v="34"/>
    <n v="35"/>
    <m/>
    <x v="0"/>
  </r>
  <r>
    <n v="92"/>
    <x v="3"/>
    <x v="23"/>
    <b v="0"/>
    <n v="2"/>
    <n v="1"/>
    <x v="0"/>
    <n v="20"/>
    <x v="0"/>
    <n v="0.2273"/>
    <n v="0.69"/>
    <n v="8.9599999999999991"/>
    <x v="1"/>
    <n v="2"/>
    <n v="9"/>
    <n v="11"/>
    <m/>
    <x v="0"/>
  </r>
  <r>
    <n v="93"/>
    <x v="4"/>
    <x v="0"/>
    <b v="0"/>
    <n v="3"/>
    <n v="1"/>
    <x v="0"/>
    <n v="20"/>
    <x v="0"/>
    <n v="0.2576"/>
    <n v="0.64"/>
    <n v="20.485098360655737"/>
    <x v="0"/>
    <n v="0"/>
    <n v="6"/>
    <n v="6"/>
    <m/>
    <x v="0"/>
  </r>
  <r>
    <n v="94"/>
    <x v="4"/>
    <x v="1"/>
    <b v="0"/>
    <n v="3"/>
    <n v="1"/>
    <x v="0"/>
    <n v="16"/>
    <x v="0"/>
    <n v="0.19700000000000001"/>
    <n v="0.74"/>
    <n v="8.9599999999999991"/>
    <x v="1"/>
    <n v="0"/>
    <n v="6"/>
    <n v="6"/>
    <m/>
    <x v="0"/>
  </r>
  <r>
    <n v="95"/>
    <x v="4"/>
    <x v="2"/>
    <b v="0"/>
    <n v="3"/>
    <n v="1"/>
    <x v="0"/>
    <n v="16"/>
    <x v="0"/>
    <n v="0.19700000000000001"/>
    <n v="0.74"/>
    <n v="8.9599999999999991"/>
    <x v="1"/>
    <n v="0"/>
    <n v="2"/>
    <n v="2"/>
    <m/>
    <x v="0"/>
  </r>
  <r>
    <n v="96"/>
    <x v="4"/>
    <x v="4"/>
    <b v="0"/>
    <n v="3"/>
    <n v="1"/>
    <x v="0"/>
    <n v="24"/>
    <x v="0"/>
    <n v="0.2273"/>
    <n v="0.48"/>
    <n v="22.39"/>
    <x v="0"/>
    <n v="0"/>
    <n v="2"/>
    <n v="2"/>
    <m/>
    <x v="0"/>
  </r>
  <r>
    <n v="97"/>
    <x v="4"/>
    <x v="5"/>
    <b v="0"/>
    <n v="3"/>
    <n v="1"/>
    <x v="0"/>
    <n v="22"/>
    <x v="0"/>
    <n v="0.2273"/>
    <n v="0.47"/>
    <n v="16.420000000000002"/>
    <x v="1"/>
    <n v="0"/>
    <n v="3"/>
    <n v="3"/>
    <m/>
    <x v="0"/>
  </r>
  <r>
    <n v="98"/>
    <x v="4"/>
    <x v="6"/>
    <b v="0"/>
    <n v="3"/>
    <n v="1"/>
    <x v="0"/>
    <n v="20"/>
    <x v="0"/>
    <n v="0.19700000000000001"/>
    <n v="0.47"/>
    <n v="22.39"/>
    <x v="0"/>
    <n v="0"/>
    <n v="33"/>
    <n v="33"/>
    <m/>
    <x v="0"/>
  </r>
  <r>
    <n v="99"/>
    <x v="4"/>
    <x v="7"/>
    <b v="0"/>
    <n v="3"/>
    <n v="1"/>
    <x v="0"/>
    <n v="18"/>
    <x v="0"/>
    <n v="0.18179999999999999"/>
    <n v="0.43"/>
    <n v="19.400000000000002"/>
    <x v="1"/>
    <n v="1"/>
    <n v="87"/>
    <n v="88"/>
    <m/>
    <x v="0"/>
  </r>
  <r>
    <n v="100"/>
    <x v="4"/>
    <x v="8"/>
    <b v="0"/>
    <n v="3"/>
    <n v="1"/>
    <x v="0"/>
    <n v="20"/>
    <x v="0"/>
    <n v="0.18179999999999999"/>
    <n v="0.4"/>
    <n v="29.849999999999998"/>
    <x v="0"/>
    <n v="3"/>
    <n v="192"/>
    <n v="195"/>
    <m/>
    <x v="0"/>
  </r>
  <r>
    <n v="101"/>
    <x v="4"/>
    <x v="9"/>
    <b v="0"/>
    <n v="3"/>
    <n v="1"/>
    <x v="0"/>
    <n v="22"/>
    <x v="0"/>
    <n v="0.19700000000000001"/>
    <n v="0.37"/>
    <n v="32.840000000000003"/>
    <x v="2"/>
    <n v="6"/>
    <n v="109"/>
    <n v="115"/>
    <m/>
    <x v="0"/>
  </r>
  <r>
    <n v="102"/>
    <x v="4"/>
    <x v="10"/>
    <b v="0"/>
    <n v="3"/>
    <n v="1"/>
    <x v="0"/>
    <n v="22"/>
    <x v="0"/>
    <n v="0.19700000000000001"/>
    <n v="0.37"/>
    <n v="32.840000000000003"/>
    <x v="2"/>
    <n v="4"/>
    <n v="53"/>
    <n v="57"/>
    <m/>
    <x v="0"/>
  </r>
  <r>
    <n v="103"/>
    <x v="4"/>
    <x v="11"/>
    <b v="0"/>
    <n v="3"/>
    <n v="1"/>
    <x v="0"/>
    <n v="26"/>
    <x v="1"/>
    <n v="0.2273"/>
    <n v="0.33"/>
    <n v="32.840000000000003"/>
    <x v="2"/>
    <n v="12"/>
    <n v="34"/>
    <n v="46"/>
    <m/>
    <x v="0"/>
  </r>
  <r>
    <n v="104"/>
    <x v="4"/>
    <x v="12"/>
    <b v="0"/>
    <n v="3"/>
    <n v="1"/>
    <x v="0"/>
    <n v="26"/>
    <x v="1"/>
    <n v="0.2273"/>
    <n v="0.33"/>
    <n v="32.840000000000003"/>
    <x v="2"/>
    <n v="5"/>
    <n v="74"/>
    <n v="79"/>
    <m/>
    <x v="0"/>
  </r>
  <r>
    <n v="105"/>
    <x v="4"/>
    <x v="13"/>
    <b v="0"/>
    <n v="3"/>
    <n v="1"/>
    <x v="0"/>
    <n v="28.000000000000004"/>
    <x v="1"/>
    <n v="0.2576"/>
    <n v="0.3"/>
    <n v="29.849999999999998"/>
    <x v="0"/>
    <n v="6"/>
    <n v="65"/>
    <n v="71"/>
    <m/>
    <x v="0"/>
  </r>
  <r>
    <n v="106"/>
    <x v="4"/>
    <x v="14"/>
    <b v="0"/>
    <n v="3"/>
    <n v="1"/>
    <x v="0"/>
    <n v="30"/>
    <x v="1"/>
    <n v="0.28789999999999999"/>
    <n v="0.28000000000000003"/>
    <n v="19.400000000000002"/>
    <x v="1"/>
    <n v="10"/>
    <n v="52"/>
    <n v="62"/>
    <m/>
    <x v="0"/>
  </r>
  <r>
    <n v="107"/>
    <x v="4"/>
    <x v="15"/>
    <b v="0"/>
    <n v="3"/>
    <n v="1"/>
    <x v="0"/>
    <n v="30"/>
    <x v="1"/>
    <n v="0.28789999999999999"/>
    <n v="0.28000000000000003"/>
    <n v="19.400000000000002"/>
    <x v="1"/>
    <n v="7"/>
    <n v="55"/>
    <n v="62"/>
    <m/>
    <x v="0"/>
  </r>
  <r>
    <n v="108"/>
    <x v="4"/>
    <x v="16"/>
    <b v="0"/>
    <n v="3"/>
    <n v="1"/>
    <x v="0"/>
    <n v="30"/>
    <x v="1"/>
    <n v="0.31819999999999998"/>
    <n v="0.28000000000000003"/>
    <n v="8.9599999999999991"/>
    <x v="1"/>
    <n v="4"/>
    <n v="85"/>
    <n v="89"/>
    <m/>
    <x v="0"/>
  </r>
  <r>
    <n v="109"/>
    <x v="4"/>
    <x v="17"/>
    <b v="0"/>
    <n v="3"/>
    <n v="1"/>
    <x v="0"/>
    <n v="24"/>
    <x v="0"/>
    <n v="0.2273"/>
    <n v="0.38"/>
    <n v="19.400000000000002"/>
    <x v="1"/>
    <n v="4"/>
    <n v="186"/>
    <n v="190"/>
    <m/>
    <x v="0"/>
  </r>
  <r>
    <n v="110"/>
    <x v="4"/>
    <x v="18"/>
    <b v="0"/>
    <n v="3"/>
    <n v="1"/>
    <x v="0"/>
    <n v="24"/>
    <x v="0"/>
    <n v="0.2424"/>
    <n v="0.38"/>
    <n v="13.43"/>
    <x v="1"/>
    <n v="3"/>
    <n v="166"/>
    <n v="169"/>
    <m/>
    <x v="0"/>
  </r>
  <r>
    <n v="111"/>
    <x v="4"/>
    <x v="19"/>
    <b v="0"/>
    <n v="3"/>
    <n v="1"/>
    <x v="0"/>
    <n v="24"/>
    <x v="0"/>
    <n v="0.2576"/>
    <n v="0.38"/>
    <n v="10.45"/>
    <x v="1"/>
    <n v="5"/>
    <n v="127"/>
    <n v="132"/>
    <m/>
    <x v="0"/>
  </r>
  <r>
    <n v="112"/>
    <x v="4"/>
    <x v="20"/>
    <b v="0"/>
    <n v="3"/>
    <n v="1"/>
    <x v="0"/>
    <n v="22"/>
    <x v="0"/>
    <n v="0.2273"/>
    <n v="0.47"/>
    <n v="16.420000000000002"/>
    <x v="1"/>
    <n v="7"/>
    <n v="82"/>
    <n v="89"/>
    <m/>
    <x v="0"/>
  </r>
  <r>
    <n v="113"/>
    <x v="4"/>
    <x v="21"/>
    <b v="0"/>
    <n v="3"/>
    <n v="1"/>
    <x v="0"/>
    <n v="20"/>
    <x v="0"/>
    <n v="0.19700000000000001"/>
    <n v="0.51"/>
    <n v="19.400000000000002"/>
    <x v="1"/>
    <n v="3"/>
    <n v="40"/>
    <n v="43"/>
    <m/>
    <x v="0"/>
  </r>
  <r>
    <n v="114"/>
    <x v="4"/>
    <x v="22"/>
    <b v="0"/>
    <n v="3"/>
    <n v="1"/>
    <x v="0"/>
    <n v="18"/>
    <x v="0"/>
    <n v="0.19700000000000001"/>
    <n v="0.55000000000000004"/>
    <n v="13.43"/>
    <x v="1"/>
    <n v="1"/>
    <n v="41"/>
    <n v="42"/>
    <m/>
    <x v="0"/>
  </r>
  <r>
    <n v="115"/>
    <x v="4"/>
    <x v="23"/>
    <b v="0"/>
    <n v="3"/>
    <n v="1"/>
    <x v="0"/>
    <n v="20"/>
    <x v="0"/>
    <n v="0.2576"/>
    <n v="0.47"/>
    <n v="20.485098360655737"/>
    <x v="0"/>
    <n v="1"/>
    <n v="18"/>
    <n v="19"/>
    <m/>
    <x v="0"/>
  </r>
  <r>
    <n v="116"/>
    <x v="5"/>
    <x v="0"/>
    <b v="0"/>
    <n v="4"/>
    <n v="1"/>
    <x v="0"/>
    <n v="18"/>
    <x v="0"/>
    <n v="0.2424"/>
    <n v="0.55000000000000004"/>
    <n v="20.485098360655737"/>
    <x v="0"/>
    <n v="0"/>
    <n v="11"/>
    <n v="11"/>
    <m/>
    <x v="0"/>
  </r>
  <r>
    <n v="117"/>
    <x v="5"/>
    <x v="1"/>
    <b v="0"/>
    <n v="4"/>
    <n v="1"/>
    <x v="0"/>
    <n v="16"/>
    <x v="0"/>
    <n v="0.2273"/>
    <n v="0.64"/>
    <n v="20.485098360655737"/>
    <x v="0"/>
    <n v="0"/>
    <n v="4"/>
    <n v="4"/>
    <m/>
    <x v="0"/>
  </r>
  <r>
    <n v="118"/>
    <x v="5"/>
    <x v="2"/>
    <b v="0"/>
    <n v="4"/>
    <n v="1"/>
    <x v="0"/>
    <n v="16"/>
    <x v="0"/>
    <n v="0.2273"/>
    <n v="0.64"/>
    <n v="20.485098360655737"/>
    <x v="0"/>
    <n v="0"/>
    <n v="2"/>
    <n v="2"/>
    <m/>
    <x v="0"/>
  </r>
  <r>
    <n v="119"/>
    <x v="5"/>
    <x v="4"/>
    <b v="0"/>
    <n v="4"/>
    <n v="2"/>
    <x v="1"/>
    <n v="16"/>
    <x v="0"/>
    <n v="0.19700000000000001"/>
    <n v="0.64"/>
    <n v="8.9599999999999991"/>
    <x v="1"/>
    <n v="0"/>
    <n v="1"/>
    <n v="1"/>
    <m/>
    <x v="0"/>
  </r>
  <r>
    <n v="120"/>
    <x v="5"/>
    <x v="5"/>
    <b v="0"/>
    <n v="4"/>
    <n v="2"/>
    <x v="1"/>
    <n v="14.000000000000002"/>
    <x v="0"/>
    <n v="0.18179999999999999"/>
    <n v="0.69"/>
    <n v="8.9599999999999991"/>
    <x v="1"/>
    <n v="0"/>
    <n v="4"/>
    <n v="4"/>
    <m/>
    <x v="0"/>
  </r>
  <r>
    <n v="121"/>
    <x v="5"/>
    <x v="6"/>
    <b v="0"/>
    <n v="4"/>
    <n v="2"/>
    <x v="1"/>
    <n v="14.000000000000002"/>
    <x v="0"/>
    <n v="0.16669999999999999"/>
    <n v="0.63"/>
    <n v="10.45"/>
    <x v="1"/>
    <n v="0"/>
    <n v="36"/>
    <n v="36"/>
    <m/>
    <x v="0"/>
  </r>
  <r>
    <n v="122"/>
    <x v="5"/>
    <x v="7"/>
    <b v="0"/>
    <n v="4"/>
    <n v="2"/>
    <x v="1"/>
    <n v="16"/>
    <x v="0"/>
    <n v="0.2273"/>
    <n v="0.59"/>
    <n v="20.485098360655737"/>
    <x v="0"/>
    <n v="0"/>
    <n v="95"/>
    <n v="95"/>
    <m/>
    <x v="0"/>
  </r>
  <r>
    <n v="123"/>
    <x v="5"/>
    <x v="8"/>
    <b v="0"/>
    <n v="4"/>
    <n v="1"/>
    <x v="0"/>
    <n v="16"/>
    <x v="0"/>
    <n v="0.2273"/>
    <n v="0.59"/>
    <n v="20.485098360655737"/>
    <x v="0"/>
    <n v="3"/>
    <n v="216"/>
    <n v="219"/>
    <m/>
    <x v="0"/>
  </r>
  <r>
    <n v="124"/>
    <x v="5"/>
    <x v="9"/>
    <b v="0"/>
    <n v="4"/>
    <n v="2"/>
    <x v="1"/>
    <n v="18"/>
    <x v="0"/>
    <n v="0.2424"/>
    <n v="0.51"/>
    <n v="20.485098360655737"/>
    <x v="0"/>
    <n v="6"/>
    <n v="116"/>
    <n v="122"/>
    <m/>
    <x v="0"/>
  </r>
  <r>
    <n v="125"/>
    <x v="5"/>
    <x v="10"/>
    <b v="0"/>
    <n v="4"/>
    <n v="1"/>
    <x v="0"/>
    <n v="20"/>
    <x v="0"/>
    <n v="0.2576"/>
    <n v="0.47"/>
    <n v="20.485098360655737"/>
    <x v="0"/>
    <n v="3"/>
    <n v="42"/>
    <n v="45"/>
    <m/>
    <x v="0"/>
  </r>
  <r>
    <n v="126"/>
    <x v="5"/>
    <x v="11"/>
    <b v="0"/>
    <n v="4"/>
    <n v="1"/>
    <x v="0"/>
    <n v="22"/>
    <x v="0"/>
    <n v="0.2576"/>
    <n v="0.44"/>
    <n v="8.9599999999999991"/>
    <x v="1"/>
    <n v="2"/>
    <n v="57"/>
    <n v="59"/>
    <m/>
    <x v="0"/>
  </r>
  <r>
    <n v="127"/>
    <x v="5"/>
    <x v="12"/>
    <b v="0"/>
    <n v="4"/>
    <n v="1"/>
    <x v="0"/>
    <n v="26"/>
    <x v="1"/>
    <n v="0.28789999999999999"/>
    <n v="0.35"/>
    <n v="20.485098360655737"/>
    <x v="0"/>
    <n v="6"/>
    <n v="78"/>
    <n v="84"/>
    <m/>
    <x v="0"/>
  </r>
  <r>
    <n v="128"/>
    <x v="5"/>
    <x v="13"/>
    <b v="0"/>
    <n v="4"/>
    <n v="1"/>
    <x v="0"/>
    <n v="26"/>
    <x v="1"/>
    <n v="0.2727"/>
    <n v="0.35"/>
    <n v="10.45"/>
    <x v="1"/>
    <n v="12"/>
    <n v="55"/>
    <n v="67"/>
    <m/>
    <x v="0"/>
  </r>
  <r>
    <n v="129"/>
    <x v="5"/>
    <x v="14"/>
    <b v="0"/>
    <n v="4"/>
    <n v="1"/>
    <x v="0"/>
    <n v="28.000000000000004"/>
    <x v="1"/>
    <n v="0.2727"/>
    <n v="0.36"/>
    <n v="16.420000000000002"/>
    <x v="1"/>
    <n v="11"/>
    <n v="59"/>
    <n v="70"/>
    <m/>
    <x v="0"/>
  </r>
  <r>
    <n v="130"/>
    <x v="5"/>
    <x v="15"/>
    <b v="0"/>
    <n v="4"/>
    <n v="1"/>
    <x v="0"/>
    <n v="28.000000000000004"/>
    <x v="1"/>
    <n v="0.2727"/>
    <n v="0.36"/>
    <n v="20.485098360655737"/>
    <x v="0"/>
    <n v="8"/>
    <n v="54"/>
    <n v="62"/>
    <m/>
    <x v="0"/>
  </r>
  <r>
    <n v="131"/>
    <x v="5"/>
    <x v="16"/>
    <b v="0"/>
    <n v="4"/>
    <n v="1"/>
    <x v="0"/>
    <n v="26"/>
    <x v="1"/>
    <n v="0.2576"/>
    <n v="0.38"/>
    <n v="16.420000000000002"/>
    <x v="1"/>
    <n v="12"/>
    <n v="74"/>
    <n v="86"/>
    <m/>
    <x v="0"/>
  </r>
  <r>
    <n v="132"/>
    <x v="5"/>
    <x v="17"/>
    <b v="0"/>
    <n v="4"/>
    <n v="1"/>
    <x v="0"/>
    <n v="22"/>
    <x v="0"/>
    <n v="0.2273"/>
    <n v="0.51"/>
    <n v="16.420000000000002"/>
    <x v="1"/>
    <n v="9"/>
    <n v="163"/>
    <n v="172"/>
    <m/>
    <x v="0"/>
  </r>
  <r>
    <n v="133"/>
    <x v="5"/>
    <x v="18"/>
    <b v="0"/>
    <n v="4"/>
    <n v="1"/>
    <x v="0"/>
    <n v="22"/>
    <x v="0"/>
    <n v="0.2273"/>
    <n v="0.51"/>
    <n v="13.43"/>
    <x v="1"/>
    <n v="5"/>
    <n v="158"/>
    <n v="163"/>
    <m/>
    <x v="0"/>
  </r>
  <r>
    <n v="134"/>
    <x v="5"/>
    <x v="19"/>
    <b v="0"/>
    <n v="4"/>
    <n v="1"/>
    <x v="0"/>
    <n v="22"/>
    <x v="0"/>
    <n v="0.2576"/>
    <n v="0.55000000000000004"/>
    <n v="8.9599999999999991"/>
    <x v="1"/>
    <n v="3"/>
    <n v="109"/>
    <n v="112"/>
    <m/>
    <x v="0"/>
  </r>
  <r>
    <n v="135"/>
    <x v="5"/>
    <x v="20"/>
    <b v="0"/>
    <n v="4"/>
    <n v="1"/>
    <x v="0"/>
    <n v="20"/>
    <x v="0"/>
    <n v="0.21210000000000001"/>
    <n v="0.51"/>
    <n v="16.420000000000002"/>
    <x v="1"/>
    <n v="3"/>
    <n v="66"/>
    <n v="69"/>
    <m/>
    <x v="0"/>
  </r>
  <r>
    <n v="136"/>
    <x v="5"/>
    <x v="21"/>
    <b v="0"/>
    <n v="4"/>
    <n v="2"/>
    <x v="1"/>
    <n v="22"/>
    <x v="0"/>
    <n v="0.21210000000000001"/>
    <n v="0.55000000000000004"/>
    <n v="22.39"/>
    <x v="0"/>
    <n v="0"/>
    <n v="48"/>
    <n v="48"/>
    <m/>
    <x v="0"/>
  </r>
  <r>
    <n v="137"/>
    <x v="5"/>
    <x v="22"/>
    <b v="0"/>
    <n v="4"/>
    <n v="2"/>
    <x v="1"/>
    <n v="22"/>
    <x v="0"/>
    <n v="0.21210000000000001"/>
    <n v="0.51"/>
    <n v="28.360000000000003"/>
    <x v="0"/>
    <n v="1"/>
    <n v="51"/>
    <n v="52"/>
    <m/>
    <x v="0"/>
  </r>
  <r>
    <n v="138"/>
    <x v="5"/>
    <x v="23"/>
    <b v="0"/>
    <n v="4"/>
    <n v="2"/>
    <x v="1"/>
    <n v="20"/>
    <x v="0"/>
    <n v="0.19700000000000001"/>
    <n v="0.59"/>
    <n v="19.400000000000002"/>
    <x v="1"/>
    <n v="4"/>
    <n v="19"/>
    <n v="23"/>
    <m/>
    <x v="0"/>
  </r>
  <r>
    <n v="139"/>
    <x v="6"/>
    <x v="0"/>
    <b v="0"/>
    <n v="5"/>
    <n v="2"/>
    <x v="1"/>
    <n v="20"/>
    <x v="0"/>
    <n v="0.19700000000000001"/>
    <n v="0.64"/>
    <n v="19.400000000000002"/>
    <x v="1"/>
    <n v="4"/>
    <n v="13"/>
    <n v="17"/>
    <m/>
    <x v="0"/>
  </r>
  <r>
    <n v="140"/>
    <x v="6"/>
    <x v="1"/>
    <b v="0"/>
    <n v="5"/>
    <n v="2"/>
    <x v="1"/>
    <n v="20"/>
    <x v="0"/>
    <n v="0.19700000000000001"/>
    <n v="0.69"/>
    <n v="22.39"/>
    <x v="0"/>
    <n v="2"/>
    <n v="5"/>
    <n v="7"/>
    <m/>
    <x v="0"/>
  </r>
  <r>
    <n v="141"/>
    <x v="6"/>
    <x v="2"/>
    <b v="0"/>
    <n v="5"/>
    <n v="2"/>
    <x v="1"/>
    <n v="20"/>
    <x v="0"/>
    <n v="0.19700000000000001"/>
    <n v="0.69"/>
    <n v="22.39"/>
    <x v="0"/>
    <n v="0"/>
    <n v="1"/>
    <n v="1"/>
    <m/>
    <x v="0"/>
  </r>
  <r>
    <n v="142"/>
    <x v="6"/>
    <x v="4"/>
    <b v="0"/>
    <n v="5"/>
    <n v="2"/>
    <x v="1"/>
    <n v="20"/>
    <x v="0"/>
    <n v="0.21210000000000001"/>
    <n v="0.69"/>
    <n v="13.43"/>
    <x v="1"/>
    <n v="0"/>
    <n v="1"/>
    <n v="1"/>
    <m/>
    <x v="0"/>
  </r>
  <r>
    <n v="143"/>
    <x v="6"/>
    <x v="5"/>
    <b v="0"/>
    <n v="5"/>
    <n v="3"/>
    <x v="2"/>
    <n v="22"/>
    <x v="0"/>
    <n v="0.2727"/>
    <n v="0.55000000000000004"/>
    <n v="20.485098360655737"/>
    <x v="0"/>
    <n v="0"/>
    <n v="5"/>
    <n v="5"/>
    <m/>
    <x v="0"/>
  </r>
  <r>
    <n v="144"/>
    <x v="6"/>
    <x v="6"/>
    <b v="0"/>
    <n v="5"/>
    <n v="2"/>
    <x v="1"/>
    <n v="20"/>
    <x v="0"/>
    <n v="0.2576"/>
    <n v="0.69"/>
    <n v="20.485098360655737"/>
    <x v="0"/>
    <n v="8"/>
    <n v="26"/>
    <n v="34"/>
    <m/>
    <x v="0"/>
  </r>
  <r>
    <n v="145"/>
    <x v="6"/>
    <x v="7"/>
    <b v="0"/>
    <n v="5"/>
    <n v="1"/>
    <x v="0"/>
    <n v="20"/>
    <x v="0"/>
    <n v="0.21210000000000001"/>
    <n v="0.69"/>
    <n v="13.43"/>
    <x v="1"/>
    <n v="8"/>
    <n v="76"/>
    <n v="84"/>
    <m/>
    <x v="0"/>
  </r>
  <r>
    <n v="146"/>
    <x v="6"/>
    <x v="8"/>
    <b v="0"/>
    <n v="5"/>
    <n v="1"/>
    <x v="0"/>
    <n v="20"/>
    <x v="0"/>
    <n v="0.19700000000000001"/>
    <n v="0.51"/>
    <n v="25.369999999999997"/>
    <x v="0"/>
    <n v="20"/>
    <n v="190"/>
    <n v="210"/>
    <m/>
    <x v="0"/>
  </r>
  <r>
    <n v="147"/>
    <x v="6"/>
    <x v="9"/>
    <b v="0"/>
    <n v="5"/>
    <n v="1"/>
    <x v="0"/>
    <n v="20"/>
    <x v="0"/>
    <n v="0.18179999999999999"/>
    <n v="0.47"/>
    <n v="29.849999999999998"/>
    <x v="0"/>
    <n v="9"/>
    <n v="125"/>
    <n v="134"/>
    <m/>
    <x v="0"/>
  </r>
  <r>
    <n v="148"/>
    <x v="6"/>
    <x v="10"/>
    <b v="0"/>
    <n v="5"/>
    <n v="1"/>
    <x v="0"/>
    <n v="22"/>
    <x v="0"/>
    <n v="0.19700000000000001"/>
    <n v="0.37"/>
    <n v="32.840000000000003"/>
    <x v="2"/>
    <n v="16"/>
    <n v="47"/>
    <n v="63"/>
    <m/>
    <x v="0"/>
  </r>
  <r>
    <n v="149"/>
    <x v="6"/>
    <x v="11"/>
    <b v="0"/>
    <n v="5"/>
    <n v="2"/>
    <x v="1"/>
    <n v="20"/>
    <x v="0"/>
    <n v="0.19700000000000001"/>
    <n v="0.4"/>
    <n v="22.39"/>
    <x v="0"/>
    <n v="19"/>
    <n v="48"/>
    <n v="67"/>
    <m/>
    <x v="0"/>
  </r>
  <r>
    <n v="150"/>
    <x v="6"/>
    <x v="12"/>
    <b v="0"/>
    <n v="5"/>
    <n v="2"/>
    <x v="1"/>
    <n v="20"/>
    <x v="0"/>
    <n v="0.19700000000000001"/>
    <n v="0.37"/>
    <n v="25.369999999999997"/>
    <x v="0"/>
    <n v="9"/>
    <n v="50"/>
    <n v="59"/>
    <m/>
    <x v="0"/>
  </r>
  <r>
    <n v="151"/>
    <x v="6"/>
    <x v="13"/>
    <b v="0"/>
    <n v="5"/>
    <n v="2"/>
    <x v="1"/>
    <n v="20"/>
    <x v="0"/>
    <n v="0.18179999999999999"/>
    <n v="0.37"/>
    <n v="28.360000000000003"/>
    <x v="0"/>
    <n v="9"/>
    <n v="64"/>
    <n v="73"/>
    <m/>
    <x v="0"/>
  </r>
  <r>
    <n v="152"/>
    <x v="6"/>
    <x v="14"/>
    <b v="0"/>
    <n v="5"/>
    <n v="2"/>
    <x v="1"/>
    <n v="20"/>
    <x v="0"/>
    <n v="0.19700000000000001"/>
    <n v="0.4"/>
    <n v="25.369999999999997"/>
    <x v="0"/>
    <n v="7"/>
    <n v="43"/>
    <n v="50"/>
    <m/>
    <x v="0"/>
  </r>
  <r>
    <n v="153"/>
    <x v="6"/>
    <x v="15"/>
    <b v="0"/>
    <n v="5"/>
    <n v="2"/>
    <x v="1"/>
    <n v="20"/>
    <x v="0"/>
    <n v="0.21210000000000001"/>
    <n v="0.37"/>
    <n v="16.420000000000002"/>
    <x v="1"/>
    <n v="9"/>
    <n v="63"/>
    <n v="72"/>
    <m/>
    <x v="0"/>
  </r>
  <r>
    <n v="154"/>
    <x v="6"/>
    <x v="16"/>
    <b v="0"/>
    <n v="5"/>
    <n v="2"/>
    <x v="1"/>
    <n v="20"/>
    <x v="0"/>
    <n v="0.21210000000000001"/>
    <n v="0.37"/>
    <n v="16.420000000000002"/>
    <x v="1"/>
    <n v="5"/>
    <n v="82"/>
    <n v="87"/>
    <m/>
    <x v="0"/>
  </r>
  <r>
    <n v="155"/>
    <x v="6"/>
    <x v="17"/>
    <b v="0"/>
    <n v="5"/>
    <n v="2"/>
    <x v="1"/>
    <n v="20"/>
    <x v="0"/>
    <n v="0.2576"/>
    <n v="0.37"/>
    <n v="20.485098360655737"/>
    <x v="0"/>
    <n v="9"/>
    <n v="178"/>
    <n v="187"/>
    <m/>
    <x v="0"/>
  </r>
  <r>
    <n v="156"/>
    <x v="6"/>
    <x v="18"/>
    <b v="0"/>
    <n v="5"/>
    <n v="1"/>
    <x v="0"/>
    <n v="20"/>
    <x v="0"/>
    <n v="0.2273"/>
    <n v="0.4"/>
    <n v="8.9599999999999991"/>
    <x v="1"/>
    <n v="7"/>
    <n v="116"/>
    <n v="123"/>
    <m/>
    <x v="0"/>
  </r>
  <r>
    <n v="157"/>
    <x v="6"/>
    <x v="19"/>
    <b v="0"/>
    <n v="5"/>
    <n v="1"/>
    <x v="0"/>
    <n v="16"/>
    <x v="0"/>
    <n v="0.19700000000000001"/>
    <n v="0.55000000000000004"/>
    <n v="8.9599999999999991"/>
    <x v="1"/>
    <n v="3"/>
    <n v="92"/>
    <n v="95"/>
    <m/>
    <x v="0"/>
  </r>
  <r>
    <n v="158"/>
    <x v="6"/>
    <x v="20"/>
    <b v="0"/>
    <n v="5"/>
    <n v="1"/>
    <x v="0"/>
    <n v="18"/>
    <x v="0"/>
    <n v="0.21210000000000001"/>
    <n v="0.47"/>
    <n v="10.45"/>
    <x v="1"/>
    <n v="1"/>
    <n v="50"/>
    <n v="51"/>
    <m/>
    <x v="0"/>
  </r>
  <r>
    <n v="159"/>
    <x v="6"/>
    <x v="21"/>
    <b v="0"/>
    <n v="5"/>
    <n v="1"/>
    <x v="0"/>
    <n v="18"/>
    <x v="0"/>
    <n v="0.19700000000000001"/>
    <n v="0.47"/>
    <n v="13.43"/>
    <x v="1"/>
    <n v="0"/>
    <n v="39"/>
    <n v="39"/>
    <m/>
    <x v="0"/>
  </r>
  <r>
    <n v="160"/>
    <x v="6"/>
    <x v="22"/>
    <b v="0"/>
    <n v="5"/>
    <n v="2"/>
    <x v="1"/>
    <n v="18"/>
    <x v="0"/>
    <n v="0.19700000000000001"/>
    <n v="0.43"/>
    <n v="16.420000000000002"/>
    <x v="1"/>
    <n v="2"/>
    <n v="34"/>
    <n v="36"/>
    <m/>
    <x v="0"/>
  </r>
  <r>
    <n v="161"/>
    <x v="6"/>
    <x v="23"/>
    <b v="0"/>
    <n v="5"/>
    <n v="2"/>
    <x v="1"/>
    <n v="18"/>
    <x v="0"/>
    <n v="0.19700000000000001"/>
    <n v="0.51"/>
    <n v="16.420000000000002"/>
    <x v="1"/>
    <n v="1"/>
    <n v="14"/>
    <n v="15"/>
    <m/>
    <x v="0"/>
  </r>
  <r>
    <n v="162"/>
    <x v="7"/>
    <x v="0"/>
    <b v="0"/>
    <n v="6"/>
    <n v="2"/>
    <x v="1"/>
    <n v="18"/>
    <x v="0"/>
    <n v="0.19700000000000001"/>
    <n v="0.51"/>
    <n v="16.420000000000002"/>
    <x v="1"/>
    <n v="1"/>
    <n v="24"/>
    <n v="25"/>
    <m/>
    <x v="1"/>
  </r>
  <r>
    <n v="163"/>
    <x v="7"/>
    <x v="1"/>
    <b v="0"/>
    <n v="6"/>
    <n v="2"/>
    <x v="1"/>
    <n v="18"/>
    <x v="0"/>
    <n v="0.21210000000000001"/>
    <n v="0.55000000000000004"/>
    <n v="8.9599999999999991"/>
    <x v="1"/>
    <n v="1"/>
    <n v="15"/>
    <n v="16"/>
    <m/>
    <x v="1"/>
  </r>
  <r>
    <n v="164"/>
    <x v="7"/>
    <x v="2"/>
    <b v="0"/>
    <n v="6"/>
    <n v="2"/>
    <x v="1"/>
    <n v="18"/>
    <x v="0"/>
    <n v="0.2424"/>
    <n v="0.55000000000000004"/>
    <n v="20.485098360655737"/>
    <x v="0"/>
    <n v="3"/>
    <n v="13"/>
    <n v="16"/>
    <m/>
    <x v="1"/>
  </r>
  <r>
    <n v="165"/>
    <x v="7"/>
    <x v="3"/>
    <b v="0"/>
    <n v="6"/>
    <n v="3"/>
    <x v="2"/>
    <n v="18"/>
    <x v="0"/>
    <n v="0.19700000000000001"/>
    <n v="0.55000000000000004"/>
    <n v="16.420000000000002"/>
    <x v="1"/>
    <n v="0"/>
    <n v="7"/>
    <n v="7"/>
    <m/>
    <x v="1"/>
  </r>
  <r>
    <n v="166"/>
    <x v="7"/>
    <x v="4"/>
    <b v="0"/>
    <n v="6"/>
    <n v="3"/>
    <x v="2"/>
    <n v="18"/>
    <x v="0"/>
    <n v="0.19700000000000001"/>
    <n v="0.55000000000000004"/>
    <n v="16.420000000000002"/>
    <x v="1"/>
    <n v="0"/>
    <n v="1"/>
    <n v="1"/>
    <m/>
    <x v="1"/>
  </r>
  <r>
    <n v="167"/>
    <x v="7"/>
    <x v="5"/>
    <b v="0"/>
    <n v="6"/>
    <n v="2"/>
    <x v="1"/>
    <n v="16"/>
    <x v="0"/>
    <n v="0.16669999999999999"/>
    <n v="0.74"/>
    <n v="16.420000000000002"/>
    <x v="1"/>
    <n v="0"/>
    <n v="5"/>
    <n v="5"/>
    <m/>
    <x v="1"/>
  </r>
  <r>
    <n v="168"/>
    <x v="7"/>
    <x v="6"/>
    <b v="0"/>
    <n v="6"/>
    <n v="2"/>
    <x v="1"/>
    <n v="16"/>
    <x v="0"/>
    <n v="0.16669999999999999"/>
    <n v="0.74"/>
    <n v="16.420000000000002"/>
    <x v="1"/>
    <n v="0"/>
    <n v="2"/>
    <n v="2"/>
    <m/>
    <x v="1"/>
  </r>
  <r>
    <n v="169"/>
    <x v="7"/>
    <x v="7"/>
    <b v="0"/>
    <n v="6"/>
    <n v="2"/>
    <x v="1"/>
    <n v="16"/>
    <x v="0"/>
    <n v="0.18179999999999999"/>
    <n v="0.74"/>
    <n v="10.45"/>
    <x v="1"/>
    <n v="1"/>
    <n v="8"/>
    <n v="9"/>
    <m/>
    <x v="1"/>
  </r>
  <r>
    <n v="170"/>
    <x v="7"/>
    <x v="8"/>
    <b v="0"/>
    <n v="6"/>
    <n v="3"/>
    <x v="2"/>
    <n v="16"/>
    <x v="0"/>
    <n v="0.18179999999999999"/>
    <n v="0.93"/>
    <n v="10.45"/>
    <x v="1"/>
    <n v="0"/>
    <n v="15"/>
    <n v="15"/>
    <m/>
    <x v="1"/>
  </r>
  <r>
    <n v="171"/>
    <x v="7"/>
    <x v="9"/>
    <b v="0"/>
    <n v="6"/>
    <n v="3"/>
    <x v="2"/>
    <n v="16"/>
    <x v="0"/>
    <n v="0.18179999999999999"/>
    <n v="0.93"/>
    <n v="10.45"/>
    <x v="1"/>
    <n v="0"/>
    <n v="20"/>
    <n v="20"/>
    <m/>
    <x v="1"/>
  </r>
  <r>
    <n v="172"/>
    <x v="7"/>
    <x v="10"/>
    <b v="0"/>
    <n v="6"/>
    <n v="2"/>
    <x v="1"/>
    <n v="18"/>
    <x v="0"/>
    <n v="0.19700000000000001"/>
    <n v="0.8"/>
    <n v="16.420000000000002"/>
    <x v="1"/>
    <n v="5"/>
    <n v="56"/>
    <n v="61"/>
    <m/>
    <x v="1"/>
  </r>
  <r>
    <n v="173"/>
    <x v="7"/>
    <x v="11"/>
    <b v="0"/>
    <n v="6"/>
    <n v="2"/>
    <x v="1"/>
    <n v="20"/>
    <x v="0"/>
    <n v="0.18179999999999999"/>
    <n v="0.69"/>
    <n v="38.81"/>
    <x v="2"/>
    <n v="2"/>
    <n v="60"/>
    <n v="62"/>
    <m/>
    <x v="1"/>
  </r>
  <r>
    <n v="174"/>
    <x v="7"/>
    <x v="12"/>
    <b v="0"/>
    <n v="6"/>
    <n v="2"/>
    <x v="1"/>
    <n v="20"/>
    <x v="0"/>
    <n v="0.18179999999999999"/>
    <n v="0.59"/>
    <n v="35.82"/>
    <x v="2"/>
    <n v="8"/>
    <n v="90"/>
    <n v="98"/>
    <m/>
    <x v="1"/>
  </r>
  <r>
    <n v="175"/>
    <x v="7"/>
    <x v="13"/>
    <b v="0"/>
    <n v="6"/>
    <n v="1"/>
    <x v="0"/>
    <n v="20"/>
    <x v="0"/>
    <n v="0.18179999999999999"/>
    <n v="0.44"/>
    <n v="32.840000000000003"/>
    <x v="2"/>
    <n v="7"/>
    <n v="95"/>
    <n v="102"/>
    <m/>
    <x v="1"/>
  </r>
  <r>
    <n v="176"/>
    <x v="7"/>
    <x v="14"/>
    <b v="0"/>
    <n v="6"/>
    <n v="1"/>
    <x v="0"/>
    <n v="20"/>
    <x v="0"/>
    <n v="0.16669999999999999"/>
    <n v="0.32"/>
    <n v="49.25"/>
    <x v="2"/>
    <n v="12"/>
    <n v="83"/>
    <n v="95"/>
    <m/>
    <x v="1"/>
  </r>
  <r>
    <n v="177"/>
    <x v="7"/>
    <x v="15"/>
    <b v="0"/>
    <n v="6"/>
    <n v="1"/>
    <x v="0"/>
    <n v="20"/>
    <x v="0"/>
    <n v="0.16669999999999999"/>
    <n v="0.32"/>
    <n v="44.78"/>
    <x v="2"/>
    <n v="5"/>
    <n v="69"/>
    <n v="74"/>
    <m/>
    <x v="1"/>
  </r>
  <r>
    <n v="178"/>
    <x v="7"/>
    <x v="16"/>
    <b v="0"/>
    <n v="6"/>
    <n v="1"/>
    <x v="0"/>
    <n v="18"/>
    <x v="0"/>
    <n v="0.13639999999999999"/>
    <n v="0.28999999999999998"/>
    <n v="44.78"/>
    <x v="2"/>
    <n v="8"/>
    <n v="68"/>
    <n v="76"/>
    <m/>
    <x v="1"/>
  </r>
  <r>
    <n v="179"/>
    <x v="7"/>
    <x v="17"/>
    <b v="0"/>
    <n v="6"/>
    <n v="1"/>
    <x v="0"/>
    <n v="16"/>
    <x v="0"/>
    <n v="0.1212"/>
    <n v="0.37"/>
    <n v="55.22"/>
    <x v="2"/>
    <n v="5"/>
    <n v="64"/>
    <n v="69"/>
    <m/>
    <x v="1"/>
  </r>
  <r>
    <n v="180"/>
    <x v="7"/>
    <x v="18"/>
    <b v="0"/>
    <n v="6"/>
    <n v="1"/>
    <x v="0"/>
    <n v="14.000000000000002"/>
    <x v="0"/>
    <n v="0.1212"/>
    <n v="0.39"/>
    <n v="29.849999999999998"/>
    <x v="0"/>
    <n v="3"/>
    <n v="52"/>
    <n v="55"/>
    <m/>
    <x v="1"/>
  </r>
  <r>
    <n v="181"/>
    <x v="7"/>
    <x v="19"/>
    <b v="0"/>
    <n v="6"/>
    <n v="1"/>
    <x v="0"/>
    <n v="14.000000000000002"/>
    <x v="0"/>
    <n v="0.1212"/>
    <n v="0.36"/>
    <n v="25.369999999999997"/>
    <x v="0"/>
    <n v="4"/>
    <n v="26"/>
    <n v="30"/>
    <m/>
    <x v="1"/>
  </r>
  <r>
    <n v="182"/>
    <x v="7"/>
    <x v="20"/>
    <b v="0"/>
    <n v="6"/>
    <n v="1"/>
    <x v="0"/>
    <n v="12"/>
    <x v="0"/>
    <n v="0.1212"/>
    <n v="0.36"/>
    <n v="25.369999999999997"/>
    <x v="0"/>
    <n v="0"/>
    <n v="28"/>
    <n v="28"/>
    <m/>
    <x v="1"/>
  </r>
  <r>
    <n v="183"/>
    <x v="7"/>
    <x v="21"/>
    <b v="0"/>
    <n v="6"/>
    <n v="1"/>
    <x v="0"/>
    <n v="12"/>
    <x v="0"/>
    <n v="0.1061"/>
    <n v="0.39"/>
    <n v="35.82"/>
    <x v="2"/>
    <n v="2"/>
    <n v="35"/>
    <n v="37"/>
    <m/>
    <x v="1"/>
  </r>
  <r>
    <n v="184"/>
    <x v="7"/>
    <x v="22"/>
    <b v="0"/>
    <n v="6"/>
    <n v="1"/>
    <x v="0"/>
    <n v="12"/>
    <x v="0"/>
    <n v="0.1061"/>
    <n v="0.36"/>
    <n v="38.81"/>
    <x v="2"/>
    <n v="1"/>
    <n v="33"/>
    <n v="34"/>
    <m/>
    <x v="1"/>
  </r>
  <r>
    <n v="185"/>
    <x v="7"/>
    <x v="23"/>
    <b v="0"/>
    <n v="6"/>
    <n v="1"/>
    <x v="0"/>
    <n v="10"/>
    <x v="2"/>
    <n v="6.0600000000000001E-2"/>
    <n v="0.39"/>
    <n v="44.78"/>
    <x v="2"/>
    <n v="0"/>
    <n v="22"/>
    <n v="22"/>
    <m/>
    <x v="1"/>
  </r>
  <r>
    <n v="186"/>
    <x v="8"/>
    <x v="0"/>
    <b v="0"/>
    <n v="7"/>
    <n v="1"/>
    <x v="0"/>
    <n v="10"/>
    <x v="2"/>
    <n v="7.5800000000000006E-2"/>
    <n v="0.42"/>
    <n v="38.81"/>
    <x v="2"/>
    <n v="1"/>
    <n v="24"/>
    <n v="25"/>
    <m/>
    <x v="1"/>
  </r>
  <r>
    <n v="187"/>
    <x v="8"/>
    <x v="1"/>
    <b v="0"/>
    <n v="7"/>
    <n v="1"/>
    <x v="0"/>
    <n v="10"/>
    <x v="2"/>
    <n v="6.0600000000000001E-2"/>
    <n v="0.42"/>
    <n v="46.27"/>
    <x v="2"/>
    <n v="0"/>
    <n v="12"/>
    <n v="12"/>
    <m/>
    <x v="1"/>
  </r>
  <r>
    <n v="188"/>
    <x v="8"/>
    <x v="2"/>
    <b v="0"/>
    <n v="7"/>
    <n v="1"/>
    <x v="0"/>
    <n v="10"/>
    <x v="2"/>
    <n v="6.0600000000000001E-2"/>
    <n v="0.46"/>
    <n v="46.27"/>
    <x v="2"/>
    <n v="0"/>
    <n v="11"/>
    <n v="11"/>
    <m/>
    <x v="1"/>
  </r>
  <r>
    <n v="189"/>
    <x v="8"/>
    <x v="3"/>
    <b v="0"/>
    <n v="7"/>
    <n v="1"/>
    <x v="0"/>
    <n v="10"/>
    <x v="2"/>
    <n v="7.5800000000000006E-2"/>
    <n v="0.46"/>
    <n v="41.79"/>
    <x v="2"/>
    <n v="0"/>
    <n v="4"/>
    <n v="4"/>
    <m/>
    <x v="1"/>
  </r>
  <r>
    <n v="190"/>
    <x v="8"/>
    <x v="4"/>
    <b v="0"/>
    <n v="7"/>
    <n v="1"/>
    <x v="0"/>
    <n v="8"/>
    <x v="2"/>
    <n v="9.0899999999999995E-2"/>
    <n v="0.53"/>
    <n v="19.400000000000002"/>
    <x v="1"/>
    <n v="0"/>
    <n v="1"/>
    <n v="1"/>
    <m/>
    <x v="1"/>
  </r>
  <r>
    <n v="191"/>
    <x v="8"/>
    <x v="5"/>
    <b v="0"/>
    <n v="7"/>
    <n v="1"/>
    <x v="0"/>
    <n v="8"/>
    <x v="2"/>
    <n v="9.0899999999999995E-2"/>
    <n v="0.53"/>
    <n v="19.400000000000002"/>
    <x v="1"/>
    <n v="0"/>
    <n v="1"/>
    <n v="1"/>
    <m/>
    <x v="1"/>
  </r>
  <r>
    <n v="192"/>
    <x v="8"/>
    <x v="6"/>
    <b v="0"/>
    <n v="7"/>
    <n v="1"/>
    <x v="0"/>
    <n v="10"/>
    <x v="2"/>
    <n v="9.0899999999999995E-2"/>
    <n v="0.49"/>
    <n v="28.360000000000003"/>
    <x v="0"/>
    <n v="0"/>
    <n v="1"/>
    <n v="1"/>
    <m/>
    <x v="1"/>
  </r>
  <r>
    <n v="193"/>
    <x v="8"/>
    <x v="7"/>
    <b v="0"/>
    <n v="7"/>
    <n v="1"/>
    <x v="0"/>
    <n v="8"/>
    <x v="2"/>
    <n v="9.0899999999999995E-2"/>
    <n v="0.53"/>
    <n v="19.400000000000002"/>
    <x v="1"/>
    <n v="1"/>
    <n v="5"/>
    <n v="6"/>
    <m/>
    <x v="1"/>
  </r>
  <r>
    <n v="194"/>
    <x v="8"/>
    <x v="8"/>
    <b v="0"/>
    <n v="7"/>
    <n v="1"/>
    <x v="0"/>
    <n v="10"/>
    <x v="2"/>
    <n v="9.0899999999999995E-2"/>
    <n v="0.49"/>
    <n v="28.360000000000003"/>
    <x v="0"/>
    <n v="0"/>
    <n v="10"/>
    <n v="10"/>
    <m/>
    <x v="1"/>
  </r>
  <r>
    <n v="195"/>
    <x v="8"/>
    <x v="9"/>
    <b v="0"/>
    <n v="7"/>
    <n v="1"/>
    <x v="0"/>
    <n v="12"/>
    <x v="0"/>
    <n v="7.5800000000000006E-2"/>
    <n v="0.46"/>
    <n v="52.239999999999995"/>
    <x v="2"/>
    <n v="0"/>
    <n v="19"/>
    <n v="19"/>
    <m/>
    <x v="1"/>
  </r>
  <r>
    <n v="196"/>
    <x v="8"/>
    <x v="10"/>
    <b v="0"/>
    <n v="7"/>
    <n v="1"/>
    <x v="0"/>
    <n v="14.000000000000002"/>
    <x v="0"/>
    <n v="0.1061"/>
    <n v="0.43"/>
    <n v="38.81"/>
    <x v="2"/>
    <n v="0"/>
    <n v="49"/>
    <n v="49"/>
    <m/>
    <x v="1"/>
  </r>
  <r>
    <n v="197"/>
    <x v="8"/>
    <x v="11"/>
    <b v="0"/>
    <n v="7"/>
    <n v="1"/>
    <x v="0"/>
    <n v="16"/>
    <x v="0"/>
    <n v="0.1212"/>
    <n v="0.4"/>
    <n v="52.239999999999995"/>
    <x v="2"/>
    <n v="2"/>
    <n v="47"/>
    <n v="49"/>
    <m/>
    <x v="1"/>
  </r>
  <r>
    <n v="198"/>
    <x v="8"/>
    <x v="12"/>
    <b v="0"/>
    <n v="7"/>
    <n v="1"/>
    <x v="0"/>
    <n v="18"/>
    <x v="0"/>
    <n v="0.13639999999999999"/>
    <n v="0.37"/>
    <n v="44.78"/>
    <x v="2"/>
    <n v="4"/>
    <n v="79"/>
    <n v="83"/>
    <m/>
    <x v="1"/>
  </r>
  <r>
    <n v="199"/>
    <x v="8"/>
    <x v="13"/>
    <b v="0"/>
    <n v="7"/>
    <n v="1"/>
    <x v="0"/>
    <n v="20"/>
    <x v="0"/>
    <n v="0.16669999999999999"/>
    <n v="0.34"/>
    <n v="44.78"/>
    <x v="2"/>
    <n v="6"/>
    <n v="69"/>
    <n v="75"/>
    <m/>
    <x v="1"/>
  </r>
  <r>
    <n v="200"/>
    <x v="8"/>
    <x v="14"/>
    <b v="0"/>
    <n v="7"/>
    <n v="1"/>
    <x v="0"/>
    <n v="22"/>
    <x v="0"/>
    <n v="0.18179999999999999"/>
    <n v="0.32"/>
    <n v="46.27"/>
    <x v="2"/>
    <n v="8"/>
    <n v="64"/>
    <n v="72"/>
    <m/>
    <x v="1"/>
  </r>
  <r>
    <n v="201"/>
    <x v="8"/>
    <x v="15"/>
    <b v="0"/>
    <n v="7"/>
    <n v="1"/>
    <x v="0"/>
    <n v="22"/>
    <x v="0"/>
    <n v="0.19700000000000001"/>
    <n v="0.35"/>
    <n v="35.82"/>
    <x v="2"/>
    <n v="5"/>
    <n v="77"/>
    <n v="82"/>
    <m/>
    <x v="1"/>
  </r>
  <r>
    <n v="202"/>
    <x v="8"/>
    <x v="16"/>
    <b v="0"/>
    <n v="7"/>
    <n v="1"/>
    <x v="0"/>
    <n v="20"/>
    <x v="0"/>
    <n v="0.16669999999999999"/>
    <n v="0.34"/>
    <n v="44.78"/>
    <x v="2"/>
    <n v="13"/>
    <n v="79"/>
    <n v="92"/>
    <m/>
    <x v="1"/>
  </r>
  <r>
    <n v="203"/>
    <x v="8"/>
    <x v="17"/>
    <b v="0"/>
    <n v="7"/>
    <n v="1"/>
    <x v="0"/>
    <n v="18"/>
    <x v="0"/>
    <n v="0.1515"/>
    <n v="0.37"/>
    <n v="38.81"/>
    <x v="2"/>
    <n v="3"/>
    <n v="59"/>
    <n v="62"/>
    <m/>
    <x v="1"/>
  </r>
  <r>
    <n v="204"/>
    <x v="8"/>
    <x v="18"/>
    <b v="0"/>
    <n v="7"/>
    <n v="1"/>
    <x v="0"/>
    <n v="16"/>
    <x v="0"/>
    <n v="0.13639999999999999"/>
    <n v="0.4"/>
    <n v="32.840000000000003"/>
    <x v="2"/>
    <n v="4"/>
    <n v="44"/>
    <n v="48"/>
    <m/>
    <x v="1"/>
  </r>
  <r>
    <n v="205"/>
    <x v="8"/>
    <x v="19"/>
    <b v="0"/>
    <n v="7"/>
    <n v="1"/>
    <x v="0"/>
    <n v="16"/>
    <x v="0"/>
    <n v="0.13639999999999999"/>
    <n v="0.43"/>
    <n v="32.840000000000003"/>
    <x v="2"/>
    <n v="1"/>
    <n v="40"/>
    <n v="41"/>
    <m/>
    <x v="1"/>
  </r>
  <r>
    <n v="206"/>
    <x v="8"/>
    <x v="20"/>
    <b v="0"/>
    <n v="7"/>
    <n v="1"/>
    <x v="0"/>
    <n v="14.000000000000002"/>
    <x v="0"/>
    <n v="0.1212"/>
    <n v="0.46"/>
    <n v="25.369999999999997"/>
    <x v="0"/>
    <n v="0"/>
    <n v="38"/>
    <n v="38"/>
    <m/>
    <x v="1"/>
  </r>
  <r>
    <n v="207"/>
    <x v="8"/>
    <x v="21"/>
    <b v="0"/>
    <n v="7"/>
    <n v="1"/>
    <x v="0"/>
    <n v="14.000000000000002"/>
    <x v="0"/>
    <n v="0.1061"/>
    <n v="0.46"/>
    <n v="41.79"/>
    <x v="2"/>
    <n v="1"/>
    <n v="19"/>
    <n v="20"/>
    <m/>
    <x v="1"/>
  </r>
  <r>
    <n v="208"/>
    <x v="8"/>
    <x v="22"/>
    <b v="0"/>
    <n v="7"/>
    <n v="1"/>
    <x v="0"/>
    <n v="14.000000000000002"/>
    <x v="0"/>
    <n v="0.1212"/>
    <n v="0.46"/>
    <n v="29.849999999999998"/>
    <x v="0"/>
    <n v="5"/>
    <n v="10"/>
    <n v="15"/>
    <m/>
    <x v="1"/>
  </r>
  <r>
    <n v="209"/>
    <x v="8"/>
    <x v="23"/>
    <b v="0"/>
    <n v="7"/>
    <n v="1"/>
    <x v="0"/>
    <n v="12"/>
    <x v="0"/>
    <n v="0.13639999999999999"/>
    <n v="0.5"/>
    <n v="19.400000000000002"/>
    <x v="1"/>
    <n v="0"/>
    <n v="6"/>
    <n v="6"/>
    <m/>
    <x v="1"/>
  </r>
  <r>
    <n v="210"/>
    <x v="9"/>
    <x v="0"/>
    <b v="0"/>
    <n v="1"/>
    <n v="1"/>
    <x v="0"/>
    <n v="12"/>
    <x v="0"/>
    <n v="0.1212"/>
    <n v="0.5"/>
    <n v="28.360000000000003"/>
    <x v="0"/>
    <n v="2"/>
    <n v="3"/>
    <n v="5"/>
    <m/>
    <x v="1"/>
  </r>
  <r>
    <n v="211"/>
    <x v="9"/>
    <x v="1"/>
    <b v="0"/>
    <n v="1"/>
    <n v="1"/>
    <x v="0"/>
    <n v="12"/>
    <x v="0"/>
    <n v="0.1212"/>
    <n v="0.5"/>
    <n v="28.360000000000003"/>
    <x v="0"/>
    <n v="1"/>
    <n v="0"/>
    <n v="1"/>
    <m/>
    <x v="1"/>
  </r>
  <r>
    <n v="212"/>
    <x v="9"/>
    <x v="2"/>
    <b v="0"/>
    <n v="1"/>
    <n v="1"/>
    <x v="0"/>
    <n v="12"/>
    <x v="0"/>
    <n v="0.1212"/>
    <n v="0.5"/>
    <n v="22.39"/>
    <x v="0"/>
    <n v="0"/>
    <n v="3"/>
    <n v="3"/>
    <m/>
    <x v="1"/>
  </r>
  <r>
    <n v="213"/>
    <x v="9"/>
    <x v="3"/>
    <b v="0"/>
    <n v="1"/>
    <n v="1"/>
    <x v="0"/>
    <n v="12"/>
    <x v="0"/>
    <n v="0.1212"/>
    <n v="0.5"/>
    <n v="22.39"/>
    <x v="0"/>
    <n v="0"/>
    <n v="1"/>
    <n v="1"/>
    <m/>
    <x v="1"/>
  </r>
  <r>
    <n v="214"/>
    <x v="9"/>
    <x v="4"/>
    <b v="0"/>
    <n v="1"/>
    <n v="1"/>
    <x v="0"/>
    <n v="10"/>
    <x v="2"/>
    <n v="0.1212"/>
    <n v="0.54"/>
    <n v="13.43"/>
    <x v="1"/>
    <n v="1"/>
    <n v="2"/>
    <n v="3"/>
    <m/>
    <x v="1"/>
  </r>
  <r>
    <n v="215"/>
    <x v="9"/>
    <x v="5"/>
    <b v="0"/>
    <n v="1"/>
    <n v="1"/>
    <x v="0"/>
    <n v="10"/>
    <x v="2"/>
    <n v="0.1061"/>
    <n v="0.54"/>
    <n v="25.369999999999997"/>
    <x v="0"/>
    <n v="0"/>
    <n v="3"/>
    <n v="3"/>
    <m/>
    <x v="1"/>
  </r>
  <r>
    <n v="216"/>
    <x v="9"/>
    <x v="6"/>
    <b v="0"/>
    <n v="1"/>
    <n v="1"/>
    <x v="0"/>
    <n v="12"/>
    <x v="0"/>
    <n v="0.1212"/>
    <n v="0.5"/>
    <n v="28.360000000000003"/>
    <x v="0"/>
    <n v="0"/>
    <n v="31"/>
    <n v="31"/>
    <m/>
    <x v="1"/>
  </r>
  <r>
    <n v="217"/>
    <x v="9"/>
    <x v="7"/>
    <b v="0"/>
    <n v="1"/>
    <n v="1"/>
    <x v="0"/>
    <n v="12"/>
    <x v="0"/>
    <n v="0.1212"/>
    <n v="0.5"/>
    <n v="22.39"/>
    <x v="0"/>
    <n v="2"/>
    <n v="75"/>
    <n v="77"/>
    <m/>
    <x v="1"/>
  </r>
  <r>
    <n v="218"/>
    <x v="9"/>
    <x v="8"/>
    <b v="0"/>
    <n v="1"/>
    <n v="2"/>
    <x v="1"/>
    <n v="12"/>
    <x v="0"/>
    <n v="0.1212"/>
    <n v="0.5"/>
    <n v="28.360000000000003"/>
    <x v="0"/>
    <n v="4"/>
    <n v="184"/>
    <n v="188"/>
    <m/>
    <x v="1"/>
  </r>
  <r>
    <n v="219"/>
    <x v="9"/>
    <x v="9"/>
    <b v="0"/>
    <n v="1"/>
    <n v="2"/>
    <x v="1"/>
    <n v="14.000000000000002"/>
    <x v="0"/>
    <n v="0.1212"/>
    <n v="0.5"/>
    <n v="25.369999999999997"/>
    <x v="0"/>
    <n v="2"/>
    <n v="92"/>
    <n v="94"/>
    <m/>
    <x v="1"/>
  </r>
  <r>
    <n v="220"/>
    <x v="9"/>
    <x v="10"/>
    <b v="0"/>
    <n v="1"/>
    <n v="2"/>
    <x v="1"/>
    <n v="14.000000000000002"/>
    <x v="0"/>
    <n v="0.1212"/>
    <n v="0.5"/>
    <n v="29.849999999999998"/>
    <x v="0"/>
    <n v="0"/>
    <n v="31"/>
    <n v="31"/>
    <m/>
    <x v="1"/>
  </r>
  <r>
    <n v="221"/>
    <x v="9"/>
    <x v="11"/>
    <b v="0"/>
    <n v="1"/>
    <n v="2"/>
    <x v="1"/>
    <n v="16"/>
    <x v="0"/>
    <n v="0.13639999999999999"/>
    <n v="0.47"/>
    <n v="28.360000000000003"/>
    <x v="0"/>
    <n v="2"/>
    <n v="28"/>
    <n v="30"/>
    <m/>
    <x v="1"/>
  </r>
  <r>
    <n v="222"/>
    <x v="9"/>
    <x v="12"/>
    <b v="0"/>
    <n v="1"/>
    <n v="2"/>
    <x v="1"/>
    <n v="20"/>
    <x v="0"/>
    <n v="0.18179999999999999"/>
    <n v="0.4"/>
    <n v="28.360000000000003"/>
    <x v="0"/>
    <n v="5"/>
    <n v="47"/>
    <n v="52"/>
    <m/>
    <x v="1"/>
  </r>
  <r>
    <n v="223"/>
    <x v="9"/>
    <x v="13"/>
    <b v="0"/>
    <n v="1"/>
    <n v="2"/>
    <x v="1"/>
    <n v="20"/>
    <x v="0"/>
    <n v="0.18179999999999999"/>
    <n v="0.4"/>
    <n v="28.360000000000003"/>
    <x v="0"/>
    <n v="4"/>
    <n v="50"/>
    <n v="54"/>
    <m/>
    <x v="1"/>
  </r>
  <r>
    <n v="224"/>
    <x v="9"/>
    <x v="14"/>
    <b v="0"/>
    <n v="1"/>
    <n v="2"/>
    <x v="1"/>
    <n v="20"/>
    <x v="0"/>
    <n v="0.19700000000000001"/>
    <n v="0.4"/>
    <n v="22.39"/>
    <x v="0"/>
    <n v="0"/>
    <n v="47"/>
    <n v="47"/>
    <m/>
    <x v="1"/>
  </r>
  <r>
    <n v="225"/>
    <x v="9"/>
    <x v="15"/>
    <b v="0"/>
    <n v="1"/>
    <n v="2"/>
    <x v="1"/>
    <n v="20"/>
    <x v="0"/>
    <n v="0.19700000000000001"/>
    <n v="0.4"/>
    <n v="22.39"/>
    <x v="0"/>
    <n v="2"/>
    <n v="43"/>
    <n v="45"/>
    <m/>
    <x v="1"/>
  </r>
  <r>
    <n v="226"/>
    <x v="9"/>
    <x v="16"/>
    <b v="0"/>
    <n v="1"/>
    <n v="1"/>
    <x v="0"/>
    <n v="20"/>
    <x v="0"/>
    <n v="0.21210000000000001"/>
    <n v="0.4"/>
    <n v="13.43"/>
    <x v="1"/>
    <n v="4"/>
    <n v="70"/>
    <n v="74"/>
    <m/>
    <x v="1"/>
  </r>
  <r>
    <n v="227"/>
    <x v="9"/>
    <x v="17"/>
    <b v="0"/>
    <n v="1"/>
    <n v="1"/>
    <x v="0"/>
    <n v="20"/>
    <x v="0"/>
    <n v="0.2273"/>
    <n v="0.4"/>
    <n v="10.45"/>
    <x v="1"/>
    <n v="4"/>
    <n v="174"/>
    <n v="178"/>
    <m/>
    <x v="1"/>
  </r>
  <r>
    <n v="228"/>
    <x v="9"/>
    <x v="18"/>
    <b v="0"/>
    <n v="1"/>
    <n v="1"/>
    <x v="0"/>
    <n v="20"/>
    <x v="0"/>
    <n v="0.19700000000000001"/>
    <n v="0.4"/>
    <n v="22.39"/>
    <x v="0"/>
    <n v="1"/>
    <n v="154"/>
    <n v="155"/>
    <m/>
    <x v="1"/>
  </r>
  <r>
    <n v="229"/>
    <x v="9"/>
    <x v="19"/>
    <b v="0"/>
    <n v="1"/>
    <n v="1"/>
    <x v="0"/>
    <n v="16"/>
    <x v="0"/>
    <n v="0.16669999999999999"/>
    <n v="0.47"/>
    <n v="16.420000000000002"/>
    <x v="1"/>
    <n v="3"/>
    <n v="92"/>
    <n v="95"/>
    <m/>
    <x v="1"/>
  </r>
  <r>
    <n v="230"/>
    <x v="9"/>
    <x v="20"/>
    <b v="0"/>
    <n v="1"/>
    <n v="1"/>
    <x v="0"/>
    <n v="16"/>
    <x v="0"/>
    <n v="0.16669999999999999"/>
    <n v="0.5"/>
    <n v="16.420000000000002"/>
    <x v="1"/>
    <n v="1"/>
    <n v="73"/>
    <n v="74"/>
    <m/>
    <x v="1"/>
  </r>
  <r>
    <n v="231"/>
    <x v="9"/>
    <x v="21"/>
    <b v="0"/>
    <n v="1"/>
    <n v="1"/>
    <x v="0"/>
    <n v="14.000000000000002"/>
    <x v="0"/>
    <n v="0.13639999999999999"/>
    <n v="0.59"/>
    <n v="19.400000000000002"/>
    <x v="1"/>
    <n v="1"/>
    <n v="37"/>
    <n v="38"/>
    <m/>
    <x v="1"/>
  </r>
  <r>
    <n v="232"/>
    <x v="9"/>
    <x v="22"/>
    <b v="0"/>
    <n v="1"/>
    <n v="1"/>
    <x v="0"/>
    <n v="14.000000000000002"/>
    <x v="0"/>
    <n v="0.1515"/>
    <n v="0.59"/>
    <n v="16.420000000000002"/>
    <x v="1"/>
    <n v="2"/>
    <n v="22"/>
    <n v="24"/>
    <m/>
    <x v="1"/>
  </r>
  <r>
    <n v="233"/>
    <x v="9"/>
    <x v="23"/>
    <b v="0"/>
    <n v="1"/>
    <n v="1"/>
    <x v="0"/>
    <n v="14.000000000000002"/>
    <x v="0"/>
    <n v="0.1515"/>
    <n v="0.59"/>
    <n v="16.420000000000002"/>
    <x v="1"/>
    <n v="0"/>
    <n v="18"/>
    <n v="18"/>
    <m/>
    <x v="1"/>
  </r>
  <r>
    <n v="234"/>
    <x v="10"/>
    <x v="0"/>
    <b v="0"/>
    <n v="2"/>
    <n v="1"/>
    <x v="0"/>
    <n v="14.000000000000002"/>
    <x v="0"/>
    <n v="0.16669999999999999"/>
    <n v="0.59"/>
    <n v="10.45"/>
    <x v="1"/>
    <n v="2"/>
    <n v="10"/>
    <n v="12"/>
    <m/>
    <x v="1"/>
  </r>
  <r>
    <n v="235"/>
    <x v="10"/>
    <x v="1"/>
    <b v="0"/>
    <n v="2"/>
    <n v="1"/>
    <x v="0"/>
    <n v="14.000000000000002"/>
    <x v="0"/>
    <n v="0.1515"/>
    <n v="0.59"/>
    <n v="16.420000000000002"/>
    <x v="1"/>
    <n v="0"/>
    <n v="3"/>
    <n v="3"/>
    <m/>
    <x v="1"/>
  </r>
  <r>
    <n v="236"/>
    <x v="10"/>
    <x v="2"/>
    <b v="0"/>
    <n v="2"/>
    <n v="2"/>
    <x v="1"/>
    <n v="16"/>
    <x v="0"/>
    <n v="0.1515"/>
    <n v="0.55000000000000004"/>
    <n v="19.400000000000002"/>
    <x v="1"/>
    <n v="0"/>
    <n v="3"/>
    <n v="3"/>
    <m/>
    <x v="1"/>
  </r>
  <r>
    <n v="237"/>
    <x v="10"/>
    <x v="5"/>
    <b v="0"/>
    <n v="2"/>
    <n v="2"/>
    <x v="1"/>
    <n v="16"/>
    <x v="0"/>
    <n v="0.18179999999999999"/>
    <n v="0.55000000000000004"/>
    <n v="13.43"/>
    <x v="1"/>
    <n v="0"/>
    <n v="6"/>
    <n v="6"/>
    <m/>
    <x v="1"/>
  </r>
  <r>
    <n v="238"/>
    <x v="10"/>
    <x v="6"/>
    <b v="0"/>
    <n v="2"/>
    <n v="2"/>
    <x v="1"/>
    <n v="16"/>
    <x v="0"/>
    <n v="0.18179999999999999"/>
    <n v="0.55000000000000004"/>
    <n v="13.43"/>
    <x v="1"/>
    <n v="0"/>
    <n v="27"/>
    <n v="27"/>
    <m/>
    <x v="1"/>
  </r>
  <r>
    <n v="239"/>
    <x v="10"/>
    <x v="7"/>
    <b v="0"/>
    <n v="2"/>
    <n v="2"/>
    <x v="1"/>
    <n v="16"/>
    <x v="0"/>
    <n v="0.2273"/>
    <n v="0.55000000000000004"/>
    <n v="20.485098360655737"/>
    <x v="0"/>
    <n v="2"/>
    <n v="97"/>
    <n v="99"/>
    <m/>
    <x v="1"/>
  </r>
  <r>
    <n v="240"/>
    <x v="10"/>
    <x v="8"/>
    <b v="0"/>
    <n v="2"/>
    <n v="2"/>
    <x v="1"/>
    <n v="18"/>
    <x v="0"/>
    <n v="0.21210000000000001"/>
    <n v="0.51"/>
    <n v="8.9599999999999991"/>
    <x v="1"/>
    <n v="3"/>
    <n v="214"/>
    <n v="217"/>
    <m/>
    <x v="1"/>
  </r>
  <r>
    <n v="241"/>
    <x v="10"/>
    <x v="9"/>
    <b v="0"/>
    <n v="2"/>
    <n v="2"/>
    <x v="1"/>
    <n v="18"/>
    <x v="0"/>
    <n v="0.19700000000000001"/>
    <n v="0.51"/>
    <n v="16.420000000000002"/>
    <x v="1"/>
    <n v="3"/>
    <n v="127"/>
    <n v="130"/>
    <m/>
    <x v="1"/>
  </r>
  <r>
    <n v="242"/>
    <x v="10"/>
    <x v="10"/>
    <b v="0"/>
    <n v="2"/>
    <n v="2"/>
    <x v="1"/>
    <n v="20"/>
    <x v="0"/>
    <n v="0.21210000000000001"/>
    <n v="0.51"/>
    <n v="16.420000000000002"/>
    <x v="1"/>
    <n v="3"/>
    <n v="51"/>
    <n v="54"/>
    <m/>
    <x v="1"/>
  </r>
  <r>
    <n v="243"/>
    <x v="10"/>
    <x v="11"/>
    <b v="0"/>
    <n v="2"/>
    <n v="2"/>
    <x v="1"/>
    <n v="20"/>
    <x v="0"/>
    <n v="0.21210000000000001"/>
    <n v="0.47"/>
    <n v="13.43"/>
    <x v="1"/>
    <n v="4"/>
    <n v="31"/>
    <n v="35"/>
    <m/>
    <x v="1"/>
  </r>
  <r>
    <n v="244"/>
    <x v="10"/>
    <x v="12"/>
    <b v="0"/>
    <n v="2"/>
    <n v="2"/>
    <x v="1"/>
    <n v="20"/>
    <x v="0"/>
    <n v="0.2273"/>
    <n v="0.51"/>
    <n v="10.45"/>
    <x v="1"/>
    <n v="2"/>
    <n v="55"/>
    <n v="57"/>
    <m/>
    <x v="1"/>
  </r>
  <r>
    <n v="245"/>
    <x v="10"/>
    <x v="13"/>
    <b v="0"/>
    <n v="2"/>
    <n v="2"/>
    <x v="1"/>
    <n v="20"/>
    <x v="0"/>
    <n v="0.2273"/>
    <n v="0.59"/>
    <n v="8.9599999999999991"/>
    <x v="1"/>
    <n v="6"/>
    <n v="46"/>
    <n v="52"/>
    <m/>
    <x v="1"/>
  </r>
  <r>
    <n v="246"/>
    <x v="10"/>
    <x v="14"/>
    <b v="0"/>
    <n v="2"/>
    <n v="2"/>
    <x v="1"/>
    <n v="20"/>
    <x v="0"/>
    <n v="0.2273"/>
    <n v="0.59"/>
    <n v="8.9599999999999991"/>
    <x v="1"/>
    <n v="3"/>
    <n v="60"/>
    <n v="63"/>
    <m/>
    <x v="1"/>
  </r>
  <r>
    <n v="247"/>
    <x v="10"/>
    <x v="15"/>
    <b v="0"/>
    <n v="2"/>
    <n v="2"/>
    <x v="1"/>
    <n v="16"/>
    <x v="0"/>
    <n v="0.19700000000000001"/>
    <n v="0.8"/>
    <n v="8.9599999999999991"/>
    <x v="1"/>
    <n v="2"/>
    <n v="45"/>
    <n v="47"/>
    <m/>
    <x v="1"/>
  </r>
  <r>
    <n v="248"/>
    <x v="10"/>
    <x v="16"/>
    <b v="0"/>
    <n v="2"/>
    <n v="2"/>
    <x v="1"/>
    <n v="16"/>
    <x v="0"/>
    <n v="0.1515"/>
    <n v="0.86"/>
    <n v="22.39"/>
    <x v="0"/>
    <n v="4"/>
    <n v="72"/>
    <n v="76"/>
    <m/>
    <x v="1"/>
  </r>
  <r>
    <n v="249"/>
    <x v="10"/>
    <x v="17"/>
    <b v="0"/>
    <n v="2"/>
    <n v="2"/>
    <x v="1"/>
    <n v="16"/>
    <x v="0"/>
    <n v="0.1515"/>
    <n v="0.86"/>
    <n v="22.39"/>
    <x v="0"/>
    <n v="6"/>
    <n v="130"/>
    <n v="136"/>
    <m/>
    <x v="1"/>
  </r>
  <r>
    <n v="250"/>
    <x v="10"/>
    <x v="18"/>
    <b v="0"/>
    <n v="2"/>
    <n v="3"/>
    <x v="2"/>
    <n v="16"/>
    <x v="0"/>
    <n v="0.18179999999999999"/>
    <n v="0.93"/>
    <n v="10.45"/>
    <x v="1"/>
    <n v="1"/>
    <n v="94"/>
    <n v="95"/>
    <m/>
    <x v="1"/>
  </r>
  <r>
    <n v="251"/>
    <x v="10"/>
    <x v="19"/>
    <b v="0"/>
    <n v="2"/>
    <n v="3"/>
    <x v="2"/>
    <n v="16"/>
    <x v="0"/>
    <n v="0.2273"/>
    <n v="0.93"/>
    <n v="20.485098360655737"/>
    <x v="0"/>
    <n v="0"/>
    <n v="51"/>
    <n v="51"/>
    <m/>
    <x v="1"/>
  </r>
  <r>
    <n v="252"/>
    <x v="10"/>
    <x v="20"/>
    <b v="0"/>
    <n v="2"/>
    <n v="3"/>
    <x v="2"/>
    <n v="16"/>
    <x v="0"/>
    <n v="0.1515"/>
    <n v="0.93"/>
    <n v="19.400000000000002"/>
    <x v="1"/>
    <n v="0"/>
    <n v="32"/>
    <n v="32"/>
    <m/>
    <x v="1"/>
  </r>
  <r>
    <n v="253"/>
    <x v="10"/>
    <x v="21"/>
    <b v="0"/>
    <n v="2"/>
    <n v="3"/>
    <x v="2"/>
    <n v="16"/>
    <x v="0"/>
    <n v="0.19700000000000001"/>
    <n v="0.86"/>
    <n v="8.9599999999999991"/>
    <x v="1"/>
    <n v="0"/>
    <n v="20"/>
    <n v="20"/>
    <m/>
    <x v="1"/>
  </r>
  <r>
    <n v="254"/>
    <x v="10"/>
    <x v="22"/>
    <b v="0"/>
    <n v="2"/>
    <n v="3"/>
    <x v="2"/>
    <n v="16"/>
    <x v="0"/>
    <n v="0.18179999999999999"/>
    <n v="0.93"/>
    <n v="10.45"/>
    <x v="1"/>
    <n v="1"/>
    <n v="28"/>
    <n v="29"/>
    <m/>
    <x v="1"/>
  </r>
  <r>
    <n v="255"/>
    <x v="10"/>
    <x v="23"/>
    <b v="0"/>
    <n v="2"/>
    <n v="3"/>
    <x v="2"/>
    <n v="16"/>
    <x v="0"/>
    <n v="0.19700000000000001"/>
    <n v="0.93"/>
    <n v="8.9599999999999991"/>
    <x v="1"/>
    <n v="1"/>
    <n v="18"/>
    <n v="19"/>
    <m/>
    <x v="1"/>
  </r>
  <r>
    <n v="256"/>
    <x v="11"/>
    <x v="0"/>
    <b v="0"/>
    <n v="3"/>
    <n v="2"/>
    <x v="1"/>
    <n v="16"/>
    <x v="0"/>
    <n v="0.19700000000000001"/>
    <n v="0.86"/>
    <n v="8.9599999999999991"/>
    <x v="1"/>
    <n v="0"/>
    <n v="7"/>
    <n v="7"/>
    <m/>
    <x v="1"/>
  </r>
  <r>
    <n v="257"/>
    <x v="11"/>
    <x v="1"/>
    <b v="0"/>
    <n v="3"/>
    <n v="2"/>
    <x v="1"/>
    <n v="16"/>
    <x v="0"/>
    <n v="0.18179999999999999"/>
    <n v="0.86"/>
    <n v="10.45"/>
    <x v="1"/>
    <n v="0"/>
    <n v="6"/>
    <n v="6"/>
    <m/>
    <x v="1"/>
  </r>
  <r>
    <n v="258"/>
    <x v="11"/>
    <x v="2"/>
    <b v="0"/>
    <n v="3"/>
    <n v="1"/>
    <x v="0"/>
    <n v="14.000000000000002"/>
    <x v="0"/>
    <n v="0.1515"/>
    <n v="0.86"/>
    <n v="13.43"/>
    <x v="1"/>
    <n v="0"/>
    <n v="1"/>
    <n v="1"/>
    <m/>
    <x v="1"/>
  </r>
  <r>
    <n v="259"/>
    <x v="11"/>
    <x v="5"/>
    <b v="0"/>
    <n v="3"/>
    <n v="1"/>
    <x v="0"/>
    <n v="14.000000000000002"/>
    <x v="0"/>
    <n v="0.1515"/>
    <n v="0.86"/>
    <n v="16.420000000000002"/>
    <x v="1"/>
    <n v="0"/>
    <n v="5"/>
    <n v="5"/>
    <m/>
    <x v="1"/>
  </r>
  <r>
    <n v="260"/>
    <x v="11"/>
    <x v="6"/>
    <b v="0"/>
    <n v="3"/>
    <n v="1"/>
    <x v="0"/>
    <n v="12"/>
    <x v="0"/>
    <n v="0.1515"/>
    <n v="0.93"/>
    <n v="13.43"/>
    <x v="1"/>
    <n v="0"/>
    <n v="16"/>
    <n v="16"/>
    <m/>
    <x v="1"/>
  </r>
  <r>
    <n v="261"/>
    <x v="11"/>
    <x v="7"/>
    <b v="0"/>
    <n v="3"/>
    <n v="1"/>
    <x v="0"/>
    <n v="14.000000000000002"/>
    <x v="0"/>
    <n v="0.1515"/>
    <n v="0.69"/>
    <n v="13.43"/>
    <x v="1"/>
    <n v="0"/>
    <n v="54"/>
    <n v="54"/>
    <m/>
    <x v="1"/>
  </r>
  <r>
    <n v="262"/>
    <x v="11"/>
    <x v="8"/>
    <b v="0"/>
    <n v="3"/>
    <n v="1"/>
    <x v="0"/>
    <n v="16"/>
    <x v="0"/>
    <n v="0.16669999999999999"/>
    <n v="0.59"/>
    <n v="16.420000000000002"/>
    <x v="1"/>
    <n v="3"/>
    <n v="125"/>
    <n v="128"/>
    <m/>
    <x v="1"/>
  </r>
  <r>
    <n v="263"/>
    <x v="11"/>
    <x v="9"/>
    <b v="0"/>
    <n v="3"/>
    <n v="1"/>
    <x v="0"/>
    <n v="16"/>
    <x v="0"/>
    <n v="0.13639999999999999"/>
    <n v="0.59"/>
    <n v="32.840000000000003"/>
    <x v="2"/>
    <n v="3"/>
    <n v="78"/>
    <n v="81"/>
    <m/>
    <x v="1"/>
  </r>
  <r>
    <n v="264"/>
    <x v="11"/>
    <x v="10"/>
    <b v="0"/>
    <n v="3"/>
    <n v="1"/>
    <x v="0"/>
    <n v="18"/>
    <x v="0"/>
    <n v="0.18179999999999999"/>
    <n v="0.55000000000000004"/>
    <n v="22.39"/>
    <x v="0"/>
    <n v="0"/>
    <n v="39"/>
    <n v="39"/>
    <m/>
    <x v="1"/>
  </r>
  <r>
    <n v="265"/>
    <x v="11"/>
    <x v="11"/>
    <b v="0"/>
    <n v="3"/>
    <n v="1"/>
    <x v="0"/>
    <n v="20"/>
    <x v="0"/>
    <n v="0.18179999999999999"/>
    <n v="0.51"/>
    <n v="38.81"/>
    <x v="2"/>
    <n v="3"/>
    <n v="32"/>
    <n v="35"/>
    <m/>
    <x v="1"/>
  </r>
  <r>
    <n v="266"/>
    <x v="11"/>
    <x v="12"/>
    <b v="0"/>
    <n v="3"/>
    <n v="1"/>
    <x v="0"/>
    <n v="20"/>
    <x v="0"/>
    <n v="0.1515"/>
    <n v="0.47"/>
    <n v="58.209999999999994"/>
    <x v="2"/>
    <n v="3"/>
    <n v="52"/>
    <n v="55"/>
    <m/>
    <x v="1"/>
  </r>
  <r>
    <n v="267"/>
    <x v="11"/>
    <x v="13"/>
    <b v="0"/>
    <n v="3"/>
    <n v="1"/>
    <x v="0"/>
    <n v="22"/>
    <x v="0"/>
    <n v="0.19700000000000001"/>
    <n v="0.44"/>
    <n v="35.82"/>
    <x v="2"/>
    <n v="0"/>
    <n v="49"/>
    <n v="49"/>
    <m/>
    <x v="1"/>
  </r>
  <r>
    <n v="268"/>
    <x v="11"/>
    <x v="14"/>
    <b v="0"/>
    <n v="3"/>
    <n v="1"/>
    <x v="0"/>
    <n v="20"/>
    <x v="0"/>
    <n v="0.18179999999999999"/>
    <n v="0.47"/>
    <n v="32.840000000000003"/>
    <x v="2"/>
    <n v="0"/>
    <n v="44"/>
    <n v="44"/>
    <m/>
    <x v="1"/>
  </r>
  <r>
    <n v="269"/>
    <x v="11"/>
    <x v="15"/>
    <b v="0"/>
    <n v="3"/>
    <n v="1"/>
    <x v="0"/>
    <n v="20"/>
    <x v="0"/>
    <n v="0.16669999999999999"/>
    <n v="0.47"/>
    <n v="41.79"/>
    <x v="2"/>
    <n v="1"/>
    <n v="48"/>
    <n v="49"/>
    <m/>
    <x v="1"/>
  </r>
  <r>
    <n v="270"/>
    <x v="11"/>
    <x v="16"/>
    <b v="0"/>
    <n v="3"/>
    <n v="1"/>
    <x v="0"/>
    <n v="22"/>
    <x v="0"/>
    <n v="0.19700000000000001"/>
    <n v="0.44"/>
    <n v="32.840000000000003"/>
    <x v="2"/>
    <n v="5"/>
    <n v="63"/>
    <n v="68"/>
    <m/>
    <x v="1"/>
  </r>
  <r>
    <n v="271"/>
    <x v="11"/>
    <x v="17"/>
    <b v="0"/>
    <n v="3"/>
    <n v="1"/>
    <x v="0"/>
    <n v="20"/>
    <x v="0"/>
    <n v="0.18179999999999999"/>
    <n v="0.47"/>
    <n v="35.82"/>
    <x v="2"/>
    <n v="0"/>
    <n v="139"/>
    <n v="139"/>
    <m/>
    <x v="1"/>
  </r>
  <r>
    <n v="272"/>
    <x v="11"/>
    <x v="18"/>
    <b v="0"/>
    <n v="3"/>
    <n v="1"/>
    <x v="0"/>
    <n v="20"/>
    <x v="0"/>
    <n v="0.1515"/>
    <n v="0.47"/>
    <n v="52.239999999999995"/>
    <x v="2"/>
    <n v="2"/>
    <n v="135"/>
    <n v="137"/>
    <m/>
    <x v="1"/>
  </r>
  <r>
    <n v="273"/>
    <x v="11"/>
    <x v="19"/>
    <b v="0"/>
    <n v="3"/>
    <n v="1"/>
    <x v="0"/>
    <n v="18"/>
    <x v="0"/>
    <n v="0.1515"/>
    <n v="0.47"/>
    <n v="41.79"/>
    <x v="2"/>
    <n v="1"/>
    <n v="82"/>
    <n v="83"/>
    <m/>
    <x v="1"/>
  </r>
  <r>
    <n v="274"/>
    <x v="11"/>
    <x v="20"/>
    <b v="0"/>
    <n v="3"/>
    <n v="1"/>
    <x v="0"/>
    <n v="16"/>
    <x v="0"/>
    <n v="0.13639999999999999"/>
    <n v="0.5"/>
    <n v="32.840000000000003"/>
    <x v="2"/>
    <n v="2"/>
    <n v="54"/>
    <n v="56"/>
    <m/>
    <x v="1"/>
  </r>
  <r>
    <n v="275"/>
    <x v="11"/>
    <x v="21"/>
    <b v="0"/>
    <n v="3"/>
    <n v="1"/>
    <x v="0"/>
    <n v="16"/>
    <x v="0"/>
    <n v="0.13639999999999999"/>
    <n v="0.55000000000000004"/>
    <n v="32.840000000000003"/>
    <x v="2"/>
    <n v="0"/>
    <n v="57"/>
    <n v="57"/>
    <m/>
    <x v="1"/>
  </r>
  <r>
    <n v="276"/>
    <x v="11"/>
    <x v="22"/>
    <b v="0"/>
    <n v="3"/>
    <n v="1"/>
    <x v="0"/>
    <n v="16"/>
    <x v="0"/>
    <n v="0.1212"/>
    <n v="0.55000000000000004"/>
    <n v="44.78"/>
    <x v="2"/>
    <n v="1"/>
    <n v="32"/>
    <n v="33"/>
    <m/>
    <x v="1"/>
  </r>
  <r>
    <n v="277"/>
    <x v="11"/>
    <x v="23"/>
    <b v="0"/>
    <n v="3"/>
    <n v="1"/>
    <x v="0"/>
    <n v="14.000000000000002"/>
    <x v="0"/>
    <n v="0.1061"/>
    <n v="0.59"/>
    <n v="41.79"/>
    <x v="2"/>
    <n v="1"/>
    <n v="19"/>
    <n v="20"/>
    <m/>
    <x v="1"/>
  </r>
  <r>
    <n v="278"/>
    <x v="12"/>
    <x v="0"/>
    <b v="0"/>
    <n v="4"/>
    <n v="1"/>
    <x v="0"/>
    <n v="14.000000000000002"/>
    <x v="0"/>
    <n v="0.1212"/>
    <n v="0.59"/>
    <n v="28.360000000000003"/>
    <x v="0"/>
    <n v="1"/>
    <n v="6"/>
    <n v="7"/>
    <m/>
    <x v="1"/>
  </r>
  <r>
    <n v="279"/>
    <x v="12"/>
    <x v="1"/>
    <b v="0"/>
    <n v="4"/>
    <n v="1"/>
    <x v="0"/>
    <n v="14.000000000000002"/>
    <x v="0"/>
    <n v="0.1212"/>
    <n v="0.5"/>
    <n v="28.360000000000003"/>
    <x v="0"/>
    <n v="0"/>
    <n v="2"/>
    <n v="2"/>
    <m/>
    <x v="1"/>
  </r>
  <r>
    <n v="280"/>
    <x v="12"/>
    <x v="2"/>
    <b v="0"/>
    <n v="4"/>
    <n v="1"/>
    <x v="0"/>
    <n v="14.000000000000002"/>
    <x v="0"/>
    <n v="0.1212"/>
    <n v="0.5"/>
    <n v="35.82"/>
    <x v="2"/>
    <n v="0"/>
    <n v="2"/>
    <n v="2"/>
    <m/>
    <x v="1"/>
  </r>
  <r>
    <n v="281"/>
    <x v="12"/>
    <x v="3"/>
    <b v="0"/>
    <n v="4"/>
    <n v="1"/>
    <x v="0"/>
    <n v="14.000000000000002"/>
    <x v="0"/>
    <n v="0.1212"/>
    <n v="0.5"/>
    <n v="32.840000000000003"/>
    <x v="2"/>
    <n v="0"/>
    <n v="3"/>
    <n v="3"/>
    <m/>
    <x v="1"/>
  </r>
  <r>
    <n v="282"/>
    <x v="12"/>
    <x v="4"/>
    <b v="0"/>
    <n v="4"/>
    <n v="1"/>
    <x v="0"/>
    <n v="14.000000000000002"/>
    <x v="0"/>
    <n v="0.1212"/>
    <n v="0.5"/>
    <n v="25.369999999999997"/>
    <x v="0"/>
    <n v="0"/>
    <n v="4"/>
    <n v="4"/>
    <m/>
    <x v="1"/>
  </r>
  <r>
    <n v="283"/>
    <x v="12"/>
    <x v="5"/>
    <b v="0"/>
    <n v="4"/>
    <n v="1"/>
    <x v="0"/>
    <n v="14.000000000000002"/>
    <x v="0"/>
    <n v="0.1212"/>
    <n v="0.5"/>
    <n v="29.849999999999998"/>
    <x v="0"/>
    <n v="0"/>
    <n v="3"/>
    <n v="3"/>
    <m/>
    <x v="1"/>
  </r>
  <r>
    <n v="284"/>
    <x v="12"/>
    <x v="6"/>
    <b v="0"/>
    <n v="4"/>
    <n v="1"/>
    <x v="0"/>
    <n v="12"/>
    <x v="0"/>
    <n v="0.1515"/>
    <n v="0.54"/>
    <n v="13.43"/>
    <x v="1"/>
    <n v="0"/>
    <n v="28"/>
    <n v="28"/>
    <m/>
    <x v="1"/>
  </r>
  <r>
    <n v="285"/>
    <x v="12"/>
    <x v="7"/>
    <b v="0"/>
    <n v="4"/>
    <n v="1"/>
    <x v="0"/>
    <n v="12"/>
    <x v="0"/>
    <n v="0.1515"/>
    <n v="0.54"/>
    <n v="13.43"/>
    <x v="1"/>
    <n v="0"/>
    <n v="72"/>
    <n v="72"/>
    <m/>
    <x v="1"/>
  </r>
  <r>
    <n v="286"/>
    <x v="12"/>
    <x v="8"/>
    <b v="0"/>
    <n v="4"/>
    <n v="1"/>
    <x v="0"/>
    <n v="14.000000000000002"/>
    <x v="0"/>
    <n v="0.13639999999999999"/>
    <n v="0.5"/>
    <n v="19.400000000000002"/>
    <x v="1"/>
    <n v="5"/>
    <n v="197"/>
    <n v="202"/>
    <m/>
    <x v="1"/>
  </r>
  <r>
    <n v="287"/>
    <x v="12"/>
    <x v="9"/>
    <b v="0"/>
    <n v="4"/>
    <n v="1"/>
    <x v="0"/>
    <n v="14.000000000000002"/>
    <x v="0"/>
    <n v="0.1212"/>
    <n v="0.5"/>
    <n v="32.840000000000003"/>
    <x v="2"/>
    <n v="2"/>
    <n v="137"/>
    <n v="139"/>
    <m/>
    <x v="1"/>
  </r>
  <r>
    <n v="288"/>
    <x v="12"/>
    <x v="10"/>
    <b v="0"/>
    <n v="4"/>
    <n v="2"/>
    <x v="1"/>
    <n v="16"/>
    <x v="0"/>
    <n v="0.13639999999999999"/>
    <n v="0.5"/>
    <n v="35.82"/>
    <x v="2"/>
    <n v="2"/>
    <n v="36"/>
    <n v="38"/>
    <m/>
    <x v="1"/>
  </r>
  <r>
    <n v="289"/>
    <x v="12"/>
    <x v="11"/>
    <b v="0"/>
    <n v="4"/>
    <n v="2"/>
    <x v="1"/>
    <n v="20"/>
    <x v="0"/>
    <n v="0.16669999999999999"/>
    <n v="0.44"/>
    <n v="44.78"/>
    <x v="2"/>
    <n v="4"/>
    <n v="33"/>
    <n v="37"/>
    <m/>
    <x v="1"/>
  </r>
  <r>
    <n v="290"/>
    <x v="12"/>
    <x v="12"/>
    <b v="0"/>
    <n v="4"/>
    <n v="1"/>
    <x v="0"/>
    <n v="20"/>
    <x v="0"/>
    <n v="0.16669999999999999"/>
    <n v="0.44"/>
    <n v="41.79"/>
    <x v="2"/>
    <n v="3"/>
    <n v="49"/>
    <n v="52"/>
    <m/>
    <x v="1"/>
  </r>
  <r>
    <n v="291"/>
    <x v="12"/>
    <x v="13"/>
    <b v="0"/>
    <n v="4"/>
    <n v="1"/>
    <x v="0"/>
    <n v="22"/>
    <x v="0"/>
    <n v="0.19700000000000001"/>
    <n v="0.41"/>
    <n v="44.78"/>
    <x v="2"/>
    <n v="2"/>
    <n v="81"/>
    <n v="83"/>
    <m/>
    <x v="1"/>
  </r>
  <r>
    <n v="292"/>
    <x v="12"/>
    <x v="14"/>
    <b v="0"/>
    <n v="4"/>
    <n v="1"/>
    <x v="0"/>
    <n v="22"/>
    <x v="0"/>
    <n v="0.19700000000000001"/>
    <n v="0.41"/>
    <n v="38.81"/>
    <x v="2"/>
    <n v="3"/>
    <n v="39"/>
    <n v="42"/>
    <m/>
    <x v="1"/>
  </r>
  <r>
    <n v="293"/>
    <x v="12"/>
    <x v="15"/>
    <b v="0"/>
    <n v="4"/>
    <n v="1"/>
    <x v="0"/>
    <n v="24"/>
    <x v="0"/>
    <n v="0.21210000000000001"/>
    <n v="0.38"/>
    <n v="29.849999999999998"/>
    <x v="0"/>
    <n v="5"/>
    <n v="55"/>
    <n v="60"/>
    <m/>
    <x v="1"/>
  </r>
  <r>
    <n v="294"/>
    <x v="12"/>
    <x v="16"/>
    <b v="0"/>
    <n v="4"/>
    <n v="1"/>
    <x v="0"/>
    <n v="24"/>
    <x v="0"/>
    <n v="0.21210000000000001"/>
    <n v="0.38"/>
    <n v="35.82"/>
    <x v="2"/>
    <n v="2"/>
    <n v="76"/>
    <n v="78"/>
    <m/>
    <x v="1"/>
  </r>
  <r>
    <n v="295"/>
    <x v="12"/>
    <x v="17"/>
    <b v="0"/>
    <n v="4"/>
    <n v="1"/>
    <x v="0"/>
    <n v="20"/>
    <x v="0"/>
    <n v="0.18179999999999999"/>
    <n v="0.4"/>
    <n v="28.360000000000003"/>
    <x v="0"/>
    <n v="4"/>
    <n v="158"/>
    <n v="162"/>
    <m/>
    <x v="1"/>
  </r>
  <r>
    <n v="296"/>
    <x v="12"/>
    <x v="18"/>
    <b v="0"/>
    <n v="4"/>
    <n v="1"/>
    <x v="0"/>
    <n v="20"/>
    <x v="0"/>
    <n v="0.18179999999999999"/>
    <n v="0.4"/>
    <n v="32.840000000000003"/>
    <x v="2"/>
    <n v="3"/>
    <n v="141"/>
    <n v="144"/>
    <m/>
    <x v="1"/>
  </r>
  <r>
    <n v="297"/>
    <x v="12"/>
    <x v="19"/>
    <b v="0"/>
    <n v="4"/>
    <n v="1"/>
    <x v="0"/>
    <n v="16"/>
    <x v="0"/>
    <n v="0.1515"/>
    <n v="0.47"/>
    <n v="25.369999999999997"/>
    <x v="0"/>
    <n v="1"/>
    <n v="98"/>
    <n v="99"/>
    <m/>
    <x v="1"/>
  </r>
  <r>
    <n v="298"/>
    <x v="12"/>
    <x v="20"/>
    <b v="0"/>
    <n v="4"/>
    <n v="1"/>
    <x v="0"/>
    <n v="16"/>
    <x v="0"/>
    <n v="0.1515"/>
    <n v="0.47"/>
    <n v="22.39"/>
    <x v="0"/>
    <n v="0"/>
    <n v="64"/>
    <n v="64"/>
    <m/>
    <x v="1"/>
  </r>
  <r>
    <n v="299"/>
    <x v="12"/>
    <x v="21"/>
    <b v="0"/>
    <n v="4"/>
    <n v="1"/>
    <x v="0"/>
    <n v="14.000000000000002"/>
    <x v="0"/>
    <n v="0.1212"/>
    <n v="0.46"/>
    <n v="29.849999999999998"/>
    <x v="0"/>
    <n v="0"/>
    <n v="40"/>
    <n v="40"/>
    <m/>
    <x v="1"/>
  </r>
  <r>
    <n v="300"/>
    <x v="12"/>
    <x v="22"/>
    <b v="0"/>
    <n v="4"/>
    <n v="1"/>
    <x v="0"/>
    <n v="14.000000000000002"/>
    <x v="0"/>
    <n v="0.1212"/>
    <n v="0.46"/>
    <n v="32.840000000000003"/>
    <x v="2"/>
    <n v="0"/>
    <n v="30"/>
    <n v="30"/>
    <m/>
    <x v="1"/>
  </r>
  <r>
    <n v="301"/>
    <x v="12"/>
    <x v="23"/>
    <b v="0"/>
    <n v="4"/>
    <n v="1"/>
    <x v="0"/>
    <n v="12"/>
    <x v="0"/>
    <n v="0.13639999999999999"/>
    <n v="0.5"/>
    <n v="19.400000000000002"/>
    <x v="1"/>
    <n v="1"/>
    <n v="14"/>
    <n v="15"/>
    <m/>
    <x v="1"/>
  </r>
  <r>
    <n v="302"/>
    <x v="13"/>
    <x v="0"/>
    <b v="0"/>
    <n v="5"/>
    <n v="1"/>
    <x v="0"/>
    <n v="12"/>
    <x v="0"/>
    <n v="0.13639999999999999"/>
    <n v="0.5"/>
    <n v="19.400000000000002"/>
    <x v="1"/>
    <n v="0"/>
    <n v="14"/>
    <n v="14"/>
    <m/>
    <x v="1"/>
  </r>
  <r>
    <n v="303"/>
    <x v="13"/>
    <x v="1"/>
    <b v="0"/>
    <n v="5"/>
    <n v="1"/>
    <x v="0"/>
    <n v="10"/>
    <x v="2"/>
    <n v="0.1212"/>
    <n v="0.54"/>
    <n v="16.420000000000002"/>
    <x v="1"/>
    <n v="0"/>
    <n v="5"/>
    <n v="5"/>
    <m/>
    <x v="1"/>
  </r>
  <r>
    <n v="304"/>
    <x v="13"/>
    <x v="2"/>
    <b v="0"/>
    <n v="5"/>
    <n v="1"/>
    <x v="0"/>
    <n v="10"/>
    <x v="2"/>
    <n v="0.1212"/>
    <n v="0.54"/>
    <n v="13.43"/>
    <x v="1"/>
    <n v="0"/>
    <n v="1"/>
    <n v="1"/>
    <m/>
    <x v="1"/>
  </r>
  <r>
    <n v="305"/>
    <x v="13"/>
    <x v="3"/>
    <b v="0"/>
    <n v="5"/>
    <n v="1"/>
    <x v="0"/>
    <n v="10"/>
    <x v="2"/>
    <n v="0.13639999999999999"/>
    <n v="0.54"/>
    <n v="10.45"/>
    <x v="1"/>
    <n v="0"/>
    <n v="1"/>
    <n v="1"/>
    <m/>
    <x v="1"/>
  </r>
  <r>
    <n v="306"/>
    <x v="13"/>
    <x v="5"/>
    <b v="0"/>
    <n v="5"/>
    <n v="1"/>
    <x v="0"/>
    <n v="10"/>
    <x v="2"/>
    <n v="0.13639999999999999"/>
    <n v="0.54"/>
    <n v="8.9599999999999991"/>
    <x v="1"/>
    <n v="0"/>
    <n v="8"/>
    <n v="8"/>
    <m/>
    <x v="1"/>
  </r>
  <r>
    <n v="307"/>
    <x v="13"/>
    <x v="6"/>
    <b v="0"/>
    <n v="5"/>
    <n v="1"/>
    <x v="0"/>
    <n v="10"/>
    <x v="2"/>
    <n v="0.18179999999999999"/>
    <n v="0.54"/>
    <n v="20.485098360655737"/>
    <x v="0"/>
    <n v="0"/>
    <n v="17"/>
    <n v="17"/>
    <m/>
    <x v="1"/>
  </r>
  <r>
    <n v="308"/>
    <x v="13"/>
    <x v="7"/>
    <b v="0"/>
    <n v="5"/>
    <n v="1"/>
    <x v="0"/>
    <n v="10"/>
    <x v="2"/>
    <n v="0.1212"/>
    <n v="0.74"/>
    <n v="16.420000000000002"/>
    <x v="1"/>
    <n v="0"/>
    <n v="70"/>
    <n v="70"/>
    <m/>
    <x v="1"/>
  </r>
  <r>
    <n v="309"/>
    <x v="13"/>
    <x v="8"/>
    <b v="0"/>
    <n v="5"/>
    <n v="1"/>
    <x v="0"/>
    <n v="12"/>
    <x v="0"/>
    <n v="0.16669999999999999"/>
    <n v="0.68"/>
    <n v="20.485098360655737"/>
    <x v="0"/>
    <n v="2"/>
    <n v="156"/>
    <n v="158"/>
    <m/>
    <x v="1"/>
  </r>
  <r>
    <n v="310"/>
    <x v="13"/>
    <x v="9"/>
    <b v="0"/>
    <n v="5"/>
    <n v="1"/>
    <x v="0"/>
    <n v="14.000000000000002"/>
    <x v="0"/>
    <n v="0.1515"/>
    <n v="0.69"/>
    <n v="13.43"/>
    <x v="1"/>
    <n v="0"/>
    <n v="117"/>
    <n v="117"/>
    <m/>
    <x v="1"/>
  </r>
  <r>
    <n v="311"/>
    <x v="13"/>
    <x v="10"/>
    <b v="0"/>
    <n v="5"/>
    <n v="1"/>
    <x v="0"/>
    <n v="18"/>
    <x v="0"/>
    <n v="0.18179999999999999"/>
    <n v="0.55000000000000004"/>
    <n v="19.400000000000002"/>
    <x v="1"/>
    <n v="4"/>
    <n v="40"/>
    <n v="44"/>
    <m/>
    <x v="1"/>
  </r>
  <r>
    <n v="312"/>
    <x v="13"/>
    <x v="11"/>
    <b v="0"/>
    <n v="5"/>
    <n v="1"/>
    <x v="0"/>
    <n v="18"/>
    <x v="0"/>
    <n v="0.16669999999999999"/>
    <n v="0.51"/>
    <n v="28.360000000000003"/>
    <x v="0"/>
    <n v="6"/>
    <n v="47"/>
    <n v="53"/>
    <m/>
    <x v="1"/>
  </r>
  <r>
    <n v="313"/>
    <x v="13"/>
    <x v="12"/>
    <b v="0"/>
    <n v="5"/>
    <n v="1"/>
    <x v="0"/>
    <n v="20"/>
    <x v="0"/>
    <n v="0.19700000000000001"/>
    <n v="0.44"/>
    <n v="25.369999999999997"/>
    <x v="0"/>
    <n v="2"/>
    <n v="59"/>
    <n v="61"/>
    <m/>
    <x v="1"/>
  </r>
  <r>
    <n v="314"/>
    <x v="13"/>
    <x v="13"/>
    <b v="0"/>
    <n v="5"/>
    <n v="1"/>
    <x v="0"/>
    <n v="22"/>
    <x v="0"/>
    <n v="0.19700000000000001"/>
    <n v="0.37"/>
    <n v="38.81"/>
    <x v="2"/>
    <n v="4"/>
    <n v="73"/>
    <n v="77"/>
    <m/>
    <x v="1"/>
  </r>
  <r>
    <n v="315"/>
    <x v="13"/>
    <x v="14"/>
    <b v="0"/>
    <n v="5"/>
    <n v="1"/>
    <x v="0"/>
    <n v="22"/>
    <x v="0"/>
    <n v="0.21210000000000001"/>
    <n v="0.41"/>
    <n v="28.360000000000003"/>
    <x v="0"/>
    <n v="5"/>
    <n v="59"/>
    <n v="64"/>
    <m/>
    <x v="1"/>
  </r>
  <r>
    <n v="316"/>
    <x v="13"/>
    <x v="15"/>
    <b v="0"/>
    <n v="5"/>
    <n v="1"/>
    <x v="0"/>
    <n v="24"/>
    <x v="0"/>
    <n v="0.2424"/>
    <n v="0.38"/>
    <n v="16.420000000000002"/>
    <x v="1"/>
    <n v="9"/>
    <n v="59"/>
    <n v="68"/>
    <m/>
    <x v="1"/>
  </r>
  <r>
    <n v="317"/>
    <x v="13"/>
    <x v="16"/>
    <b v="0"/>
    <n v="5"/>
    <n v="1"/>
    <x v="0"/>
    <n v="22"/>
    <x v="0"/>
    <n v="0.2424"/>
    <n v="0.41"/>
    <n v="10.45"/>
    <x v="1"/>
    <n v="3"/>
    <n v="87"/>
    <n v="90"/>
    <m/>
    <x v="1"/>
  </r>
  <r>
    <n v="318"/>
    <x v="13"/>
    <x v="17"/>
    <b v="0"/>
    <n v="5"/>
    <n v="1"/>
    <x v="0"/>
    <n v="22"/>
    <x v="0"/>
    <n v="0.2273"/>
    <n v="0.41"/>
    <n v="16.420000000000002"/>
    <x v="1"/>
    <n v="4"/>
    <n v="155"/>
    <n v="159"/>
    <m/>
    <x v="1"/>
  </r>
  <r>
    <n v="319"/>
    <x v="13"/>
    <x v="18"/>
    <b v="0"/>
    <n v="5"/>
    <n v="1"/>
    <x v="0"/>
    <n v="20"/>
    <x v="0"/>
    <n v="0.2576"/>
    <n v="0.47"/>
    <n v="20.485098360655737"/>
    <x v="0"/>
    <n v="5"/>
    <n v="134"/>
    <n v="139"/>
    <m/>
    <x v="1"/>
  </r>
  <r>
    <n v="320"/>
    <x v="13"/>
    <x v="19"/>
    <b v="0"/>
    <n v="5"/>
    <n v="1"/>
    <x v="0"/>
    <n v="16"/>
    <x v="0"/>
    <n v="0.19700000000000001"/>
    <n v="0.59"/>
    <n v="8.9599999999999991"/>
    <x v="1"/>
    <n v="3"/>
    <n v="89"/>
    <n v="92"/>
    <m/>
    <x v="1"/>
  </r>
  <r>
    <n v="321"/>
    <x v="13"/>
    <x v="20"/>
    <b v="0"/>
    <n v="5"/>
    <n v="1"/>
    <x v="0"/>
    <n v="18"/>
    <x v="0"/>
    <n v="0.2424"/>
    <n v="0.59"/>
    <n v="20.485098360655737"/>
    <x v="0"/>
    <n v="0"/>
    <n v="68"/>
    <n v="68"/>
    <m/>
    <x v="1"/>
  </r>
  <r>
    <n v="322"/>
    <x v="13"/>
    <x v="21"/>
    <b v="0"/>
    <n v="5"/>
    <n v="1"/>
    <x v="0"/>
    <n v="16"/>
    <x v="0"/>
    <n v="0.2273"/>
    <n v="0.69"/>
    <n v="20.485098360655737"/>
    <x v="0"/>
    <n v="4"/>
    <n v="48"/>
    <n v="52"/>
    <m/>
    <x v="1"/>
  </r>
  <r>
    <n v="323"/>
    <x v="13"/>
    <x v="22"/>
    <b v="0"/>
    <n v="5"/>
    <n v="2"/>
    <x v="1"/>
    <n v="16"/>
    <x v="0"/>
    <n v="0.2273"/>
    <n v="0.69"/>
    <n v="20.485098360655737"/>
    <x v="0"/>
    <n v="2"/>
    <n v="34"/>
    <n v="36"/>
    <m/>
    <x v="1"/>
  </r>
  <r>
    <n v="324"/>
    <x v="13"/>
    <x v="23"/>
    <b v="0"/>
    <n v="5"/>
    <n v="2"/>
    <x v="1"/>
    <n v="18"/>
    <x v="0"/>
    <n v="0.2424"/>
    <n v="0.55000000000000004"/>
    <n v="20.485098360655737"/>
    <x v="0"/>
    <n v="1"/>
    <n v="26"/>
    <n v="27"/>
    <m/>
    <x v="1"/>
  </r>
  <r>
    <n v="325"/>
    <x v="14"/>
    <x v="0"/>
    <b v="0"/>
    <n v="6"/>
    <n v="1"/>
    <x v="0"/>
    <n v="18"/>
    <x v="0"/>
    <n v="0.2424"/>
    <n v="0.55000000000000004"/>
    <n v="20.485098360655737"/>
    <x v="0"/>
    <n v="3"/>
    <n v="25"/>
    <n v="28"/>
    <m/>
    <x v="2"/>
  </r>
  <r>
    <n v="326"/>
    <x v="14"/>
    <x v="1"/>
    <b v="0"/>
    <n v="6"/>
    <n v="2"/>
    <x v="1"/>
    <n v="16"/>
    <x v="0"/>
    <n v="0.19700000000000001"/>
    <n v="0.59"/>
    <n v="8.9599999999999991"/>
    <x v="1"/>
    <n v="2"/>
    <n v="18"/>
    <n v="20"/>
    <m/>
    <x v="2"/>
  </r>
  <r>
    <n v="327"/>
    <x v="14"/>
    <x v="2"/>
    <b v="0"/>
    <n v="6"/>
    <n v="2"/>
    <x v="1"/>
    <n v="16"/>
    <x v="0"/>
    <n v="0.19700000000000001"/>
    <n v="0.59"/>
    <n v="8.9599999999999991"/>
    <x v="1"/>
    <n v="0"/>
    <n v="12"/>
    <n v="12"/>
    <m/>
    <x v="2"/>
  </r>
  <r>
    <n v="328"/>
    <x v="14"/>
    <x v="3"/>
    <b v="0"/>
    <n v="6"/>
    <n v="2"/>
    <x v="1"/>
    <n v="16"/>
    <x v="0"/>
    <n v="0.2273"/>
    <n v="0.59"/>
    <n v="20.485098360655737"/>
    <x v="0"/>
    <n v="1"/>
    <n v="7"/>
    <n v="8"/>
    <m/>
    <x v="2"/>
  </r>
  <r>
    <n v="329"/>
    <x v="14"/>
    <x v="4"/>
    <b v="0"/>
    <n v="6"/>
    <n v="2"/>
    <x v="1"/>
    <n v="16"/>
    <x v="0"/>
    <n v="0.2273"/>
    <n v="0.59"/>
    <n v="20.485098360655737"/>
    <x v="0"/>
    <n v="0"/>
    <n v="5"/>
    <n v="5"/>
    <m/>
    <x v="2"/>
  </r>
  <r>
    <n v="330"/>
    <x v="14"/>
    <x v="5"/>
    <b v="0"/>
    <n v="6"/>
    <n v="1"/>
    <x v="0"/>
    <n v="16"/>
    <x v="0"/>
    <n v="0.2273"/>
    <n v="0.59"/>
    <n v="20.485098360655737"/>
    <x v="0"/>
    <n v="0"/>
    <n v="1"/>
    <n v="1"/>
    <m/>
    <x v="2"/>
  </r>
  <r>
    <n v="331"/>
    <x v="14"/>
    <x v="6"/>
    <b v="0"/>
    <n v="6"/>
    <n v="1"/>
    <x v="0"/>
    <n v="14.000000000000002"/>
    <x v="0"/>
    <n v="0.16669999999999999"/>
    <n v="0.63"/>
    <n v="10.45"/>
    <x v="1"/>
    <n v="1"/>
    <n v="2"/>
    <n v="3"/>
    <m/>
    <x v="2"/>
  </r>
  <r>
    <n v="332"/>
    <x v="14"/>
    <x v="7"/>
    <b v="0"/>
    <n v="6"/>
    <n v="1"/>
    <x v="0"/>
    <n v="14.000000000000002"/>
    <x v="0"/>
    <n v="0.21210000000000001"/>
    <n v="0.63"/>
    <n v="20.485098360655737"/>
    <x v="0"/>
    <n v="1"/>
    <n v="9"/>
    <n v="10"/>
    <m/>
    <x v="2"/>
  </r>
  <r>
    <n v="333"/>
    <x v="14"/>
    <x v="8"/>
    <b v="0"/>
    <n v="6"/>
    <n v="1"/>
    <x v="0"/>
    <n v="14.000000000000002"/>
    <x v="0"/>
    <n v="0.1515"/>
    <n v="0.63"/>
    <n v="13.43"/>
    <x v="1"/>
    <n v="1"/>
    <n v="22"/>
    <n v="23"/>
    <m/>
    <x v="2"/>
  </r>
  <r>
    <n v="334"/>
    <x v="14"/>
    <x v="9"/>
    <b v="0"/>
    <n v="6"/>
    <n v="1"/>
    <x v="0"/>
    <n v="16"/>
    <x v="0"/>
    <n v="0.18179999999999999"/>
    <n v="0.64"/>
    <n v="13.43"/>
    <x v="1"/>
    <n v="2"/>
    <n v="31"/>
    <n v="33"/>
    <m/>
    <x v="2"/>
  </r>
  <r>
    <n v="335"/>
    <x v="14"/>
    <x v="10"/>
    <b v="0"/>
    <n v="6"/>
    <n v="1"/>
    <x v="0"/>
    <n v="18"/>
    <x v="0"/>
    <n v="0.19700000000000001"/>
    <n v="0.59"/>
    <n v="16.420000000000002"/>
    <x v="1"/>
    <n v="2"/>
    <n v="57"/>
    <n v="59"/>
    <m/>
    <x v="2"/>
  </r>
  <r>
    <n v="336"/>
    <x v="14"/>
    <x v="11"/>
    <b v="0"/>
    <n v="6"/>
    <n v="1"/>
    <x v="0"/>
    <n v="20"/>
    <x v="0"/>
    <n v="0.19700000000000001"/>
    <n v="0.55000000000000004"/>
    <n v="22.39"/>
    <x v="0"/>
    <n v="18"/>
    <n v="54"/>
    <n v="72"/>
    <m/>
    <x v="2"/>
  </r>
  <r>
    <n v="337"/>
    <x v="14"/>
    <x v="12"/>
    <b v="0"/>
    <n v="6"/>
    <n v="1"/>
    <x v="0"/>
    <n v="24"/>
    <x v="0"/>
    <n v="0.2273"/>
    <n v="0.48"/>
    <n v="22.39"/>
    <x v="0"/>
    <n v="15"/>
    <n v="74"/>
    <n v="89"/>
    <m/>
    <x v="2"/>
  </r>
  <r>
    <n v="338"/>
    <x v="14"/>
    <x v="13"/>
    <b v="0"/>
    <n v="6"/>
    <n v="1"/>
    <x v="0"/>
    <n v="28.000000000000004"/>
    <x v="1"/>
    <n v="0.2576"/>
    <n v="0.38"/>
    <n v="29.849999999999998"/>
    <x v="0"/>
    <n v="21"/>
    <n v="80"/>
    <n v="101"/>
    <m/>
    <x v="2"/>
  </r>
  <r>
    <n v="339"/>
    <x v="14"/>
    <x v="14"/>
    <b v="0"/>
    <n v="6"/>
    <n v="1"/>
    <x v="0"/>
    <n v="30"/>
    <x v="1"/>
    <n v="0.28789999999999999"/>
    <n v="0.39"/>
    <n v="28.360000000000003"/>
    <x v="0"/>
    <n v="26"/>
    <n v="92"/>
    <n v="118"/>
    <m/>
    <x v="2"/>
  </r>
  <r>
    <n v="340"/>
    <x v="14"/>
    <x v="15"/>
    <b v="0"/>
    <n v="6"/>
    <n v="2"/>
    <x v="1"/>
    <n v="32"/>
    <x v="1"/>
    <n v="0.31819999999999998"/>
    <n v="0.36"/>
    <n v="19.400000000000002"/>
    <x v="1"/>
    <n v="21"/>
    <n v="108"/>
    <n v="129"/>
    <m/>
    <x v="2"/>
  </r>
  <r>
    <n v="341"/>
    <x v="14"/>
    <x v="16"/>
    <b v="0"/>
    <n v="6"/>
    <n v="2"/>
    <x v="1"/>
    <n v="34"/>
    <x v="1"/>
    <n v="0.33329999999999999"/>
    <n v="0.34"/>
    <n v="19.400000000000002"/>
    <x v="1"/>
    <n v="33"/>
    <n v="95"/>
    <n v="128"/>
    <m/>
    <x v="2"/>
  </r>
  <r>
    <n v="342"/>
    <x v="14"/>
    <x v="17"/>
    <b v="0"/>
    <n v="6"/>
    <n v="2"/>
    <x v="1"/>
    <n v="32"/>
    <x v="1"/>
    <n v="0.30299999999999999"/>
    <n v="0.36"/>
    <n v="28.360000000000003"/>
    <x v="0"/>
    <n v="29"/>
    <n v="54"/>
    <n v="83"/>
    <m/>
    <x v="2"/>
  </r>
  <r>
    <n v="343"/>
    <x v="14"/>
    <x v="18"/>
    <b v="0"/>
    <n v="6"/>
    <n v="2"/>
    <x v="1"/>
    <n v="30"/>
    <x v="1"/>
    <n v="0.28789999999999999"/>
    <n v="0.45"/>
    <n v="25.369999999999997"/>
    <x v="0"/>
    <n v="15"/>
    <n v="69"/>
    <n v="84"/>
    <m/>
    <x v="2"/>
  </r>
  <r>
    <n v="344"/>
    <x v="14"/>
    <x v="19"/>
    <b v="0"/>
    <n v="6"/>
    <n v="2"/>
    <x v="1"/>
    <n v="32"/>
    <x v="1"/>
    <n v="0.30299999999999999"/>
    <n v="0.39"/>
    <n v="25.369999999999997"/>
    <x v="0"/>
    <n v="14"/>
    <n v="60"/>
    <n v="74"/>
    <m/>
    <x v="2"/>
  </r>
  <r>
    <n v="345"/>
    <x v="14"/>
    <x v="20"/>
    <b v="0"/>
    <n v="6"/>
    <n v="2"/>
    <x v="1"/>
    <n v="32"/>
    <x v="1"/>
    <n v="0.30299999999999999"/>
    <n v="0.39"/>
    <n v="25.369999999999997"/>
    <x v="0"/>
    <n v="6"/>
    <n v="35"/>
    <n v="41"/>
    <m/>
    <x v="2"/>
  </r>
  <r>
    <n v="346"/>
    <x v="14"/>
    <x v="21"/>
    <b v="0"/>
    <n v="6"/>
    <n v="2"/>
    <x v="1"/>
    <n v="32"/>
    <x v="1"/>
    <n v="0.30299999999999999"/>
    <n v="0.39"/>
    <n v="22.39"/>
    <x v="0"/>
    <n v="6"/>
    <n v="51"/>
    <n v="57"/>
    <m/>
    <x v="2"/>
  </r>
  <r>
    <n v="347"/>
    <x v="14"/>
    <x v="22"/>
    <b v="0"/>
    <n v="6"/>
    <n v="2"/>
    <x v="1"/>
    <n v="30"/>
    <x v="1"/>
    <n v="0.31819999999999998"/>
    <n v="0.42"/>
    <n v="10.45"/>
    <x v="1"/>
    <n v="0"/>
    <n v="26"/>
    <n v="26"/>
    <m/>
    <x v="2"/>
  </r>
  <r>
    <n v="348"/>
    <x v="14"/>
    <x v="23"/>
    <b v="0"/>
    <n v="6"/>
    <n v="1"/>
    <x v="0"/>
    <n v="30"/>
    <x v="1"/>
    <n v="0.28789999999999999"/>
    <n v="0.45"/>
    <n v="28.360000000000003"/>
    <x v="0"/>
    <n v="5"/>
    <n v="39"/>
    <n v="44"/>
    <m/>
    <x v="2"/>
  </r>
  <r>
    <n v="349"/>
    <x v="15"/>
    <x v="0"/>
    <b v="0"/>
    <n v="7"/>
    <n v="1"/>
    <x v="0"/>
    <n v="26"/>
    <x v="1"/>
    <n v="0.30299999999999999"/>
    <n v="0.56000000000000005"/>
    <n v="20.485098360655737"/>
    <x v="0"/>
    <n v="6"/>
    <n v="33"/>
    <n v="39"/>
    <m/>
    <x v="2"/>
  </r>
  <r>
    <n v="350"/>
    <x v="15"/>
    <x v="1"/>
    <b v="0"/>
    <n v="7"/>
    <n v="1"/>
    <x v="0"/>
    <n v="26"/>
    <x v="1"/>
    <n v="0.2727"/>
    <n v="0.56000000000000005"/>
    <n v="13.43"/>
    <x v="1"/>
    <n v="4"/>
    <n v="19"/>
    <n v="23"/>
    <m/>
    <x v="2"/>
  </r>
  <r>
    <n v="351"/>
    <x v="15"/>
    <x v="2"/>
    <b v="0"/>
    <n v="7"/>
    <n v="1"/>
    <x v="0"/>
    <n v="26"/>
    <x v="1"/>
    <n v="0.28789999999999999"/>
    <n v="0.56000000000000005"/>
    <n v="8.9599999999999991"/>
    <x v="1"/>
    <n v="3"/>
    <n v="13"/>
    <n v="16"/>
    <m/>
    <x v="2"/>
  </r>
  <r>
    <n v="352"/>
    <x v="15"/>
    <x v="3"/>
    <b v="0"/>
    <n v="7"/>
    <n v="1"/>
    <x v="0"/>
    <n v="22"/>
    <x v="0"/>
    <n v="0.2727"/>
    <n v="0.69"/>
    <n v="20.485098360655737"/>
    <x v="0"/>
    <n v="9"/>
    <n v="6"/>
    <n v="15"/>
    <m/>
    <x v="2"/>
  </r>
  <r>
    <n v="353"/>
    <x v="15"/>
    <x v="4"/>
    <b v="0"/>
    <n v="7"/>
    <n v="1"/>
    <x v="0"/>
    <n v="26"/>
    <x v="1"/>
    <n v="0.2576"/>
    <n v="0.56000000000000005"/>
    <n v="16.420000000000002"/>
    <x v="1"/>
    <n v="0"/>
    <n v="1"/>
    <n v="1"/>
    <m/>
    <x v="2"/>
  </r>
  <r>
    <n v="354"/>
    <x v="15"/>
    <x v="5"/>
    <b v="0"/>
    <n v="7"/>
    <n v="2"/>
    <x v="1"/>
    <n v="26"/>
    <x v="1"/>
    <n v="0.2576"/>
    <n v="0.56000000000000005"/>
    <n v="16.420000000000002"/>
    <x v="1"/>
    <n v="1"/>
    <n v="1"/>
    <n v="2"/>
    <m/>
    <x v="2"/>
  </r>
  <r>
    <n v="355"/>
    <x v="15"/>
    <x v="6"/>
    <b v="0"/>
    <n v="7"/>
    <n v="2"/>
    <x v="1"/>
    <n v="26"/>
    <x v="1"/>
    <n v="0.2576"/>
    <n v="0.56000000000000005"/>
    <n v="16.420000000000002"/>
    <x v="1"/>
    <n v="0"/>
    <n v="1"/>
    <n v="1"/>
    <m/>
    <x v="2"/>
  </r>
  <r>
    <n v="356"/>
    <x v="15"/>
    <x v="7"/>
    <b v="0"/>
    <n v="7"/>
    <n v="2"/>
    <x v="1"/>
    <n v="24"/>
    <x v="0"/>
    <n v="0.21210000000000001"/>
    <n v="0.56000000000000005"/>
    <n v="29.849999999999998"/>
    <x v="0"/>
    <n v="0"/>
    <n v="3"/>
    <n v="3"/>
    <m/>
    <x v="2"/>
  </r>
  <r>
    <n v="357"/>
    <x v="15"/>
    <x v="8"/>
    <b v="0"/>
    <n v="7"/>
    <n v="1"/>
    <x v="0"/>
    <n v="22"/>
    <x v="0"/>
    <n v="0.21210000000000001"/>
    <n v="0.55000000000000004"/>
    <n v="28.360000000000003"/>
    <x v="0"/>
    <n v="0"/>
    <n v="18"/>
    <n v="18"/>
    <m/>
    <x v="2"/>
  </r>
  <r>
    <n v="358"/>
    <x v="15"/>
    <x v="9"/>
    <b v="0"/>
    <n v="7"/>
    <n v="1"/>
    <x v="0"/>
    <n v="22"/>
    <x v="0"/>
    <n v="0.21210000000000001"/>
    <n v="0.51"/>
    <n v="25.369999999999997"/>
    <x v="0"/>
    <n v="3"/>
    <n v="29"/>
    <n v="32"/>
    <m/>
    <x v="2"/>
  </r>
  <r>
    <n v="359"/>
    <x v="15"/>
    <x v="10"/>
    <b v="0"/>
    <n v="7"/>
    <n v="1"/>
    <x v="0"/>
    <n v="22"/>
    <x v="0"/>
    <n v="0.21210000000000001"/>
    <n v="0.51"/>
    <n v="28.360000000000003"/>
    <x v="0"/>
    <n v="8"/>
    <n v="71"/>
    <n v="79"/>
    <m/>
    <x v="2"/>
  </r>
  <r>
    <n v="360"/>
    <x v="15"/>
    <x v="11"/>
    <b v="0"/>
    <n v="7"/>
    <n v="1"/>
    <x v="0"/>
    <n v="24"/>
    <x v="0"/>
    <n v="0.2273"/>
    <n v="0.44"/>
    <n v="25.369999999999997"/>
    <x v="0"/>
    <n v="23"/>
    <n v="70"/>
    <n v="93"/>
    <m/>
    <x v="2"/>
  </r>
  <r>
    <n v="361"/>
    <x v="15"/>
    <x v="12"/>
    <b v="0"/>
    <n v="7"/>
    <n v="1"/>
    <x v="0"/>
    <n v="24"/>
    <x v="0"/>
    <n v="0.21210000000000001"/>
    <n v="0.41"/>
    <n v="28.360000000000003"/>
    <x v="0"/>
    <n v="29"/>
    <n v="75"/>
    <n v="104"/>
    <m/>
    <x v="2"/>
  </r>
  <r>
    <n v="362"/>
    <x v="15"/>
    <x v="13"/>
    <b v="0"/>
    <n v="7"/>
    <n v="1"/>
    <x v="0"/>
    <n v="26"/>
    <x v="1"/>
    <n v="0.2273"/>
    <n v="0.35"/>
    <n v="29.849999999999998"/>
    <x v="0"/>
    <n v="23"/>
    <n v="95"/>
    <n v="118"/>
    <m/>
    <x v="2"/>
  </r>
  <r>
    <n v="363"/>
    <x v="15"/>
    <x v="14"/>
    <b v="0"/>
    <n v="7"/>
    <n v="1"/>
    <x v="0"/>
    <n v="28.000000000000004"/>
    <x v="1"/>
    <n v="0.2727"/>
    <n v="0.36"/>
    <n v="25.369999999999997"/>
    <x v="0"/>
    <n v="22"/>
    <n v="69"/>
    <n v="91"/>
    <m/>
    <x v="2"/>
  </r>
  <r>
    <n v="364"/>
    <x v="15"/>
    <x v="15"/>
    <b v="0"/>
    <n v="7"/>
    <n v="1"/>
    <x v="0"/>
    <n v="26"/>
    <x v="1"/>
    <n v="0.2424"/>
    <n v="0.38"/>
    <n v="25.369999999999997"/>
    <x v="0"/>
    <n v="35"/>
    <n v="78"/>
    <n v="113"/>
    <m/>
    <x v="2"/>
  </r>
  <r>
    <n v="365"/>
    <x v="15"/>
    <x v="16"/>
    <b v="0"/>
    <n v="7"/>
    <n v="1"/>
    <x v="0"/>
    <n v="24"/>
    <x v="0"/>
    <n v="0.2273"/>
    <n v="0.38"/>
    <n v="22.39"/>
    <x v="0"/>
    <n v="22"/>
    <n v="77"/>
    <n v="99"/>
    <m/>
    <x v="2"/>
  </r>
  <r>
    <n v="366"/>
    <x v="15"/>
    <x v="17"/>
    <b v="0"/>
    <n v="7"/>
    <n v="1"/>
    <x v="0"/>
    <n v="22"/>
    <x v="0"/>
    <n v="0.21210000000000001"/>
    <n v="0.37"/>
    <n v="25.369999999999997"/>
    <x v="0"/>
    <n v="23"/>
    <n v="82"/>
    <n v="105"/>
    <m/>
    <x v="2"/>
  </r>
  <r>
    <n v="367"/>
    <x v="15"/>
    <x v="18"/>
    <b v="0"/>
    <n v="7"/>
    <n v="1"/>
    <x v="0"/>
    <n v="20"/>
    <x v="0"/>
    <n v="0.21210000000000001"/>
    <n v="0.4"/>
    <n v="16.420000000000002"/>
    <x v="1"/>
    <n v="11"/>
    <n v="56"/>
    <n v="67"/>
    <m/>
    <x v="2"/>
  </r>
  <r>
    <n v="368"/>
    <x v="15"/>
    <x v="19"/>
    <b v="0"/>
    <n v="7"/>
    <n v="1"/>
    <x v="0"/>
    <n v="18"/>
    <x v="0"/>
    <n v="0.19700000000000001"/>
    <n v="0.47"/>
    <n v="13.43"/>
    <x v="1"/>
    <n v="14"/>
    <n v="47"/>
    <n v="61"/>
    <m/>
    <x v="2"/>
  </r>
  <r>
    <n v="369"/>
    <x v="15"/>
    <x v="20"/>
    <b v="0"/>
    <n v="7"/>
    <n v="1"/>
    <x v="0"/>
    <n v="18"/>
    <x v="0"/>
    <n v="0.19700000000000001"/>
    <n v="0.47"/>
    <n v="16.420000000000002"/>
    <x v="1"/>
    <n v="7"/>
    <n v="50"/>
    <n v="57"/>
    <m/>
    <x v="2"/>
  </r>
  <r>
    <n v="370"/>
    <x v="15"/>
    <x v="21"/>
    <b v="0"/>
    <n v="7"/>
    <n v="1"/>
    <x v="0"/>
    <n v="18"/>
    <x v="0"/>
    <n v="0.19700000000000001"/>
    <n v="0.51"/>
    <n v="16.420000000000002"/>
    <x v="1"/>
    <n v="6"/>
    <n v="22"/>
    <n v="28"/>
    <m/>
    <x v="2"/>
  </r>
  <r>
    <n v="371"/>
    <x v="15"/>
    <x v="22"/>
    <b v="0"/>
    <n v="7"/>
    <n v="2"/>
    <x v="1"/>
    <n v="20"/>
    <x v="0"/>
    <n v="0.21210000000000001"/>
    <n v="0.49"/>
    <n v="13.43"/>
    <x v="1"/>
    <n v="2"/>
    <n v="19"/>
    <n v="21"/>
    <m/>
    <x v="2"/>
  </r>
  <r>
    <n v="372"/>
    <x v="15"/>
    <x v="23"/>
    <b v="0"/>
    <n v="7"/>
    <n v="2"/>
    <x v="1"/>
    <n v="20"/>
    <x v="0"/>
    <n v="0.2273"/>
    <n v="0.4"/>
    <n v="10.45"/>
    <x v="1"/>
    <n v="0"/>
    <n v="18"/>
    <n v="18"/>
    <m/>
    <x v="2"/>
  </r>
  <r>
    <n v="373"/>
    <x v="16"/>
    <x v="0"/>
    <b v="0"/>
    <n v="1"/>
    <n v="2"/>
    <x v="1"/>
    <n v="20"/>
    <x v="0"/>
    <n v="0.19700000000000001"/>
    <n v="0.47"/>
    <n v="22.39"/>
    <x v="0"/>
    <n v="1"/>
    <n v="16"/>
    <n v="17"/>
    <m/>
    <x v="2"/>
  </r>
  <r>
    <n v="374"/>
    <x v="16"/>
    <x v="1"/>
    <b v="0"/>
    <n v="1"/>
    <n v="2"/>
    <x v="1"/>
    <n v="20"/>
    <x v="0"/>
    <n v="0.19700000000000001"/>
    <n v="0.44"/>
    <n v="19.400000000000002"/>
    <x v="1"/>
    <n v="1"/>
    <n v="15"/>
    <n v="16"/>
    <m/>
    <x v="2"/>
  </r>
  <r>
    <n v="375"/>
    <x v="16"/>
    <x v="2"/>
    <b v="0"/>
    <n v="1"/>
    <n v="2"/>
    <x v="1"/>
    <n v="18"/>
    <x v="0"/>
    <n v="0.16669999999999999"/>
    <n v="0.43"/>
    <n v="25.369999999999997"/>
    <x v="0"/>
    <n v="0"/>
    <n v="8"/>
    <n v="8"/>
    <m/>
    <x v="2"/>
  </r>
  <r>
    <n v="376"/>
    <x v="16"/>
    <x v="3"/>
    <b v="0"/>
    <n v="1"/>
    <n v="2"/>
    <x v="1"/>
    <n v="18"/>
    <x v="0"/>
    <n v="0.18179999999999999"/>
    <n v="0.43"/>
    <n v="19.400000000000002"/>
    <x v="1"/>
    <n v="0"/>
    <n v="2"/>
    <n v="2"/>
    <m/>
    <x v="2"/>
  </r>
  <r>
    <n v="377"/>
    <x v="16"/>
    <x v="4"/>
    <b v="0"/>
    <n v="1"/>
    <n v="2"/>
    <x v="1"/>
    <n v="18"/>
    <x v="0"/>
    <n v="0.19700000000000001"/>
    <n v="0.43"/>
    <n v="13.43"/>
    <x v="1"/>
    <n v="1"/>
    <n v="2"/>
    <n v="3"/>
    <m/>
    <x v="2"/>
  </r>
  <r>
    <n v="378"/>
    <x v="16"/>
    <x v="5"/>
    <b v="0"/>
    <n v="1"/>
    <n v="2"/>
    <x v="1"/>
    <n v="18"/>
    <x v="0"/>
    <n v="0.19700000000000001"/>
    <n v="0.43"/>
    <n v="16.420000000000002"/>
    <x v="1"/>
    <n v="0"/>
    <n v="1"/>
    <n v="1"/>
    <m/>
    <x v="2"/>
  </r>
  <r>
    <n v="379"/>
    <x v="16"/>
    <x v="6"/>
    <b v="0"/>
    <n v="1"/>
    <n v="2"/>
    <x v="1"/>
    <n v="18"/>
    <x v="0"/>
    <n v="0.18179999999999999"/>
    <n v="0.43"/>
    <n v="19.400000000000002"/>
    <x v="1"/>
    <n v="0"/>
    <n v="5"/>
    <n v="5"/>
    <m/>
    <x v="2"/>
  </r>
  <r>
    <n v="380"/>
    <x v="16"/>
    <x v="7"/>
    <b v="0"/>
    <n v="1"/>
    <n v="2"/>
    <x v="1"/>
    <n v="16"/>
    <x v="0"/>
    <n v="0.18179999999999999"/>
    <n v="0.5"/>
    <n v="13.43"/>
    <x v="1"/>
    <n v="4"/>
    <n v="9"/>
    <n v="13"/>
    <m/>
    <x v="2"/>
  </r>
  <r>
    <n v="381"/>
    <x v="16"/>
    <x v="8"/>
    <b v="0"/>
    <n v="1"/>
    <n v="2"/>
    <x v="1"/>
    <n v="16"/>
    <x v="0"/>
    <n v="0.1515"/>
    <n v="0.47"/>
    <n v="22.39"/>
    <x v="0"/>
    <n v="3"/>
    <n v="30"/>
    <n v="33"/>
    <m/>
    <x v="2"/>
  </r>
  <r>
    <n v="382"/>
    <x v="16"/>
    <x v="9"/>
    <b v="0"/>
    <n v="1"/>
    <n v="2"/>
    <x v="1"/>
    <n v="16"/>
    <x v="0"/>
    <n v="0.1515"/>
    <n v="0.47"/>
    <n v="22.39"/>
    <x v="0"/>
    <n v="8"/>
    <n v="39"/>
    <n v="47"/>
    <m/>
    <x v="2"/>
  </r>
  <r>
    <n v="383"/>
    <x v="16"/>
    <x v="10"/>
    <b v="0"/>
    <n v="1"/>
    <n v="2"/>
    <x v="1"/>
    <n v="16"/>
    <x v="0"/>
    <n v="0.1515"/>
    <n v="0.5"/>
    <n v="25.369999999999997"/>
    <x v="0"/>
    <n v="7"/>
    <n v="50"/>
    <n v="57"/>
    <m/>
    <x v="2"/>
  </r>
  <r>
    <n v="384"/>
    <x v="16"/>
    <x v="11"/>
    <b v="0"/>
    <n v="1"/>
    <n v="2"/>
    <x v="1"/>
    <n v="16"/>
    <x v="0"/>
    <n v="0.1515"/>
    <n v="0.55000000000000004"/>
    <n v="19.400000000000002"/>
    <x v="1"/>
    <n v="9"/>
    <n v="55"/>
    <n v="64"/>
    <m/>
    <x v="2"/>
  </r>
  <r>
    <n v="385"/>
    <x v="16"/>
    <x v="12"/>
    <b v="0"/>
    <n v="1"/>
    <n v="2"/>
    <x v="1"/>
    <n v="18"/>
    <x v="0"/>
    <n v="0.19700000000000001"/>
    <n v="0.47"/>
    <n v="13.43"/>
    <x v="1"/>
    <n v="10"/>
    <n v="70"/>
    <n v="80"/>
    <m/>
    <x v="2"/>
  </r>
  <r>
    <n v="386"/>
    <x v="16"/>
    <x v="13"/>
    <b v="0"/>
    <n v="1"/>
    <n v="2"/>
    <x v="1"/>
    <n v="18"/>
    <x v="0"/>
    <n v="0.19700000000000001"/>
    <n v="0.47"/>
    <n v="13.43"/>
    <x v="1"/>
    <n v="13"/>
    <n v="80"/>
    <n v="93"/>
    <m/>
    <x v="2"/>
  </r>
  <r>
    <n v="387"/>
    <x v="16"/>
    <x v="14"/>
    <b v="0"/>
    <n v="1"/>
    <n v="2"/>
    <x v="1"/>
    <n v="18"/>
    <x v="0"/>
    <n v="0.21210000000000001"/>
    <n v="0.43"/>
    <n v="10.45"/>
    <x v="1"/>
    <n v="12"/>
    <n v="74"/>
    <n v="86"/>
    <m/>
    <x v="2"/>
  </r>
  <r>
    <n v="388"/>
    <x v="16"/>
    <x v="15"/>
    <b v="0"/>
    <n v="1"/>
    <n v="2"/>
    <x v="1"/>
    <n v="20"/>
    <x v="0"/>
    <n v="0.21210000000000001"/>
    <n v="0.47"/>
    <n v="16.420000000000002"/>
    <x v="1"/>
    <n v="21"/>
    <n v="72"/>
    <n v="93"/>
    <m/>
    <x v="2"/>
  </r>
  <r>
    <n v="389"/>
    <x v="16"/>
    <x v="16"/>
    <b v="0"/>
    <n v="1"/>
    <n v="2"/>
    <x v="1"/>
    <n v="20"/>
    <x v="0"/>
    <n v="0.21210000000000001"/>
    <n v="0.47"/>
    <n v="16.420000000000002"/>
    <x v="1"/>
    <n v="6"/>
    <n v="76"/>
    <n v="82"/>
    <m/>
    <x v="2"/>
  </r>
  <r>
    <n v="390"/>
    <x v="16"/>
    <x v="17"/>
    <b v="0"/>
    <n v="1"/>
    <n v="1"/>
    <x v="0"/>
    <n v="20"/>
    <x v="0"/>
    <n v="0.19700000000000001"/>
    <n v="0.51"/>
    <n v="19.400000000000002"/>
    <x v="1"/>
    <n v="4"/>
    <n v="67"/>
    <n v="71"/>
    <m/>
    <x v="2"/>
  </r>
  <r>
    <n v="391"/>
    <x v="16"/>
    <x v="18"/>
    <b v="0"/>
    <n v="1"/>
    <n v="2"/>
    <x v="1"/>
    <n v="18"/>
    <x v="0"/>
    <n v="0.16669999999999999"/>
    <n v="0.55000000000000004"/>
    <n v="25.369999999999997"/>
    <x v="0"/>
    <n v="7"/>
    <n v="85"/>
    <n v="92"/>
    <m/>
    <x v="2"/>
  </r>
  <r>
    <n v="392"/>
    <x v="16"/>
    <x v="19"/>
    <b v="0"/>
    <n v="1"/>
    <n v="3"/>
    <x v="2"/>
    <n v="18"/>
    <x v="0"/>
    <n v="0.18179999999999999"/>
    <n v="0.59"/>
    <n v="19.400000000000002"/>
    <x v="1"/>
    <n v="2"/>
    <n v="58"/>
    <n v="60"/>
    <m/>
    <x v="2"/>
  </r>
  <r>
    <n v="393"/>
    <x v="16"/>
    <x v="20"/>
    <b v="0"/>
    <n v="1"/>
    <n v="3"/>
    <x v="2"/>
    <n v="16"/>
    <x v="0"/>
    <n v="0.1515"/>
    <n v="0.8"/>
    <n v="19.400000000000002"/>
    <x v="1"/>
    <n v="4"/>
    <n v="29"/>
    <n v="33"/>
    <m/>
    <x v="2"/>
  </r>
  <r>
    <n v="394"/>
    <x v="16"/>
    <x v="21"/>
    <b v="0"/>
    <n v="1"/>
    <n v="3"/>
    <x v="2"/>
    <n v="16"/>
    <x v="0"/>
    <n v="0.1515"/>
    <n v="0.8"/>
    <n v="19.400000000000002"/>
    <x v="1"/>
    <n v="3"/>
    <n v="24"/>
    <n v="27"/>
    <m/>
    <x v="2"/>
  </r>
  <r>
    <n v="395"/>
    <x v="16"/>
    <x v="22"/>
    <b v="0"/>
    <n v="1"/>
    <n v="3"/>
    <x v="2"/>
    <n v="14.000000000000002"/>
    <x v="0"/>
    <n v="0.1212"/>
    <n v="0.93"/>
    <n v="25.369999999999997"/>
    <x v="0"/>
    <n v="0"/>
    <n v="13"/>
    <n v="13"/>
    <m/>
    <x v="2"/>
  </r>
  <r>
    <n v="396"/>
    <x v="16"/>
    <x v="23"/>
    <b v="0"/>
    <n v="1"/>
    <n v="3"/>
    <x v="2"/>
    <n v="16"/>
    <x v="0"/>
    <n v="0.13639999999999999"/>
    <n v="0.86"/>
    <n v="28.360000000000003"/>
    <x v="0"/>
    <n v="1"/>
    <n v="3"/>
    <n v="4"/>
    <m/>
    <x v="2"/>
  </r>
  <r>
    <n v="397"/>
    <x v="17"/>
    <x v="12"/>
    <b v="0"/>
    <n v="2"/>
    <n v="2"/>
    <x v="1"/>
    <n v="20"/>
    <x v="0"/>
    <n v="0.18179999999999999"/>
    <n v="0.86"/>
    <n v="32.840000000000003"/>
    <x v="2"/>
    <n v="0"/>
    <n v="3"/>
    <n v="3"/>
    <m/>
    <x v="2"/>
  </r>
  <r>
    <n v="398"/>
    <x v="17"/>
    <x v="13"/>
    <b v="0"/>
    <n v="2"/>
    <n v="2"/>
    <x v="1"/>
    <n v="20"/>
    <x v="0"/>
    <n v="0.19700000000000001"/>
    <n v="0.86"/>
    <n v="22.39"/>
    <x v="0"/>
    <n v="0"/>
    <n v="22"/>
    <n v="22"/>
    <m/>
    <x v="2"/>
  </r>
  <r>
    <n v="399"/>
    <x v="17"/>
    <x v="14"/>
    <b v="0"/>
    <n v="2"/>
    <n v="2"/>
    <x v="1"/>
    <n v="22"/>
    <x v="0"/>
    <n v="0.2273"/>
    <n v="0.8"/>
    <n v="16.420000000000002"/>
    <x v="1"/>
    <n v="2"/>
    <n v="26"/>
    <n v="28"/>
    <m/>
    <x v="2"/>
  </r>
  <r>
    <n v="400"/>
    <x v="17"/>
    <x v="15"/>
    <b v="0"/>
    <n v="2"/>
    <n v="2"/>
    <x v="1"/>
    <n v="22"/>
    <x v="0"/>
    <n v="0.2273"/>
    <n v="0.87"/>
    <n v="16.420000000000002"/>
    <x v="1"/>
    <n v="3"/>
    <n v="32"/>
    <n v="35"/>
    <m/>
    <x v="2"/>
  </r>
  <r>
    <n v="401"/>
    <x v="17"/>
    <x v="16"/>
    <b v="0"/>
    <n v="2"/>
    <n v="2"/>
    <x v="1"/>
    <n v="22"/>
    <x v="0"/>
    <n v="0.2273"/>
    <n v="0.87"/>
    <n v="19.400000000000002"/>
    <x v="1"/>
    <n v="0"/>
    <n v="61"/>
    <n v="61"/>
    <m/>
    <x v="2"/>
  </r>
  <r>
    <n v="402"/>
    <x v="17"/>
    <x v="17"/>
    <b v="0"/>
    <n v="2"/>
    <n v="2"/>
    <x v="1"/>
    <n v="22"/>
    <x v="0"/>
    <n v="0.2273"/>
    <n v="0.82"/>
    <n v="19.400000000000002"/>
    <x v="1"/>
    <n v="1"/>
    <n v="124"/>
    <n v="125"/>
    <m/>
    <x v="2"/>
  </r>
  <r>
    <n v="403"/>
    <x v="17"/>
    <x v="18"/>
    <b v="0"/>
    <n v="2"/>
    <n v="2"/>
    <x v="1"/>
    <n v="22"/>
    <x v="0"/>
    <n v="0.2273"/>
    <n v="0.8"/>
    <n v="16.420000000000002"/>
    <x v="1"/>
    <n v="1"/>
    <n v="132"/>
    <n v="133"/>
    <m/>
    <x v="2"/>
  </r>
  <r>
    <n v="404"/>
    <x v="17"/>
    <x v="19"/>
    <b v="0"/>
    <n v="2"/>
    <n v="2"/>
    <x v="1"/>
    <n v="22"/>
    <x v="0"/>
    <n v="0.2273"/>
    <n v="0.8"/>
    <n v="13.43"/>
    <x v="1"/>
    <n v="1"/>
    <n v="98"/>
    <n v="99"/>
    <m/>
    <x v="2"/>
  </r>
  <r>
    <n v="405"/>
    <x v="17"/>
    <x v="20"/>
    <b v="0"/>
    <n v="2"/>
    <n v="2"/>
    <x v="1"/>
    <n v="22"/>
    <x v="0"/>
    <n v="0.2727"/>
    <n v="0.87"/>
    <n v="20.485098360655737"/>
    <x v="0"/>
    <n v="0"/>
    <n v="83"/>
    <n v="83"/>
    <m/>
    <x v="2"/>
  </r>
  <r>
    <n v="406"/>
    <x v="17"/>
    <x v="21"/>
    <b v="0"/>
    <n v="2"/>
    <n v="2"/>
    <x v="1"/>
    <n v="22"/>
    <x v="0"/>
    <n v="0.2424"/>
    <n v="0.93"/>
    <n v="10.45"/>
    <x v="1"/>
    <n v="0"/>
    <n v="41"/>
    <n v="41"/>
    <m/>
    <x v="2"/>
  </r>
  <r>
    <n v="407"/>
    <x v="17"/>
    <x v="22"/>
    <b v="0"/>
    <n v="2"/>
    <n v="2"/>
    <x v="1"/>
    <n v="22"/>
    <x v="0"/>
    <n v="0.2576"/>
    <n v="0.93"/>
    <n v="8.9599999999999991"/>
    <x v="1"/>
    <n v="0"/>
    <n v="33"/>
    <n v="33"/>
    <m/>
    <x v="2"/>
  </r>
  <r>
    <n v="408"/>
    <x v="17"/>
    <x v="23"/>
    <b v="0"/>
    <n v="2"/>
    <n v="2"/>
    <x v="1"/>
    <n v="22"/>
    <x v="0"/>
    <n v="0.2727"/>
    <n v="0.93"/>
    <n v="20.485098360655737"/>
    <x v="0"/>
    <n v="1"/>
    <n v="19"/>
    <n v="20"/>
    <m/>
    <x v="2"/>
  </r>
  <r>
    <n v="409"/>
    <x v="18"/>
    <x v="0"/>
    <b v="0"/>
    <n v="3"/>
    <n v="2"/>
    <x v="1"/>
    <n v="22"/>
    <x v="0"/>
    <n v="0.2727"/>
    <n v="0.93"/>
    <n v="20.485098360655737"/>
    <x v="0"/>
    <n v="0"/>
    <n v="3"/>
    <n v="3"/>
    <m/>
    <x v="2"/>
  </r>
  <r>
    <n v="410"/>
    <x v="18"/>
    <x v="1"/>
    <b v="0"/>
    <n v="3"/>
    <n v="3"/>
    <x v="2"/>
    <n v="22"/>
    <x v="0"/>
    <n v="0.2273"/>
    <n v="0.93"/>
    <n v="13.43"/>
    <x v="1"/>
    <n v="1"/>
    <n v="6"/>
    <n v="7"/>
    <m/>
    <x v="2"/>
  </r>
  <r>
    <n v="411"/>
    <x v="18"/>
    <x v="2"/>
    <b v="0"/>
    <n v="3"/>
    <n v="3"/>
    <x v="2"/>
    <n v="22"/>
    <x v="0"/>
    <n v="0.2273"/>
    <n v="0.93"/>
    <n v="13.43"/>
    <x v="1"/>
    <n v="0"/>
    <n v="3"/>
    <n v="3"/>
    <m/>
    <x v="2"/>
  </r>
  <r>
    <n v="412"/>
    <x v="18"/>
    <x v="4"/>
    <b v="0"/>
    <n v="3"/>
    <n v="3"/>
    <x v="2"/>
    <n v="22"/>
    <x v="0"/>
    <n v="0.2273"/>
    <n v="0.93"/>
    <n v="13.43"/>
    <x v="1"/>
    <n v="1"/>
    <n v="1"/>
    <n v="2"/>
    <m/>
    <x v="2"/>
  </r>
  <r>
    <n v="413"/>
    <x v="18"/>
    <x v="5"/>
    <b v="0"/>
    <n v="3"/>
    <n v="2"/>
    <x v="1"/>
    <n v="22"/>
    <x v="0"/>
    <n v="0.2576"/>
    <n v="0.93"/>
    <n v="8.9599999999999991"/>
    <x v="1"/>
    <n v="0"/>
    <n v="7"/>
    <n v="7"/>
    <m/>
    <x v="2"/>
  </r>
  <r>
    <n v="414"/>
    <x v="18"/>
    <x v="6"/>
    <b v="0"/>
    <n v="3"/>
    <n v="2"/>
    <x v="1"/>
    <n v="22"/>
    <x v="0"/>
    <n v="0.2576"/>
    <n v="0.93"/>
    <n v="8.9599999999999991"/>
    <x v="1"/>
    <n v="0"/>
    <n v="32"/>
    <n v="32"/>
    <m/>
    <x v="2"/>
  </r>
  <r>
    <n v="415"/>
    <x v="18"/>
    <x v="7"/>
    <b v="0"/>
    <n v="3"/>
    <n v="2"/>
    <x v="1"/>
    <n v="24"/>
    <x v="0"/>
    <n v="0.2576"/>
    <n v="0.92"/>
    <n v="10.45"/>
    <x v="1"/>
    <n v="1"/>
    <n v="89"/>
    <n v="90"/>
    <m/>
    <x v="2"/>
  </r>
  <r>
    <n v="416"/>
    <x v="18"/>
    <x v="8"/>
    <b v="0"/>
    <n v="3"/>
    <n v="2"/>
    <x v="1"/>
    <n v="24"/>
    <x v="0"/>
    <n v="0.2576"/>
    <n v="0.93"/>
    <n v="10.45"/>
    <x v="1"/>
    <n v="1"/>
    <n v="196"/>
    <n v="197"/>
    <m/>
    <x v="2"/>
  </r>
  <r>
    <n v="417"/>
    <x v="18"/>
    <x v="9"/>
    <b v="0"/>
    <n v="3"/>
    <n v="2"/>
    <x v="1"/>
    <n v="24"/>
    <x v="0"/>
    <n v="0.2576"/>
    <n v="0.93"/>
    <n v="10.45"/>
    <x v="1"/>
    <n v="2"/>
    <n v="107"/>
    <n v="109"/>
    <m/>
    <x v="2"/>
  </r>
  <r>
    <n v="418"/>
    <x v="18"/>
    <x v="10"/>
    <b v="0"/>
    <n v="3"/>
    <n v="2"/>
    <x v="1"/>
    <n v="26"/>
    <x v="1"/>
    <n v="0.2727"/>
    <n v="0.93"/>
    <n v="13.43"/>
    <x v="1"/>
    <n v="1"/>
    <n v="46"/>
    <n v="47"/>
    <m/>
    <x v="2"/>
  </r>
  <r>
    <n v="419"/>
    <x v="18"/>
    <x v="11"/>
    <b v="0"/>
    <n v="3"/>
    <n v="2"/>
    <x v="1"/>
    <n v="28.000000000000004"/>
    <x v="1"/>
    <n v="0.30299999999999999"/>
    <n v="0.87"/>
    <n v="8.9599999999999991"/>
    <x v="1"/>
    <n v="5"/>
    <n v="47"/>
    <n v="52"/>
    <m/>
    <x v="2"/>
  </r>
  <r>
    <n v="420"/>
    <x v="18"/>
    <x v="12"/>
    <b v="0"/>
    <n v="3"/>
    <n v="2"/>
    <x v="1"/>
    <n v="30"/>
    <x v="1"/>
    <n v="0.31819999999999998"/>
    <n v="0.81"/>
    <n v="8.9599999999999991"/>
    <x v="1"/>
    <n v="5"/>
    <n v="65"/>
    <n v="70"/>
    <m/>
    <x v="2"/>
  </r>
  <r>
    <n v="421"/>
    <x v="18"/>
    <x v="13"/>
    <b v="0"/>
    <n v="3"/>
    <n v="1"/>
    <x v="0"/>
    <n v="40"/>
    <x v="1"/>
    <n v="0.40910000000000002"/>
    <n v="0.62"/>
    <n v="28.360000000000003"/>
    <x v="0"/>
    <n v="11"/>
    <n v="67"/>
    <n v="78"/>
    <m/>
    <x v="2"/>
  </r>
  <r>
    <n v="422"/>
    <x v="18"/>
    <x v="14"/>
    <b v="0"/>
    <n v="3"/>
    <n v="1"/>
    <x v="0"/>
    <n v="40"/>
    <x v="1"/>
    <n v="0.40910000000000002"/>
    <n v="0.57999999999999996"/>
    <n v="25.369999999999997"/>
    <x v="0"/>
    <n v="7"/>
    <n v="68"/>
    <n v="75"/>
    <m/>
    <x v="2"/>
  </r>
  <r>
    <n v="423"/>
    <x v="18"/>
    <x v="15"/>
    <b v="0"/>
    <n v="3"/>
    <n v="1"/>
    <x v="0"/>
    <n v="40"/>
    <x v="1"/>
    <n v="0.40910000000000002"/>
    <n v="0.54"/>
    <n v="28.360000000000003"/>
    <x v="0"/>
    <n v="4"/>
    <n v="78"/>
    <n v="82"/>
    <m/>
    <x v="2"/>
  </r>
  <r>
    <n v="424"/>
    <x v="18"/>
    <x v="16"/>
    <b v="0"/>
    <n v="3"/>
    <n v="1"/>
    <x v="0"/>
    <n v="38"/>
    <x v="1"/>
    <n v="0.39389999999999997"/>
    <n v="0.57999999999999996"/>
    <n v="38.81"/>
    <x v="2"/>
    <n v="10"/>
    <n v="94"/>
    <n v="104"/>
    <m/>
    <x v="2"/>
  </r>
  <r>
    <n v="425"/>
    <x v="18"/>
    <x v="17"/>
    <b v="0"/>
    <n v="3"/>
    <n v="1"/>
    <x v="0"/>
    <n v="36"/>
    <x v="1"/>
    <n v="0.33329999999999999"/>
    <n v="0.56999999999999995"/>
    <n v="32.840000000000003"/>
    <x v="2"/>
    <n v="7"/>
    <n v="190"/>
    <n v="197"/>
    <m/>
    <x v="2"/>
  </r>
  <r>
    <n v="426"/>
    <x v="18"/>
    <x v="18"/>
    <b v="0"/>
    <n v="3"/>
    <n v="1"/>
    <x v="0"/>
    <n v="34"/>
    <x v="1"/>
    <n v="0.31819999999999998"/>
    <n v="0.61"/>
    <n v="28.360000000000003"/>
    <x v="0"/>
    <n v="5"/>
    <n v="156"/>
    <n v="161"/>
    <m/>
    <x v="2"/>
  </r>
  <r>
    <n v="427"/>
    <x v="18"/>
    <x v="19"/>
    <b v="0"/>
    <n v="3"/>
    <n v="1"/>
    <x v="0"/>
    <n v="32"/>
    <x v="1"/>
    <n v="0.28789999999999999"/>
    <n v="0.56999999999999995"/>
    <n v="41.79"/>
    <x v="2"/>
    <n v="4"/>
    <n v="108"/>
    <n v="112"/>
    <m/>
    <x v="2"/>
  </r>
  <r>
    <n v="428"/>
    <x v="18"/>
    <x v="20"/>
    <b v="0"/>
    <n v="3"/>
    <n v="1"/>
    <x v="0"/>
    <n v="32"/>
    <x v="1"/>
    <n v="0.30299999999999999"/>
    <n v="0.49"/>
    <n v="29.849999999999998"/>
    <x v="0"/>
    <n v="2"/>
    <n v="74"/>
    <n v="76"/>
    <m/>
    <x v="2"/>
  </r>
  <r>
    <n v="429"/>
    <x v="18"/>
    <x v="21"/>
    <b v="0"/>
    <n v="3"/>
    <n v="1"/>
    <x v="0"/>
    <n v="32"/>
    <x v="1"/>
    <n v="0.28789999999999999"/>
    <n v="0.49"/>
    <n v="41.79"/>
    <x v="2"/>
    <n v="4"/>
    <n v="55"/>
    <n v="59"/>
    <m/>
    <x v="2"/>
  </r>
  <r>
    <n v="430"/>
    <x v="18"/>
    <x v="22"/>
    <b v="0"/>
    <n v="3"/>
    <n v="1"/>
    <x v="0"/>
    <n v="30"/>
    <x v="1"/>
    <n v="0.30299999999999999"/>
    <n v="0.52"/>
    <n v="16.420000000000002"/>
    <x v="1"/>
    <n v="6"/>
    <n v="53"/>
    <n v="59"/>
    <m/>
    <x v="2"/>
  </r>
  <r>
    <n v="431"/>
    <x v="18"/>
    <x v="23"/>
    <b v="0"/>
    <n v="3"/>
    <n v="1"/>
    <x v="0"/>
    <n v="30"/>
    <x v="1"/>
    <n v="0.2727"/>
    <n v="0.52"/>
    <n v="46.27"/>
    <x v="2"/>
    <n v="1"/>
    <n v="27"/>
    <n v="28"/>
    <m/>
    <x v="2"/>
  </r>
  <r>
    <n v="432"/>
    <x v="19"/>
    <x v="0"/>
    <b v="0"/>
    <n v="4"/>
    <n v="1"/>
    <x v="0"/>
    <n v="26"/>
    <x v="1"/>
    <n v="0.2273"/>
    <n v="0.56000000000000005"/>
    <n v="38.81"/>
    <x v="2"/>
    <n v="5"/>
    <n v="8"/>
    <n v="13"/>
    <m/>
    <x v="2"/>
  </r>
  <r>
    <n v="433"/>
    <x v="19"/>
    <x v="1"/>
    <b v="0"/>
    <n v="4"/>
    <n v="1"/>
    <x v="0"/>
    <n v="26"/>
    <x v="1"/>
    <n v="0.2727"/>
    <n v="0.56000000000000005"/>
    <n v="20.485098360655737"/>
    <x v="0"/>
    <n v="2"/>
    <n v="3"/>
    <n v="5"/>
    <m/>
    <x v="2"/>
  </r>
  <r>
    <n v="434"/>
    <x v="19"/>
    <x v="2"/>
    <b v="0"/>
    <n v="4"/>
    <n v="1"/>
    <x v="0"/>
    <n v="26"/>
    <x v="1"/>
    <n v="0.2727"/>
    <n v="0.56000000000000005"/>
    <n v="20.485098360655737"/>
    <x v="0"/>
    <n v="0"/>
    <n v="2"/>
    <n v="2"/>
    <m/>
    <x v="2"/>
  </r>
  <r>
    <n v="435"/>
    <x v="19"/>
    <x v="3"/>
    <b v="0"/>
    <n v="4"/>
    <n v="1"/>
    <x v="0"/>
    <n v="26"/>
    <x v="1"/>
    <n v="0.2576"/>
    <n v="0.56000000000000005"/>
    <n v="16.420000000000002"/>
    <x v="1"/>
    <n v="0"/>
    <n v="1"/>
    <n v="1"/>
    <m/>
    <x v="2"/>
  </r>
  <r>
    <n v="436"/>
    <x v="19"/>
    <x v="4"/>
    <b v="0"/>
    <n v="4"/>
    <n v="1"/>
    <x v="0"/>
    <n v="26"/>
    <x v="1"/>
    <n v="0.2576"/>
    <n v="0.56000000000000005"/>
    <n v="16.420000000000002"/>
    <x v="1"/>
    <n v="0"/>
    <n v="1"/>
    <n v="1"/>
    <m/>
    <x v="2"/>
  </r>
  <r>
    <n v="437"/>
    <x v="19"/>
    <x v="5"/>
    <b v="0"/>
    <n v="4"/>
    <n v="1"/>
    <x v="0"/>
    <n v="24"/>
    <x v="0"/>
    <n v="0.2273"/>
    <n v="0.6"/>
    <n v="22.39"/>
    <x v="0"/>
    <n v="0"/>
    <n v="6"/>
    <n v="6"/>
    <m/>
    <x v="2"/>
  </r>
  <r>
    <n v="438"/>
    <x v="19"/>
    <x v="6"/>
    <b v="0"/>
    <n v="4"/>
    <n v="1"/>
    <x v="0"/>
    <n v="22"/>
    <x v="0"/>
    <n v="0.21210000000000001"/>
    <n v="0.6"/>
    <n v="22.39"/>
    <x v="0"/>
    <n v="0"/>
    <n v="35"/>
    <n v="35"/>
    <m/>
    <x v="2"/>
  </r>
  <r>
    <n v="439"/>
    <x v="19"/>
    <x v="7"/>
    <b v="0"/>
    <n v="4"/>
    <n v="1"/>
    <x v="0"/>
    <n v="22"/>
    <x v="0"/>
    <n v="0.21210000000000001"/>
    <n v="0.55000000000000004"/>
    <n v="22.39"/>
    <x v="0"/>
    <n v="1"/>
    <n v="100"/>
    <n v="101"/>
    <m/>
    <x v="2"/>
  </r>
  <r>
    <n v="440"/>
    <x v="19"/>
    <x v="8"/>
    <b v="0"/>
    <n v="4"/>
    <n v="1"/>
    <x v="0"/>
    <n v="22"/>
    <x v="0"/>
    <n v="0.21210000000000001"/>
    <n v="0.55000000000000004"/>
    <n v="28.360000000000003"/>
    <x v="0"/>
    <n v="2"/>
    <n v="247"/>
    <n v="249"/>
    <m/>
    <x v="2"/>
  </r>
  <r>
    <n v="441"/>
    <x v="19"/>
    <x v="9"/>
    <b v="0"/>
    <n v="4"/>
    <n v="2"/>
    <x v="1"/>
    <n v="24"/>
    <x v="0"/>
    <n v="0.2273"/>
    <n v="0.52"/>
    <n v="22.39"/>
    <x v="0"/>
    <n v="3"/>
    <n v="140"/>
    <n v="143"/>
    <m/>
    <x v="2"/>
  </r>
  <r>
    <n v="442"/>
    <x v="19"/>
    <x v="10"/>
    <b v="0"/>
    <n v="4"/>
    <n v="1"/>
    <x v="0"/>
    <n v="26"/>
    <x v="1"/>
    <n v="0.2273"/>
    <n v="0.48"/>
    <n v="29.849999999999998"/>
    <x v="0"/>
    <n v="1"/>
    <n v="56"/>
    <n v="57"/>
    <m/>
    <x v="2"/>
  </r>
  <r>
    <n v="443"/>
    <x v="19"/>
    <x v="11"/>
    <b v="0"/>
    <n v="4"/>
    <n v="2"/>
    <x v="1"/>
    <n v="28.000000000000004"/>
    <x v="1"/>
    <n v="0.2727"/>
    <n v="0.45"/>
    <n v="16.420000000000002"/>
    <x v="1"/>
    <n v="5"/>
    <n v="63"/>
    <n v="68"/>
    <m/>
    <x v="2"/>
  </r>
  <r>
    <n v="444"/>
    <x v="19"/>
    <x v="12"/>
    <b v="0"/>
    <n v="4"/>
    <n v="2"/>
    <x v="1"/>
    <n v="30"/>
    <x v="1"/>
    <n v="0.33329999999999999"/>
    <n v="0.42"/>
    <n v="20.485098360655737"/>
    <x v="0"/>
    <n v="7"/>
    <n v="77"/>
    <n v="84"/>
    <m/>
    <x v="2"/>
  </r>
  <r>
    <n v="445"/>
    <x v="19"/>
    <x v="13"/>
    <b v="0"/>
    <n v="4"/>
    <n v="2"/>
    <x v="1"/>
    <n v="28.000000000000004"/>
    <x v="1"/>
    <n v="0.28789999999999999"/>
    <n v="0.45"/>
    <n v="10.45"/>
    <x v="1"/>
    <n v="12"/>
    <n v="86"/>
    <n v="98"/>
    <m/>
    <x v="2"/>
  </r>
  <r>
    <n v="446"/>
    <x v="19"/>
    <x v="14"/>
    <b v="0"/>
    <n v="4"/>
    <n v="2"/>
    <x v="1"/>
    <n v="30"/>
    <x v="1"/>
    <n v="0.30299999999999999"/>
    <n v="0.45"/>
    <n v="13.43"/>
    <x v="1"/>
    <n v="6"/>
    <n v="75"/>
    <n v="81"/>
    <m/>
    <x v="2"/>
  </r>
  <r>
    <n v="447"/>
    <x v="19"/>
    <x v="15"/>
    <b v="0"/>
    <n v="4"/>
    <n v="2"/>
    <x v="1"/>
    <n v="32"/>
    <x v="1"/>
    <n v="0.31819999999999998"/>
    <n v="0.45"/>
    <n v="19.400000000000002"/>
    <x v="1"/>
    <n v="8"/>
    <n v="62"/>
    <n v="70"/>
    <m/>
    <x v="2"/>
  </r>
  <r>
    <n v="448"/>
    <x v="19"/>
    <x v="16"/>
    <b v="0"/>
    <n v="4"/>
    <n v="2"/>
    <x v="1"/>
    <n v="30"/>
    <x v="1"/>
    <n v="0.30299999999999999"/>
    <n v="0.49"/>
    <n v="13.43"/>
    <x v="1"/>
    <n v="8"/>
    <n v="83"/>
    <n v="91"/>
    <m/>
    <x v="2"/>
  </r>
  <r>
    <n v="449"/>
    <x v="19"/>
    <x v="17"/>
    <b v="0"/>
    <n v="4"/>
    <n v="2"/>
    <x v="1"/>
    <n v="30"/>
    <x v="1"/>
    <n v="0.31819999999999998"/>
    <n v="0.49"/>
    <n v="10.45"/>
    <x v="1"/>
    <n v="8"/>
    <n v="207"/>
    <n v="215"/>
    <m/>
    <x v="2"/>
  </r>
  <r>
    <n v="450"/>
    <x v="19"/>
    <x v="18"/>
    <b v="0"/>
    <n v="4"/>
    <n v="2"/>
    <x v="1"/>
    <n v="26"/>
    <x v="1"/>
    <n v="0.2576"/>
    <n v="0.56000000000000005"/>
    <n v="19.400000000000002"/>
    <x v="1"/>
    <n v="1"/>
    <n v="184"/>
    <n v="185"/>
    <m/>
    <x v="2"/>
  </r>
  <r>
    <n v="451"/>
    <x v="19"/>
    <x v="19"/>
    <b v="0"/>
    <n v="4"/>
    <n v="1"/>
    <x v="0"/>
    <n v="26"/>
    <x v="1"/>
    <n v="0.2273"/>
    <n v="0.56000000000000005"/>
    <n v="32.840000000000003"/>
    <x v="2"/>
    <n v="6"/>
    <n v="146"/>
    <n v="152"/>
    <m/>
    <x v="2"/>
  </r>
  <r>
    <n v="452"/>
    <x v="19"/>
    <x v="20"/>
    <b v="0"/>
    <n v="4"/>
    <n v="2"/>
    <x v="1"/>
    <n v="26"/>
    <x v="1"/>
    <n v="0.2424"/>
    <n v="0.6"/>
    <n v="28.360000000000003"/>
    <x v="0"/>
    <n v="2"/>
    <n v="124"/>
    <n v="126"/>
    <m/>
    <x v="2"/>
  </r>
  <r>
    <n v="453"/>
    <x v="19"/>
    <x v="21"/>
    <b v="0"/>
    <n v="4"/>
    <n v="2"/>
    <x v="1"/>
    <n v="24"/>
    <x v="0"/>
    <n v="0.2273"/>
    <n v="0.6"/>
    <n v="25.369999999999997"/>
    <x v="0"/>
    <n v="3"/>
    <n v="54"/>
    <n v="57"/>
    <m/>
    <x v="2"/>
  </r>
  <r>
    <n v="454"/>
    <x v="19"/>
    <x v="22"/>
    <b v="0"/>
    <n v="4"/>
    <n v="2"/>
    <x v="1"/>
    <n v="24"/>
    <x v="0"/>
    <n v="0.21210000000000001"/>
    <n v="0.65"/>
    <n v="28.360000000000003"/>
    <x v="0"/>
    <n v="0"/>
    <n v="56"/>
    <n v="56"/>
    <m/>
    <x v="2"/>
  </r>
  <r>
    <n v="455"/>
    <x v="20"/>
    <x v="23"/>
    <b v="0"/>
    <n v="5"/>
    <n v="2"/>
    <x v="1"/>
    <n v="24"/>
    <x v="0"/>
    <n v="0.21210000000000001"/>
    <n v="0.65"/>
    <n v="32.840000000000003"/>
    <x v="2"/>
    <n v="3"/>
    <n v="28"/>
    <n v="31"/>
    <m/>
    <x v="2"/>
  </r>
  <r>
    <n v="456"/>
    <x v="20"/>
    <x v="0"/>
    <b v="0"/>
    <n v="5"/>
    <n v="2"/>
    <x v="1"/>
    <n v="24"/>
    <x v="0"/>
    <n v="0.2273"/>
    <n v="0.7"/>
    <n v="25.369999999999997"/>
    <x v="0"/>
    <n v="1"/>
    <n v="20"/>
    <n v="21"/>
    <m/>
    <x v="2"/>
  </r>
  <r>
    <n v="457"/>
    <x v="20"/>
    <x v="1"/>
    <b v="0"/>
    <n v="5"/>
    <n v="2"/>
    <x v="1"/>
    <n v="24"/>
    <x v="0"/>
    <n v="0.2273"/>
    <n v="0.7"/>
    <n v="25.369999999999997"/>
    <x v="0"/>
    <n v="0"/>
    <n v="6"/>
    <n v="6"/>
    <m/>
    <x v="2"/>
  </r>
  <r>
    <n v="458"/>
    <x v="20"/>
    <x v="2"/>
    <b v="0"/>
    <n v="5"/>
    <n v="3"/>
    <x v="2"/>
    <n v="24"/>
    <x v="0"/>
    <n v="0.2424"/>
    <n v="0.75"/>
    <n v="16.420000000000002"/>
    <x v="1"/>
    <n v="0"/>
    <n v="2"/>
    <n v="2"/>
    <m/>
    <x v="2"/>
  </r>
  <r>
    <n v="459"/>
    <x v="20"/>
    <x v="3"/>
    <b v="0"/>
    <n v="5"/>
    <n v="3"/>
    <x v="2"/>
    <n v="22"/>
    <x v="0"/>
    <n v="0.21210000000000001"/>
    <n v="0.8"/>
    <n v="29.849999999999998"/>
    <x v="0"/>
    <n v="0"/>
    <n v="1"/>
    <n v="1"/>
    <m/>
    <x v="2"/>
  </r>
  <r>
    <n v="460"/>
    <x v="20"/>
    <x v="4"/>
    <b v="0"/>
    <n v="5"/>
    <n v="2"/>
    <x v="1"/>
    <n v="22"/>
    <x v="0"/>
    <n v="0.2576"/>
    <n v="0.87"/>
    <n v="8.9599999999999991"/>
    <x v="1"/>
    <n v="0"/>
    <n v="1"/>
    <n v="1"/>
    <m/>
    <x v="2"/>
  </r>
  <r>
    <n v="461"/>
    <x v="20"/>
    <x v="5"/>
    <b v="0"/>
    <n v="5"/>
    <n v="1"/>
    <x v="0"/>
    <n v="24"/>
    <x v="0"/>
    <n v="0.19700000000000001"/>
    <n v="0.6"/>
    <n v="41.79"/>
    <x v="2"/>
    <n v="1"/>
    <n v="4"/>
    <n v="5"/>
    <m/>
    <x v="2"/>
  </r>
  <r>
    <n v="462"/>
    <x v="20"/>
    <x v="6"/>
    <b v="0"/>
    <n v="5"/>
    <n v="1"/>
    <x v="0"/>
    <n v="22"/>
    <x v="0"/>
    <n v="0.21210000000000001"/>
    <n v="0.55000000000000004"/>
    <n v="25.369999999999997"/>
    <x v="0"/>
    <n v="0"/>
    <n v="27"/>
    <n v="27"/>
    <m/>
    <x v="2"/>
  </r>
  <r>
    <n v="463"/>
    <x v="20"/>
    <x v="7"/>
    <b v="0"/>
    <n v="5"/>
    <n v="1"/>
    <x v="0"/>
    <n v="20"/>
    <x v="0"/>
    <n v="0.18179999999999999"/>
    <n v="0.51"/>
    <n v="28.360000000000003"/>
    <x v="0"/>
    <n v="2"/>
    <n v="66"/>
    <n v="68"/>
    <m/>
    <x v="2"/>
  </r>
  <r>
    <n v="464"/>
    <x v="20"/>
    <x v="8"/>
    <b v="0"/>
    <n v="5"/>
    <n v="1"/>
    <x v="0"/>
    <n v="20"/>
    <x v="0"/>
    <n v="0.18179999999999999"/>
    <n v="0.47"/>
    <n v="32.840000000000003"/>
    <x v="2"/>
    <n v="7"/>
    <n v="210"/>
    <n v="217"/>
    <m/>
    <x v="2"/>
  </r>
  <r>
    <n v="465"/>
    <x v="20"/>
    <x v="9"/>
    <b v="0"/>
    <n v="5"/>
    <n v="1"/>
    <x v="0"/>
    <n v="20"/>
    <x v="0"/>
    <n v="0.18179999999999999"/>
    <n v="0.51"/>
    <n v="35.82"/>
    <x v="2"/>
    <n v="7"/>
    <n v="159"/>
    <n v="166"/>
    <m/>
    <x v="2"/>
  </r>
  <r>
    <n v="466"/>
    <x v="20"/>
    <x v="10"/>
    <b v="0"/>
    <n v="5"/>
    <n v="1"/>
    <x v="0"/>
    <n v="20"/>
    <x v="0"/>
    <n v="0.16669999999999999"/>
    <n v="0.47"/>
    <n v="46.27"/>
    <x v="2"/>
    <n v="6"/>
    <n v="57"/>
    <n v="63"/>
    <m/>
    <x v="2"/>
  </r>
  <r>
    <n v="467"/>
    <x v="20"/>
    <x v="11"/>
    <b v="0"/>
    <n v="5"/>
    <n v="1"/>
    <x v="0"/>
    <n v="22"/>
    <x v="0"/>
    <n v="0.18179999999999999"/>
    <n v="0.41"/>
    <n v="46.27"/>
    <x v="2"/>
    <n v="6"/>
    <n v="53"/>
    <n v="59"/>
    <m/>
    <x v="2"/>
  </r>
  <r>
    <n v="468"/>
    <x v="20"/>
    <x v="12"/>
    <b v="0"/>
    <n v="5"/>
    <n v="1"/>
    <x v="0"/>
    <n v="22"/>
    <x v="0"/>
    <n v="0.18179999999999999"/>
    <n v="0.27"/>
    <n v="58.209999999999994"/>
    <x v="2"/>
    <n v="11"/>
    <n v="67"/>
    <n v="78"/>
    <m/>
    <x v="2"/>
  </r>
  <r>
    <n v="469"/>
    <x v="20"/>
    <x v="13"/>
    <b v="0"/>
    <n v="5"/>
    <n v="1"/>
    <x v="0"/>
    <n v="20"/>
    <x v="0"/>
    <n v="0.1515"/>
    <n v="0.21"/>
    <n v="58.209999999999994"/>
    <x v="2"/>
    <n v="8"/>
    <n v="65"/>
    <n v="73"/>
    <m/>
    <x v="2"/>
  </r>
  <r>
    <n v="470"/>
    <x v="20"/>
    <x v="14"/>
    <b v="0"/>
    <n v="5"/>
    <n v="1"/>
    <x v="0"/>
    <n v="20"/>
    <x v="0"/>
    <n v="0.1515"/>
    <n v="0.25"/>
    <n v="52.239999999999995"/>
    <x v="2"/>
    <n v="6"/>
    <n v="56"/>
    <n v="62"/>
    <m/>
    <x v="2"/>
  </r>
  <r>
    <n v="471"/>
    <x v="20"/>
    <x v="15"/>
    <b v="0"/>
    <n v="5"/>
    <n v="1"/>
    <x v="0"/>
    <n v="16"/>
    <x v="0"/>
    <n v="0.1212"/>
    <n v="0.26"/>
    <n v="44.78"/>
    <x v="2"/>
    <n v="4"/>
    <n v="61"/>
    <n v="65"/>
    <m/>
    <x v="2"/>
  </r>
  <r>
    <n v="472"/>
    <x v="20"/>
    <x v="16"/>
    <b v="0"/>
    <n v="5"/>
    <n v="1"/>
    <x v="0"/>
    <n v="16"/>
    <x v="0"/>
    <n v="0.13639999999999999"/>
    <n v="0.26"/>
    <n v="35.82"/>
    <x v="2"/>
    <n v="0"/>
    <n v="97"/>
    <n v="97"/>
    <m/>
    <x v="2"/>
  </r>
  <r>
    <n v="473"/>
    <x v="20"/>
    <x v="17"/>
    <b v="0"/>
    <n v="5"/>
    <n v="1"/>
    <x v="0"/>
    <n v="14.000000000000002"/>
    <x v="0"/>
    <n v="0.1212"/>
    <n v="0.28000000000000003"/>
    <n v="35.82"/>
    <x v="2"/>
    <n v="10"/>
    <n v="151"/>
    <n v="161"/>
    <m/>
    <x v="2"/>
  </r>
  <r>
    <n v="474"/>
    <x v="20"/>
    <x v="18"/>
    <b v="0"/>
    <n v="5"/>
    <n v="1"/>
    <x v="0"/>
    <n v="12"/>
    <x v="0"/>
    <n v="0.1212"/>
    <n v="0.3"/>
    <n v="25.369999999999997"/>
    <x v="0"/>
    <n v="1"/>
    <n v="119"/>
    <n v="120"/>
    <m/>
    <x v="2"/>
  </r>
  <r>
    <n v="475"/>
    <x v="20"/>
    <x v="19"/>
    <b v="0"/>
    <n v="5"/>
    <n v="1"/>
    <x v="0"/>
    <n v="12"/>
    <x v="0"/>
    <n v="0.1061"/>
    <n v="0.3"/>
    <n v="32.840000000000003"/>
    <x v="2"/>
    <n v="3"/>
    <n v="93"/>
    <n v="96"/>
    <m/>
    <x v="2"/>
  </r>
  <r>
    <n v="476"/>
    <x v="20"/>
    <x v="20"/>
    <b v="0"/>
    <n v="5"/>
    <n v="1"/>
    <x v="0"/>
    <n v="10"/>
    <x v="2"/>
    <n v="7.5800000000000006E-2"/>
    <n v="0.33"/>
    <n v="41.79"/>
    <x v="2"/>
    <n v="1"/>
    <n v="52"/>
    <n v="53"/>
    <m/>
    <x v="2"/>
  </r>
  <r>
    <n v="477"/>
    <x v="20"/>
    <x v="21"/>
    <b v="0"/>
    <n v="5"/>
    <n v="1"/>
    <x v="0"/>
    <n v="8"/>
    <x v="2"/>
    <n v="7.5800000000000006E-2"/>
    <n v="0.38"/>
    <n v="28.360000000000003"/>
    <x v="0"/>
    <n v="0"/>
    <n v="41"/>
    <n v="41"/>
    <m/>
    <x v="2"/>
  </r>
  <r>
    <n v="478"/>
    <x v="20"/>
    <x v="22"/>
    <b v="0"/>
    <n v="5"/>
    <n v="1"/>
    <x v="0"/>
    <n v="6"/>
    <x v="2"/>
    <n v="3.0300000000000001E-2"/>
    <n v="0.41"/>
    <n v="38.81"/>
    <x v="2"/>
    <n v="1"/>
    <n v="33"/>
    <n v="34"/>
    <m/>
    <x v="2"/>
  </r>
  <r>
    <n v="479"/>
    <x v="20"/>
    <x v="23"/>
    <b v="0"/>
    <n v="5"/>
    <n v="1"/>
    <x v="0"/>
    <n v="6"/>
    <x v="2"/>
    <n v="4.5499999999999999E-2"/>
    <n v="0.38"/>
    <n v="32.840000000000003"/>
    <x v="2"/>
    <n v="0"/>
    <n v="27"/>
    <n v="27"/>
    <m/>
    <x v="2"/>
  </r>
  <r>
    <n v="480"/>
    <x v="21"/>
    <x v="0"/>
    <b v="0"/>
    <n v="6"/>
    <n v="1"/>
    <x v="0"/>
    <n v="4"/>
    <x v="2"/>
    <n v="3.0300000000000001E-2"/>
    <n v="0.45"/>
    <n v="25.369999999999997"/>
    <x v="0"/>
    <n v="0"/>
    <n v="13"/>
    <n v="13"/>
    <m/>
    <x v="3"/>
  </r>
  <r>
    <n v="481"/>
    <x v="21"/>
    <x v="1"/>
    <b v="0"/>
    <n v="6"/>
    <n v="2"/>
    <x v="1"/>
    <n v="4"/>
    <x v="2"/>
    <n v="0"/>
    <n v="0.41"/>
    <n v="38.81"/>
    <x v="2"/>
    <n v="3"/>
    <n v="9"/>
    <n v="12"/>
    <m/>
    <x v="3"/>
  </r>
  <r>
    <n v="482"/>
    <x v="21"/>
    <x v="2"/>
    <b v="0"/>
    <n v="6"/>
    <n v="2"/>
    <x v="1"/>
    <n v="4"/>
    <x v="2"/>
    <n v="3.0300000000000001E-2"/>
    <n v="0.41"/>
    <n v="25.369999999999997"/>
    <x v="0"/>
    <n v="0"/>
    <n v="11"/>
    <n v="11"/>
    <m/>
    <x v="3"/>
  </r>
  <r>
    <n v="483"/>
    <x v="21"/>
    <x v="3"/>
    <b v="0"/>
    <n v="6"/>
    <n v="2"/>
    <x v="1"/>
    <n v="4"/>
    <x v="2"/>
    <n v="3.0300000000000001E-2"/>
    <n v="0.41"/>
    <n v="28.360000000000003"/>
    <x v="0"/>
    <n v="1"/>
    <n v="6"/>
    <n v="7"/>
    <m/>
    <x v="3"/>
  </r>
  <r>
    <n v="484"/>
    <x v="21"/>
    <x v="4"/>
    <b v="0"/>
    <n v="6"/>
    <n v="2"/>
    <x v="1"/>
    <n v="2"/>
    <x v="2"/>
    <n v="1.52E-2"/>
    <n v="0.48"/>
    <n v="29.849999999999998"/>
    <x v="0"/>
    <n v="0"/>
    <n v="3"/>
    <n v="3"/>
    <m/>
    <x v="3"/>
  </r>
  <r>
    <n v="485"/>
    <x v="21"/>
    <x v="6"/>
    <b v="0"/>
    <n v="6"/>
    <n v="2"/>
    <x v="1"/>
    <n v="2"/>
    <x v="2"/>
    <n v="3.0300000000000001E-2"/>
    <n v="0.44"/>
    <n v="22.39"/>
    <x v="0"/>
    <n v="0"/>
    <n v="2"/>
    <n v="2"/>
    <m/>
    <x v="3"/>
  </r>
  <r>
    <n v="486"/>
    <x v="21"/>
    <x v="7"/>
    <b v="0"/>
    <n v="6"/>
    <n v="1"/>
    <x v="0"/>
    <n v="2"/>
    <x v="2"/>
    <n v="1.52E-2"/>
    <n v="0.44"/>
    <n v="28.360000000000003"/>
    <x v="0"/>
    <n v="0"/>
    <n v="8"/>
    <n v="8"/>
    <m/>
    <x v="3"/>
  </r>
  <r>
    <n v="487"/>
    <x v="21"/>
    <x v="8"/>
    <b v="0"/>
    <n v="6"/>
    <n v="1"/>
    <x v="0"/>
    <n v="2"/>
    <x v="2"/>
    <n v="0"/>
    <n v="0.44"/>
    <n v="32.840000000000003"/>
    <x v="2"/>
    <n v="1"/>
    <n v="26"/>
    <n v="27"/>
    <m/>
    <x v="3"/>
  </r>
  <r>
    <n v="488"/>
    <x v="21"/>
    <x v="9"/>
    <b v="0"/>
    <n v="6"/>
    <n v="1"/>
    <x v="0"/>
    <n v="4"/>
    <x v="2"/>
    <n v="3.0300000000000001E-2"/>
    <n v="0.41"/>
    <n v="25.369999999999997"/>
    <x v="0"/>
    <n v="3"/>
    <n v="37"/>
    <n v="40"/>
    <m/>
    <x v="3"/>
  </r>
  <r>
    <n v="489"/>
    <x v="21"/>
    <x v="10"/>
    <b v="0"/>
    <n v="6"/>
    <n v="2"/>
    <x v="1"/>
    <n v="4"/>
    <x v="2"/>
    <n v="6.0600000000000001E-2"/>
    <n v="0.41"/>
    <n v="16.420000000000002"/>
    <x v="1"/>
    <n v="3"/>
    <n v="50"/>
    <n v="53"/>
    <m/>
    <x v="3"/>
  </r>
  <r>
    <n v="490"/>
    <x v="21"/>
    <x v="11"/>
    <b v="0"/>
    <n v="6"/>
    <n v="2"/>
    <x v="1"/>
    <n v="6"/>
    <x v="2"/>
    <n v="7.5800000000000006E-2"/>
    <n v="0.38"/>
    <n v="13.43"/>
    <x v="1"/>
    <n v="4"/>
    <n v="59"/>
    <n v="63"/>
    <m/>
    <x v="3"/>
  </r>
  <r>
    <n v="491"/>
    <x v="21"/>
    <x v="12"/>
    <b v="0"/>
    <n v="6"/>
    <n v="2"/>
    <x v="1"/>
    <n v="6"/>
    <x v="2"/>
    <n v="0.1061"/>
    <n v="0.38"/>
    <n v="10.45"/>
    <x v="1"/>
    <n v="10"/>
    <n v="60"/>
    <n v="70"/>
    <m/>
    <x v="3"/>
  </r>
  <r>
    <n v="492"/>
    <x v="21"/>
    <x v="13"/>
    <b v="0"/>
    <n v="6"/>
    <n v="1"/>
    <x v="0"/>
    <n v="8"/>
    <x v="2"/>
    <n v="0.16669999999999999"/>
    <n v="0.35"/>
    <n v="20.485098360655737"/>
    <x v="0"/>
    <n v="12"/>
    <n v="72"/>
    <n v="84"/>
    <m/>
    <x v="3"/>
  </r>
  <r>
    <n v="493"/>
    <x v="21"/>
    <x v="14"/>
    <b v="0"/>
    <n v="6"/>
    <n v="1"/>
    <x v="0"/>
    <n v="10"/>
    <x v="2"/>
    <n v="0.13639999999999999"/>
    <n v="0.33"/>
    <n v="10.45"/>
    <x v="1"/>
    <n v="11"/>
    <n v="64"/>
    <n v="75"/>
    <m/>
    <x v="3"/>
  </r>
  <r>
    <n v="494"/>
    <x v="21"/>
    <x v="15"/>
    <b v="0"/>
    <n v="6"/>
    <n v="1"/>
    <x v="0"/>
    <n v="12"/>
    <x v="0"/>
    <n v="0.1515"/>
    <n v="0.28000000000000003"/>
    <n v="20.485098360655737"/>
    <x v="0"/>
    <n v="10"/>
    <n v="93"/>
    <n v="103"/>
    <m/>
    <x v="3"/>
  </r>
  <r>
    <n v="495"/>
    <x v="21"/>
    <x v="16"/>
    <b v="0"/>
    <n v="6"/>
    <n v="1"/>
    <x v="0"/>
    <n v="12"/>
    <x v="0"/>
    <n v="0.13639999999999999"/>
    <n v="0.28000000000000003"/>
    <n v="19.400000000000002"/>
    <x v="1"/>
    <n v="11"/>
    <n v="72"/>
    <n v="83"/>
    <m/>
    <x v="3"/>
  </r>
  <r>
    <n v="496"/>
    <x v="21"/>
    <x v="17"/>
    <b v="0"/>
    <n v="6"/>
    <n v="1"/>
    <x v="0"/>
    <n v="12"/>
    <x v="0"/>
    <n v="0.19700000000000001"/>
    <n v="0.28000000000000003"/>
    <n v="20.485098360655737"/>
    <x v="0"/>
    <n v="8"/>
    <n v="59"/>
    <n v="67"/>
    <m/>
    <x v="3"/>
  </r>
  <r>
    <n v="497"/>
    <x v="21"/>
    <x v="18"/>
    <b v="0"/>
    <n v="6"/>
    <n v="1"/>
    <x v="0"/>
    <n v="8"/>
    <x v="2"/>
    <n v="9.0899999999999995E-2"/>
    <n v="0.35"/>
    <n v="19.400000000000002"/>
    <x v="1"/>
    <n v="0"/>
    <n v="54"/>
    <n v="54"/>
    <m/>
    <x v="3"/>
  </r>
  <r>
    <n v="498"/>
    <x v="21"/>
    <x v="19"/>
    <b v="0"/>
    <n v="6"/>
    <n v="1"/>
    <x v="0"/>
    <n v="8"/>
    <x v="2"/>
    <n v="0.1061"/>
    <n v="0.35"/>
    <n v="13.43"/>
    <x v="1"/>
    <n v="6"/>
    <n v="53"/>
    <n v="59"/>
    <m/>
    <x v="3"/>
  </r>
  <r>
    <n v="499"/>
    <x v="21"/>
    <x v="20"/>
    <b v="0"/>
    <n v="6"/>
    <n v="1"/>
    <x v="0"/>
    <n v="6"/>
    <x v="2"/>
    <n v="7.5800000000000006E-2"/>
    <n v="0.45"/>
    <n v="16.420000000000002"/>
    <x v="1"/>
    <n v="1"/>
    <n v="44"/>
    <n v="45"/>
    <m/>
    <x v="3"/>
  </r>
  <r>
    <n v="500"/>
    <x v="21"/>
    <x v="21"/>
    <b v="0"/>
    <n v="6"/>
    <n v="1"/>
    <x v="0"/>
    <n v="6"/>
    <x v="2"/>
    <n v="0.1061"/>
    <n v="0.41"/>
    <n v="8.9599999999999991"/>
    <x v="1"/>
    <n v="0"/>
    <n v="39"/>
    <n v="39"/>
    <m/>
    <x v="3"/>
  </r>
  <r>
    <n v="501"/>
    <x v="21"/>
    <x v="22"/>
    <b v="0"/>
    <n v="6"/>
    <n v="1"/>
    <x v="0"/>
    <n v="6"/>
    <x v="2"/>
    <n v="0.1515"/>
    <n v="0.49"/>
    <n v="20.485098360655737"/>
    <x v="0"/>
    <n v="7"/>
    <n v="23"/>
    <n v="30"/>
    <m/>
    <x v="3"/>
  </r>
  <r>
    <n v="502"/>
    <x v="21"/>
    <x v="23"/>
    <b v="0"/>
    <n v="6"/>
    <n v="1"/>
    <x v="0"/>
    <n v="4"/>
    <x v="2"/>
    <n v="7.5800000000000006E-2"/>
    <n v="0.56999999999999995"/>
    <n v="10.45"/>
    <x v="1"/>
    <n v="2"/>
    <n v="31"/>
    <n v="33"/>
    <m/>
    <x v="3"/>
  </r>
  <r>
    <n v="503"/>
    <x v="22"/>
    <x v="0"/>
    <b v="0"/>
    <n v="7"/>
    <n v="1"/>
    <x v="0"/>
    <n v="4"/>
    <x v="2"/>
    <n v="7.5800000000000006E-2"/>
    <n v="0.56999999999999995"/>
    <n v="10.45"/>
    <x v="1"/>
    <n v="2"/>
    <n v="20"/>
    <n v="22"/>
    <m/>
    <x v="3"/>
  </r>
  <r>
    <n v="504"/>
    <x v="22"/>
    <x v="1"/>
    <b v="0"/>
    <n v="7"/>
    <n v="1"/>
    <x v="0"/>
    <n v="4"/>
    <x v="2"/>
    <n v="7.5800000000000006E-2"/>
    <n v="0.56999999999999995"/>
    <n v="10.45"/>
    <x v="1"/>
    <n v="1"/>
    <n v="12"/>
    <n v="13"/>
    <m/>
    <x v="3"/>
  </r>
  <r>
    <n v="505"/>
    <x v="22"/>
    <x v="2"/>
    <b v="0"/>
    <n v="7"/>
    <n v="1"/>
    <x v="0"/>
    <n v="2"/>
    <x v="2"/>
    <n v="6.0600000000000001E-2"/>
    <n v="0.62"/>
    <n v="13.43"/>
    <x v="1"/>
    <n v="3"/>
    <n v="15"/>
    <n v="18"/>
    <m/>
    <x v="3"/>
  </r>
  <r>
    <n v="506"/>
    <x v="22"/>
    <x v="3"/>
    <b v="0"/>
    <n v="7"/>
    <n v="1"/>
    <x v="0"/>
    <n v="2"/>
    <x v="2"/>
    <n v="6.0600000000000001E-2"/>
    <n v="0.62"/>
    <n v="13.43"/>
    <x v="1"/>
    <n v="1"/>
    <n v="4"/>
    <n v="5"/>
    <m/>
    <x v="3"/>
  </r>
  <r>
    <n v="507"/>
    <x v="22"/>
    <x v="5"/>
    <b v="0"/>
    <n v="7"/>
    <n v="2"/>
    <x v="1"/>
    <n v="4"/>
    <x v="2"/>
    <n v="7.5800000000000006E-2"/>
    <n v="0.56999999999999995"/>
    <n v="10.45"/>
    <x v="1"/>
    <n v="0"/>
    <n v="3"/>
    <n v="3"/>
    <m/>
    <x v="3"/>
  </r>
  <r>
    <n v="508"/>
    <x v="22"/>
    <x v="6"/>
    <b v="0"/>
    <n v="7"/>
    <n v="2"/>
    <x v="1"/>
    <n v="4"/>
    <x v="2"/>
    <n v="7.5800000000000006E-2"/>
    <n v="0.56999999999999995"/>
    <n v="10.45"/>
    <x v="1"/>
    <n v="0"/>
    <n v="1"/>
    <n v="1"/>
    <m/>
    <x v="3"/>
  </r>
  <r>
    <n v="509"/>
    <x v="22"/>
    <x v="7"/>
    <b v="0"/>
    <n v="7"/>
    <n v="1"/>
    <x v="0"/>
    <n v="8"/>
    <x v="2"/>
    <n v="0.1061"/>
    <n v="0.57999999999999996"/>
    <n v="16.420000000000002"/>
    <x v="1"/>
    <n v="1"/>
    <n v="1"/>
    <n v="2"/>
    <m/>
    <x v="3"/>
  </r>
  <r>
    <n v="510"/>
    <x v="22"/>
    <x v="8"/>
    <b v="0"/>
    <n v="7"/>
    <n v="1"/>
    <x v="0"/>
    <n v="6"/>
    <x v="2"/>
    <n v="7.5800000000000006E-2"/>
    <n v="0.62"/>
    <n v="16.420000000000002"/>
    <x v="1"/>
    <n v="2"/>
    <n v="17"/>
    <n v="19"/>
    <m/>
    <x v="3"/>
  </r>
  <r>
    <n v="511"/>
    <x v="22"/>
    <x v="9"/>
    <b v="0"/>
    <n v="7"/>
    <n v="1"/>
    <x v="0"/>
    <n v="10"/>
    <x v="2"/>
    <n v="7.5800000000000006E-2"/>
    <n v="0.54"/>
    <n v="35.82"/>
    <x v="2"/>
    <n v="3"/>
    <n v="25"/>
    <n v="28"/>
    <m/>
    <x v="3"/>
  </r>
  <r>
    <n v="512"/>
    <x v="22"/>
    <x v="10"/>
    <b v="0"/>
    <n v="7"/>
    <n v="1"/>
    <x v="0"/>
    <n v="14.000000000000002"/>
    <x v="0"/>
    <n v="0.1061"/>
    <n v="0.46"/>
    <n v="38.81"/>
    <x v="2"/>
    <n v="7"/>
    <n v="51"/>
    <n v="58"/>
    <m/>
    <x v="3"/>
  </r>
  <r>
    <n v="513"/>
    <x v="22"/>
    <x v="11"/>
    <b v="0"/>
    <n v="7"/>
    <n v="1"/>
    <x v="0"/>
    <n v="14.000000000000002"/>
    <x v="0"/>
    <n v="0.13639999999999999"/>
    <n v="0.43"/>
    <n v="22.39"/>
    <x v="0"/>
    <n v="22"/>
    <n v="77"/>
    <n v="99"/>
    <m/>
    <x v="3"/>
  </r>
  <r>
    <n v="514"/>
    <x v="22"/>
    <x v="12"/>
    <b v="0"/>
    <n v="7"/>
    <n v="1"/>
    <x v="0"/>
    <n v="16"/>
    <x v="0"/>
    <n v="0.1212"/>
    <n v="0.37"/>
    <n v="46.27"/>
    <x v="2"/>
    <n v="24"/>
    <n v="92"/>
    <n v="116"/>
    <m/>
    <x v="3"/>
  </r>
  <r>
    <n v="515"/>
    <x v="22"/>
    <x v="13"/>
    <b v="0"/>
    <n v="7"/>
    <n v="1"/>
    <x v="0"/>
    <n v="14.000000000000002"/>
    <x v="0"/>
    <n v="0.1061"/>
    <n v="0.33"/>
    <n v="38.81"/>
    <x v="2"/>
    <n v="12"/>
    <n v="75"/>
    <n v="87"/>
    <m/>
    <x v="3"/>
  </r>
  <r>
    <n v="516"/>
    <x v="22"/>
    <x v="14"/>
    <b v="0"/>
    <n v="7"/>
    <n v="1"/>
    <x v="0"/>
    <n v="16"/>
    <x v="0"/>
    <n v="0.13639999999999999"/>
    <n v="0.28000000000000003"/>
    <n v="35.82"/>
    <x v="2"/>
    <n v="17"/>
    <n v="93"/>
    <n v="110"/>
    <m/>
    <x v="3"/>
  </r>
  <r>
    <n v="517"/>
    <x v="22"/>
    <x v="15"/>
    <b v="0"/>
    <n v="7"/>
    <n v="1"/>
    <x v="0"/>
    <n v="16"/>
    <x v="0"/>
    <n v="0.13639999999999999"/>
    <n v="0.28000000000000003"/>
    <n v="35.82"/>
    <x v="2"/>
    <n v="13"/>
    <n v="64"/>
    <n v="77"/>
    <m/>
    <x v="3"/>
  </r>
  <r>
    <n v="518"/>
    <x v="22"/>
    <x v="16"/>
    <b v="0"/>
    <n v="7"/>
    <n v="1"/>
    <x v="0"/>
    <n v="16"/>
    <x v="0"/>
    <n v="0.13639999999999999"/>
    <n v="0.26"/>
    <n v="32.840000000000003"/>
    <x v="2"/>
    <n v="9"/>
    <n v="56"/>
    <n v="65"/>
    <m/>
    <x v="3"/>
  </r>
  <r>
    <n v="519"/>
    <x v="22"/>
    <x v="17"/>
    <b v="0"/>
    <n v="7"/>
    <n v="1"/>
    <x v="0"/>
    <n v="14.000000000000002"/>
    <x v="0"/>
    <n v="0.1061"/>
    <n v="0.26"/>
    <n v="38.81"/>
    <x v="2"/>
    <n v="5"/>
    <n v="50"/>
    <n v="55"/>
    <m/>
    <x v="3"/>
  </r>
  <r>
    <n v="520"/>
    <x v="22"/>
    <x v="18"/>
    <b v="0"/>
    <n v="7"/>
    <n v="1"/>
    <x v="0"/>
    <n v="12"/>
    <x v="0"/>
    <n v="0.1212"/>
    <n v="0.3"/>
    <n v="25.369999999999997"/>
    <x v="0"/>
    <n v="5"/>
    <n v="44"/>
    <n v="49"/>
    <m/>
    <x v="3"/>
  </r>
  <r>
    <n v="521"/>
    <x v="22"/>
    <x v="19"/>
    <b v="0"/>
    <n v="7"/>
    <n v="1"/>
    <x v="0"/>
    <n v="12"/>
    <x v="0"/>
    <n v="0.1212"/>
    <n v="0.3"/>
    <n v="28.360000000000003"/>
    <x v="0"/>
    <n v="5"/>
    <n v="45"/>
    <n v="50"/>
    <m/>
    <x v="3"/>
  </r>
  <r>
    <n v="522"/>
    <x v="22"/>
    <x v="20"/>
    <b v="0"/>
    <n v="7"/>
    <n v="1"/>
    <x v="0"/>
    <n v="10"/>
    <x v="2"/>
    <n v="0.1061"/>
    <n v="0.36"/>
    <n v="25.369999999999997"/>
    <x v="0"/>
    <n v="4"/>
    <n v="31"/>
    <n v="35"/>
    <m/>
    <x v="3"/>
  </r>
  <r>
    <n v="523"/>
    <x v="22"/>
    <x v="21"/>
    <b v="0"/>
    <n v="7"/>
    <n v="1"/>
    <x v="0"/>
    <n v="10"/>
    <x v="2"/>
    <n v="0.1061"/>
    <n v="0.36"/>
    <n v="19.400000000000002"/>
    <x v="1"/>
    <n v="5"/>
    <n v="20"/>
    <n v="25"/>
    <m/>
    <x v="3"/>
  </r>
  <r>
    <n v="524"/>
    <x v="22"/>
    <x v="22"/>
    <b v="0"/>
    <n v="7"/>
    <n v="1"/>
    <x v="0"/>
    <n v="8"/>
    <x v="2"/>
    <n v="9.0899999999999995E-2"/>
    <n v="0.38"/>
    <n v="19.400000000000002"/>
    <x v="1"/>
    <n v="5"/>
    <n v="23"/>
    <n v="28"/>
    <m/>
    <x v="3"/>
  </r>
  <r>
    <n v="525"/>
    <x v="22"/>
    <x v="23"/>
    <b v="0"/>
    <n v="7"/>
    <n v="1"/>
    <x v="0"/>
    <n v="6"/>
    <x v="2"/>
    <n v="6.0600000000000001E-2"/>
    <n v="0.41"/>
    <n v="22.39"/>
    <x v="0"/>
    <n v="4"/>
    <n v="17"/>
    <n v="21"/>
    <m/>
    <x v="3"/>
  </r>
  <r>
    <n v="526"/>
    <x v="23"/>
    <x v="0"/>
    <b v="0"/>
    <n v="1"/>
    <n v="1"/>
    <x v="0"/>
    <n v="6"/>
    <x v="2"/>
    <n v="6.0600000000000001E-2"/>
    <n v="0.41"/>
    <n v="19.400000000000002"/>
    <x v="1"/>
    <n v="0"/>
    <n v="7"/>
    <n v="7"/>
    <m/>
    <x v="3"/>
  </r>
  <r>
    <n v="527"/>
    <x v="23"/>
    <x v="1"/>
    <b v="0"/>
    <n v="1"/>
    <n v="1"/>
    <x v="0"/>
    <n v="4"/>
    <x v="2"/>
    <n v="4.5499999999999999E-2"/>
    <n v="0.45"/>
    <n v="19.400000000000002"/>
    <x v="1"/>
    <n v="0"/>
    <n v="1"/>
    <n v="1"/>
    <m/>
    <x v="3"/>
  </r>
  <r>
    <n v="528"/>
    <x v="23"/>
    <x v="3"/>
    <b v="0"/>
    <n v="1"/>
    <n v="1"/>
    <x v="0"/>
    <n v="4"/>
    <x v="2"/>
    <n v="3.0300000000000001E-2"/>
    <n v="0.45"/>
    <n v="25.369999999999997"/>
    <x v="0"/>
    <n v="0"/>
    <n v="1"/>
    <n v="1"/>
    <m/>
    <x v="3"/>
  </r>
  <r>
    <n v="529"/>
    <x v="23"/>
    <x v="4"/>
    <b v="0"/>
    <n v="1"/>
    <n v="1"/>
    <x v="0"/>
    <n v="2"/>
    <x v="2"/>
    <n v="6.0600000000000001E-2"/>
    <n v="0.48"/>
    <n v="13.43"/>
    <x v="1"/>
    <n v="0"/>
    <n v="1"/>
    <n v="1"/>
    <m/>
    <x v="3"/>
  </r>
  <r>
    <n v="530"/>
    <x v="23"/>
    <x v="5"/>
    <b v="0"/>
    <n v="1"/>
    <n v="1"/>
    <x v="0"/>
    <n v="2"/>
    <x v="2"/>
    <n v="6.0600000000000001E-2"/>
    <n v="0.48"/>
    <n v="13.43"/>
    <x v="1"/>
    <n v="0"/>
    <n v="5"/>
    <n v="5"/>
    <m/>
    <x v="3"/>
  </r>
  <r>
    <n v="531"/>
    <x v="23"/>
    <x v="6"/>
    <b v="0"/>
    <n v="1"/>
    <n v="1"/>
    <x v="0"/>
    <n v="2"/>
    <x v="2"/>
    <n v="7.5800000000000006E-2"/>
    <n v="0.48"/>
    <n v="8.9599999999999991"/>
    <x v="1"/>
    <n v="0"/>
    <n v="15"/>
    <n v="15"/>
    <m/>
    <x v="3"/>
  </r>
  <r>
    <n v="532"/>
    <x v="23"/>
    <x v="7"/>
    <b v="0"/>
    <n v="1"/>
    <n v="1"/>
    <x v="0"/>
    <n v="2"/>
    <x v="2"/>
    <n v="0.1212"/>
    <n v="0.48"/>
    <n v="20.485098360655737"/>
    <x v="0"/>
    <n v="5"/>
    <n v="79"/>
    <n v="84"/>
    <m/>
    <x v="3"/>
  </r>
  <r>
    <n v="533"/>
    <x v="23"/>
    <x v="8"/>
    <b v="0"/>
    <n v="1"/>
    <n v="1"/>
    <x v="0"/>
    <n v="4"/>
    <x v="2"/>
    <n v="0.13639999999999999"/>
    <n v="0.49"/>
    <n v="20.485098360655737"/>
    <x v="0"/>
    <n v="6"/>
    <n v="171"/>
    <n v="177"/>
    <m/>
    <x v="3"/>
  </r>
  <r>
    <n v="534"/>
    <x v="23"/>
    <x v="9"/>
    <b v="0"/>
    <n v="1"/>
    <n v="1"/>
    <x v="0"/>
    <n v="6"/>
    <x v="2"/>
    <n v="0.1515"/>
    <n v="0.41"/>
    <n v="20.485098360655737"/>
    <x v="0"/>
    <n v="4"/>
    <n v="98"/>
    <n v="102"/>
    <m/>
    <x v="3"/>
  </r>
  <r>
    <n v="535"/>
    <x v="23"/>
    <x v="10"/>
    <b v="0"/>
    <n v="1"/>
    <n v="1"/>
    <x v="0"/>
    <n v="10"/>
    <x v="2"/>
    <n v="0.13639999999999999"/>
    <n v="0.42"/>
    <n v="20.485098360655737"/>
    <x v="0"/>
    <n v="6"/>
    <n v="34"/>
    <n v="40"/>
    <m/>
    <x v="3"/>
  </r>
  <r>
    <n v="536"/>
    <x v="23"/>
    <x v="11"/>
    <b v="0"/>
    <n v="1"/>
    <n v="1"/>
    <x v="0"/>
    <n v="10"/>
    <x v="2"/>
    <n v="0.1212"/>
    <n v="0.46"/>
    <n v="13.43"/>
    <x v="1"/>
    <n v="3"/>
    <n v="43"/>
    <n v="46"/>
    <m/>
    <x v="3"/>
  </r>
  <r>
    <n v="537"/>
    <x v="23"/>
    <x v="12"/>
    <b v="0"/>
    <n v="1"/>
    <n v="2"/>
    <x v="1"/>
    <n v="12"/>
    <x v="0"/>
    <n v="0.13639999999999999"/>
    <n v="0.42"/>
    <n v="19.400000000000002"/>
    <x v="1"/>
    <n v="11"/>
    <n v="52"/>
    <n v="63"/>
    <m/>
    <x v="3"/>
  </r>
  <r>
    <n v="538"/>
    <x v="23"/>
    <x v="13"/>
    <b v="0"/>
    <n v="1"/>
    <n v="2"/>
    <x v="1"/>
    <n v="14.000000000000002"/>
    <x v="0"/>
    <n v="0.13639999999999999"/>
    <n v="0.43"/>
    <n v="22.39"/>
    <x v="0"/>
    <n v="6"/>
    <n v="54"/>
    <n v="60"/>
    <m/>
    <x v="3"/>
  </r>
  <r>
    <n v="539"/>
    <x v="23"/>
    <x v="14"/>
    <b v="0"/>
    <n v="1"/>
    <n v="2"/>
    <x v="1"/>
    <n v="14.000000000000002"/>
    <x v="0"/>
    <n v="0.13639999999999999"/>
    <n v="0.46"/>
    <n v="22.39"/>
    <x v="0"/>
    <n v="2"/>
    <n v="43"/>
    <n v="45"/>
    <m/>
    <x v="3"/>
  </r>
  <r>
    <n v="540"/>
    <x v="23"/>
    <x v="15"/>
    <b v="0"/>
    <n v="1"/>
    <n v="1"/>
    <x v="0"/>
    <n v="16"/>
    <x v="0"/>
    <n v="0.16669999999999999"/>
    <n v="0.4"/>
    <n v="16.420000000000002"/>
    <x v="1"/>
    <n v="7"/>
    <n v="50"/>
    <n v="57"/>
    <m/>
    <x v="3"/>
  </r>
  <r>
    <n v="541"/>
    <x v="23"/>
    <x v="16"/>
    <b v="0"/>
    <n v="1"/>
    <n v="1"/>
    <x v="0"/>
    <n v="16"/>
    <x v="0"/>
    <n v="0.1515"/>
    <n v="0.47"/>
    <n v="25.369999999999997"/>
    <x v="0"/>
    <n v="4"/>
    <n v="66"/>
    <n v="70"/>
    <m/>
    <x v="3"/>
  </r>
  <r>
    <n v="542"/>
    <x v="23"/>
    <x v="17"/>
    <b v="0"/>
    <n v="1"/>
    <n v="1"/>
    <x v="0"/>
    <n v="14.000000000000002"/>
    <x v="0"/>
    <n v="0.1212"/>
    <n v="0.5"/>
    <n v="25.369999999999997"/>
    <x v="0"/>
    <n v="6"/>
    <n v="178"/>
    <n v="184"/>
    <m/>
    <x v="3"/>
  </r>
  <r>
    <n v="543"/>
    <x v="23"/>
    <x v="18"/>
    <b v="0"/>
    <n v="1"/>
    <n v="1"/>
    <x v="0"/>
    <n v="14.000000000000002"/>
    <x v="0"/>
    <n v="0.13639999999999999"/>
    <n v="0.59"/>
    <n v="19.400000000000002"/>
    <x v="1"/>
    <n v="8"/>
    <n v="145"/>
    <n v="153"/>
    <m/>
    <x v="3"/>
  </r>
  <r>
    <n v="544"/>
    <x v="23"/>
    <x v="19"/>
    <b v="0"/>
    <n v="1"/>
    <n v="1"/>
    <x v="0"/>
    <n v="14.000000000000002"/>
    <x v="0"/>
    <n v="0.1515"/>
    <n v="0.54"/>
    <n v="16.420000000000002"/>
    <x v="1"/>
    <n v="5"/>
    <n v="101"/>
    <n v="106"/>
    <m/>
    <x v="3"/>
  </r>
  <r>
    <n v="545"/>
    <x v="23"/>
    <x v="20"/>
    <b v="0"/>
    <n v="1"/>
    <n v="1"/>
    <x v="0"/>
    <n v="14.000000000000002"/>
    <x v="0"/>
    <n v="0.13639999999999999"/>
    <n v="0.59"/>
    <n v="19.400000000000002"/>
    <x v="1"/>
    <n v="1"/>
    <n v="80"/>
    <n v="81"/>
    <m/>
    <x v="3"/>
  </r>
  <r>
    <n v="546"/>
    <x v="23"/>
    <x v="21"/>
    <b v="0"/>
    <n v="1"/>
    <n v="1"/>
    <x v="0"/>
    <n v="14.000000000000002"/>
    <x v="0"/>
    <n v="0.1515"/>
    <n v="0.63"/>
    <n v="16.420000000000002"/>
    <x v="1"/>
    <n v="6"/>
    <n v="53"/>
    <n v="59"/>
    <m/>
    <x v="3"/>
  </r>
  <r>
    <n v="547"/>
    <x v="23"/>
    <x v="22"/>
    <b v="0"/>
    <n v="1"/>
    <n v="2"/>
    <x v="1"/>
    <n v="14.000000000000002"/>
    <x v="0"/>
    <n v="0.13639999999999999"/>
    <n v="0.63"/>
    <n v="22.39"/>
    <x v="0"/>
    <n v="3"/>
    <n v="32"/>
    <n v="35"/>
    <m/>
    <x v="3"/>
  </r>
  <r>
    <n v="548"/>
    <x v="23"/>
    <x v="23"/>
    <b v="0"/>
    <n v="1"/>
    <n v="2"/>
    <x v="1"/>
    <n v="16"/>
    <x v="0"/>
    <n v="0.1515"/>
    <n v="0.64"/>
    <n v="25.369999999999997"/>
    <x v="0"/>
    <n v="3"/>
    <n v="21"/>
    <n v="24"/>
    <m/>
    <x v="3"/>
  </r>
  <r>
    <n v="549"/>
    <x v="24"/>
    <x v="0"/>
    <b v="0"/>
    <n v="2"/>
    <n v="2"/>
    <x v="1"/>
    <n v="16"/>
    <x v="0"/>
    <n v="0.13639999999999999"/>
    <n v="0.69"/>
    <n v="28.360000000000003"/>
    <x v="0"/>
    <n v="3"/>
    <n v="6"/>
    <n v="9"/>
    <m/>
    <x v="3"/>
  </r>
  <r>
    <n v="550"/>
    <x v="24"/>
    <x v="1"/>
    <b v="0"/>
    <n v="2"/>
    <n v="2"/>
    <x v="1"/>
    <n v="16"/>
    <x v="0"/>
    <n v="0.16669999999999999"/>
    <n v="0.69"/>
    <n v="16.420000000000002"/>
    <x v="1"/>
    <n v="0"/>
    <n v="5"/>
    <n v="5"/>
    <m/>
    <x v="3"/>
  </r>
  <r>
    <n v="551"/>
    <x v="24"/>
    <x v="2"/>
    <b v="0"/>
    <n v="2"/>
    <n v="1"/>
    <x v="0"/>
    <n v="16"/>
    <x v="0"/>
    <n v="0.1515"/>
    <n v="0.69"/>
    <n v="22.39"/>
    <x v="0"/>
    <n v="0"/>
    <n v="2"/>
    <n v="2"/>
    <m/>
    <x v="3"/>
  </r>
  <r>
    <n v="552"/>
    <x v="24"/>
    <x v="4"/>
    <b v="0"/>
    <n v="2"/>
    <n v="1"/>
    <x v="0"/>
    <n v="14.000000000000002"/>
    <x v="0"/>
    <n v="0.16669999999999999"/>
    <n v="0.74"/>
    <n v="10.45"/>
    <x v="1"/>
    <n v="0"/>
    <n v="1"/>
    <n v="1"/>
    <m/>
    <x v="3"/>
  </r>
  <r>
    <n v="553"/>
    <x v="24"/>
    <x v="5"/>
    <b v="0"/>
    <n v="2"/>
    <n v="1"/>
    <x v="0"/>
    <n v="14.000000000000002"/>
    <x v="0"/>
    <n v="0.13639999999999999"/>
    <n v="0.74"/>
    <n v="22.39"/>
    <x v="0"/>
    <n v="0"/>
    <n v="9"/>
    <n v="9"/>
    <m/>
    <x v="3"/>
  </r>
  <r>
    <n v="554"/>
    <x v="24"/>
    <x v="6"/>
    <b v="0"/>
    <n v="2"/>
    <n v="1"/>
    <x v="0"/>
    <n v="16"/>
    <x v="0"/>
    <n v="0.18179999999999999"/>
    <n v="0.74"/>
    <n v="10.45"/>
    <x v="1"/>
    <n v="1"/>
    <n v="35"/>
    <n v="36"/>
    <m/>
    <x v="3"/>
  </r>
  <r>
    <n v="555"/>
    <x v="24"/>
    <x v="7"/>
    <b v="0"/>
    <n v="2"/>
    <n v="1"/>
    <x v="0"/>
    <n v="16"/>
    <x v="0"/>
    <n v="0.1515"/>
    <n v="0.74"/>
    <n v="22.39"/>
    <x v="0"/>
    <n v="5"/>
    <n v="103"/>
    <n v="108"/>
    <m/>
    <x v="3"/>
  </r>
  <r>
    <n v="556"/>
    <x v="24"/>
    <x v="8"/>
    <b v="0"/>
    <n v="2"/>
    <n v="2"/>
    <x v="1"/>
    <n v="16"/>
    <x v="0"/>
    <n v="0.18179999999999999"/>
    <n v="0.74"/>
    <n v="13.43"/>
    <x v="1"/>
    <n v="5"/>
    <n v="233"/>
    <n v="238"/>
    <m/>
    <x v="3"/>
  </r>
  <r>
    <n v="557"/>
    <x v="24"/>
    <x v="9"/>
    <b v="0"/>
    <n v="2"/>
    <n v="2"/>
    <x v="1"/>
    <n v="20"/>
    <x v="0"/>
    <n v="0.2273"/>
    <n v="0.64"/>
    <n v="8.9599999999999991"/>
    <x v="1"/>
    <n v="10"/>
    <n v="134"/>
    <n v="144"/>
    <m/>
    <x v="3"/>
  </r>
  <r>
    <n v="558"/>
    <x v="24"/>
    <x v="10"/>
    <b v="0"/>
    <n v="2"/>
    <n v="2"/>
    <x v="1"/>
    <n v="22"/>
    <x v="0"/>
    <n v="0.2424"/>
    <n v="0.6"/>
    <n v="10.45"/>
    <x v="1"/>
    <n v="6"/>
    <n v="49"/>
    <n v="55"/>
    <m/>
    <x v="3"/>
  </r>
  <r>
    <n v="559"/>
    <x v="24"/>
    <x v="11"/>
    <b v="0"/>
    <n v="2"/>
    <n v="2"/>
    <x v="1"/>
    <n v="24"/>
    <x v="0"/>
    <n v="0.2424"/>
    <n v="0.6"/>
    <n v="13.43"/>
    <x v="1"/>
    <n v="6"/>
    <n v="55"/>
    <n v="61"/>
    <m/>
    <x v="3"/>
  </r>
  <r>
    <n v="560"/>
    <x v="24"/>
    <x v="12"/>
    <b v="0"/>
    <n v="2"/>
    <n v="2"/>
    <x v="1"/>
    <n v="26"/>
    <x v="1"/>
    <n v="0.28789999999999999"/>
    <n v="0.56000000000000005"/>
    <n v="8.9599999999999991"/>
    <x v="1"/>
    <n v="21"/>
    <n v="85"/>
    <n v="106"/>
    <m/>
    <x v="3"/>
  </r>
  <r>
    <n v="561"/>
    <x v="24"/>
    <x v="13"/>
    <b v="0"/>
    <n v="2"/>
    <n v="2"/>
    <x v="1"/>
    <n v="26"/>
    <x v="1"/>
    <n v="0.2727"/>
    <n v="0.56000000000000005"/>
    <n v="13.43"/>
    <x v="1"/>
    <n v="21"/>
    <n v="72"/>
    <n v="93"/>
    <m/>
    <x v="3"/>
  </r>
  <r>
    <n v="562"/>
    <x v="24"/>
    <x v="14"/>
    <b v="0"/>
    <n v="2"/>
    <n v="2"/>
    <x v="1"/>
    <n v="30"/>
    <x v="1"/>
    <n v="0.33329999999999999"/>
    <n v="0.45"/>
    <n v="20.485098360655737"/>
    <x v="0"/>
    <n v="11"/>
    <n v="57"/>
    <n v="68"/>
    <m/>
    <x v="3"/>
  </r>
  <r>
    <n v="563"/>
    <x v="24"/>
    <x v="15"/>
    <b v="0"/>
    <n v="2"/>
    <n v="2"/>
    <x v="1"/>
    <n v="32"/>
    <x v="1"/>
    <n v="0.34849999999999998"/>
    <n v="0.42"/>
    <n v="20.485098360655737"/>
    <x v="0"/>
    <n v="21"/>
    <n v="63"/>
    <n v="84"/>
    <m/>
    <x v="3"/>
  </r>
  <r>
    <n v="564"/>
    <x v="24"/>
    <x v="16"/>
    <b v="0"/>
    <n v="2"/>
    <n v="2"/>
    <x v="1"/>
    <n v="32"/>
    <x v="1"/>
    <n v="0.34849999999999998"/>
    <n v="0.42"/>
    <n v="20.485098360655737"/>
    <x v="0"/>
    <n v="14"/>
    <n v="102"/>
    <n v="116"/>
    <m/>
    <x v="3"/>
  </r>
  <r>
    <n v="565"/>
    <x v="24"/>
    <x v="17"/>
    <b v="0"/>
    <n v="2"/>
    <n v="1"/>
    <x v="0"/>
    <n v="30"/>
    <x v="1"/>
    <n v="0.33329999999999999"/>
    <n v="0.45"/>
    <n v="20.485098360655737"/>
    <x v="0"/>
    <n v="14"/>
    <n v="208"/>
    <n v="222"/>
    <m/>
    <x v="3"/>
  </r>
  <r>
    <n v="566"/>
    <x v="24"/>
    <x v="18"/>
    <b v="0"/>
    <n v="2"/>
    <n v="2"/>
    <x v="1"/>
    <n v="30"/>
    <x v="1"/>
    <n v="0.31819999999999998"/>
    <n v="0.49"/>
    <n v="8.9599999999999991"/>
    <x v="1"/>
    <n v="7"/>
    <n v="218"/>
    <n v="225"/>
    <m/>
    <x v="3"/>
  </r>
  <r>
    <n v="567"/>
    <x v="24"/>
    <x v="19"/>
    <b v="0"/>
    <n v="2"/>
    <n v="2"/>
    <x v="1"/>
    <n v="26"/>
    <x v="1"/>
    <n v="0.2576"/>
    <n v="0.65"/>
    <n v="16.420000000000002"/>
    <x v="1"/>
    <n v="13"/>
    <n v="133"/>
    <n v="146"/>
    <m/>
    <x v="3"/>
  </r>
  <r>
    <n v="568"/>
    <x v="24"/>
    <x v="20"/>
    <b v="0"/>
    <n v="2"/>
    <n v="1"/>
    <x v="0"/>
    <n v="24"/>
    <x v="0"/>
    <n v="0.2273"/>
    <n v="0.65"/>
    <n v="19.400000000000002"/>
    <x v="1"/>
    <n v="16"/>
    <n v="103"/>
    <n v="119"/>
    <m/>
    <x v="3"/>
  </r>
  <r>
    <n v="569"/>
    <x v="24"/>
    <x v="21"/>
    <b v="0"/>
    <n v="2"/>
    <n v="1"/>
    <x v="0"/>
    <n v="24"/>
    <x v="0"/>
    <n v="0.2273"/>
    <n v="0.65"/>
    <n v="19.400000000000002"/>
    <x v="1"/>
    <n v="5"/>
    <n v="40"/>
    <n v="45"/>
    <m/>
    <x v="3"/>
  </r>
  <r>
    <n v="570"/>
    <x v="24"/>
    <x v="22"/>
    <b v="0"/>
    <n v="2"/>
    <n v="1"/>
    <x v="0"/>
    <n v="22"/>
    <x v="0"/>
    <n v="0.2273"/>
    <n v="0.64"/>
    <n v="16.420000000000002"/>
    <x v="1"/>
    <n v="4"/>
    <n v="49"/>
    <n v="53"/>
    <m/>
    <x v="3"/>
  </r>
  <r>
    <n v="571"/>
    <x v="24"/>
    <x v="23"/>
    <b v="0"/>
    <n v="2"/>
    <n v="2"/>
    <x v="1"/>
    <n v="22"/>
    <x v="0"/>
    <n v="0.2273"/>
    <n v="0.64"/>
    <n v="16.420000000000002"/>
    <x v="1"/>
    <n v="3"/>
    <n v="37"/>
    <n v="40"/>
    <m/>
    <x v="3"/>
  </r>
  <r>
    <n v="572"/>
    <x v="25"/>
    <x v="0"/>
    <b v="1"/>
    <n v="3"/>
    <n v="2"/>
    <x v="1"/>
    <n v="22"/>
    <x v="0"/>
    <n v="0.2273"/>
    <n v="0.69"/>
    <n v="13.43"/>
    <x v="1"/>
    <n v="3"/>
    <n v="14"/>
    <n v="17"/>
    <m/>
    <x v="3"/>
  </r>
  <r>
    <n v="573"/>
    <x v="25"/>
    <x v="1"/>
    <b v="1"/>
    <n v="3"/>
    <n v="2"/>
    <x v="1"/>
    <n v="24"/>
    <x v="0"/>
    <n v="0.2424"/>
    <n v="0.65"/>
    <n v="13.43"/>
    <x v="1"/>
    <n v="0"/>
    <n v="5"/>
    <n v="5"/>
    <m/>
    <x v="3"/>
  </r>
  <r>
    <n v="574"/>
    <x v="25"/>
    <x v="2"/>
    <b v="1"/>
    <n v="3"/>
    <n v="3"/>
    <x v="2"/>
    <n v="22"/>
    <x v="0"/>
    <n v="0.2273"/>
    <n v="0.69"/>
    <n v="19.400000000000002"/>
    <x v="1"/>
    <n v="3"/>
    <n v="7"/>
    <n v="10"/>
    <m/>
    <x v="3"/>
  </r>
  <r>
    <n v="575"/>
    <x v="25"/>
    <x v="5"/>
    <b v="1"/>
    <n v="3"/>
    <n v="3"/>
    <x v="2"/>
    <n v="20"/>
    <x v="0"/>
    <n v="0.18179999999999999"/>
    <n v="0.86"/>
    <n v="28.360000000000003"/>
    <x v="0"/>
    <n v="0"/>
    <n v="1"/>
    <n v="1"/>
    <m/>
    <x v="3"/>
  </r>
  <r>
    <n v="576"/>
    <x v="25"/>
    <x v="6"/>
    <b v="1"/>
    <n v="3"/>
    <n v="3"/>
    <x v="2"/>
    <n v="20"/>
    <x v="0"/>
    <n v="0.18179999999999999"/>
    <n v="0.86"/>
    <n v="28.360000000000003"/>
    <x v="0"/>
    <n v="0"/>
    <n v="8"/>
    <n v="8"/>
    <m/>
    <x v="3"/>
  </r>
  <r>
    <n v="577"/>
    <x v="25"/>
    <x v="7"/>
    <b v="1"/>
    <n v="3"/>
    <n v="3"/>
    <x v="2"/>
    <n v="22"/>
    <x v="0"/>
    <n v="0.21210000000000001"/>
    <n v="0.87"/>
    <n v="29.849999999999998"/>
    <x v="0"/>
    <n v="1"/>
    <n v="29"/>
    <n v="30"/>
    <m/>
    <x v="3"/>
  </r>
  <r>
    <n v="578"/>
    <x v="25"/>
    <x v="8"/>
    <b v="1"/>
    <n v="3"/>
    <n v="3"/>
    <x v="2"/>
    <n v="22"/>
    <x v="0"/>
    <n v="0.21210000000000001"/>
    <n v="0.87"/>
    <n v="29.849999999999998"/>
    <x v="0"/>
    <n v="3"/>
    <n v="69"/>
    <n v="72"/>
    <m/>
    <x v="3"/>
  </r>
  <r>
    <n v="579"/>
    <x v="25"/>
    <x v="9"/>
    <b v="1"/>
    <n v="3"/>
    <n v="3"/>
    <x v="2"/>
    <n v="22"/>
    <x v="0"/>
    <n v="0.21210000000000001"/>
    <n v="0.87"/>
    <n v="29.849999999999998"/>
    <x v="0"/>
    <n v="3"/>
    <n v="55"/>
    <n v="58"/>
    <m/>
    <x v="3"/>
  </r>
  <r>
    <n v="580"/>
    <x v="25"/>
    <x v="10"/>
    <b v="1"/>
    <n v="3"/>
    <n v="3"/>
    <x v="2"/>
    <n v="22"/>
    <x v="0"/>
    <n v="0.21210000000000001"/>
    <n v="0.93"/>
    <n v="28.360000000000003"/>
    <x v="0"/>
    <n v="2"/>
    <n v="26"/>
    <n v="28"/>
    <m/>
    <x v="3"/>
  </r>
  <r>
    <n v="581"/>
    <x v="25"/>
    <x v="11"/>
    <b v="1"/>
    <n v="3"/>
    <n v="3"/>
    <x v="2"/>
    <n v="22"/>
    <x v="0"/>
    <n v="0.19700000000000001"/>
    <n v="0.93"/>
    <n v="32.840000000000003"/>
    <x v="2"/>
    <n v="6"/>
    <n v="35"/>
    <n v="41"/>
    <m/>
    <x v="3"/>
  </r>
  <r>
    <n v="582"/>
    <x v="25"/>
    <x v="12"/>
    <b v="1"/>
    <n v="3"/>
    <n v="3"/>
    <x v="2"/>
    <n v="22"/>
    <x v="0"/>
    <n v="0.19700000000000001"/>
    <n v="0.93"/>
    <n v="32.840000000000003"/>
    <x v="2"/>
    <n v="7"/>
    <n v="41"/>
    <n v="48"/>
    <m/>
    <x v="3"/>
  </r>
  <r>
    <n v="583"/>
    <x v="25"/>
    <x v="13"/>
    <b v="1"/>
    <n v="3"/>
    <n v="3"/>
    <x v="2"/>
    <n v="22"/>
    <x v="0"/>
    <n v="0.19700000000000001"/>
    <n v="0.93"/>
    <n v="32.840000000000003"/>
    <x v="2"/>
    <n v="4"/>
    <n v="43"/>
    <n v="47"/>
    <m/>
    <x v="3"/>
  </r>
  <r>
    <n v="584"/>
    <x v="25"/>
    <x v="14"/>
    <b v="1"/>
    <n v="3"/>
    <n v="3"/>
    <x v="2"/>
    <n v="22"/>
    <x v="0"/>
    <n v="0.19700000000000001"/>
    <n v="0.93"/>
    <n v="35.82"/>
    <x v="2"/>
    <n v="0"/>
    <n v="36"/>
    <n v="36"/>
    <m/>
    <x v="3"/>
  </r>
  <r>
    <n v="585"/>
    <x v="25"/>
    <x v="15"/>
    <b v="1"/>
    <n v="3"/>
    <n v="3"/>
    <x v="2"/>
    <n v="22"/>
    <x v="0"/>
    <n v="0.18179999999999999"/>
    <n v="0.93"/>
    <n v="46.27"/>
    <x v="2"/>
    <n v="1"/>
    <n v="42"/>
    <n v="43"/>
    <m/>
    <x v="3"/>
  </r>
  <r>
    <n v="586"/>
    <x v="25"/>
    <x v="16"/>
    <b v="1"/>
    <n v="3"/>
    <n v="3"/>
    <x v="2"/>
    <n v="22"/>
    <x v="0"/>
    <n v="0.19700000000000001"/>
    <n v="0.93"/>
    <n v="32.840000000000003"/>
    <x v="2"/>
    <n v="1"/>
    <n v="35"/>
    <n v="36"/>
    <m/>
    <x v="3"/>
  </r>
  <r>
    <n v="587"/>
    <x v="25"/>
    <x v="17"/>
    <b v="1"/>
    <n v="3"/>
    <n v="3"/>
    <x v="2"/>
    <n v="20"/>
    <x v="0"/>
    <n v="0.18179999999999999"/>
    <n v="0.93"/>
    <n v="35.82"/>
    <x v="2"/>
    <n v="0"/>
    <n v="26"/>
    <n v="26"/>
    <m/>
    <x v="3"/>
  </r>
  <r>
    <n v="588"/>
    <x v="25"/>
    <x v="16"/>
    <b v="1"/>
    <n v="3"/>
    <n v="1"/>
    <x v="0"/>
    <n v="22"/>
    <x v="0"/>
    <n v="0.2273"/>
    <n v="0.55000000000000004"/>
    <n v="19.400000000000002"/>
    <x v="1"/>
    <n v="1"/>
    <n v="23"/>
    <n v="24"/>
    <m/>
    <x v="3"/>
  </r>
  <r>
    <n v="589"/>
    <x v="25"/>
    <x v="17"/>
    <b v="1"/>
    <n v="3"/>
    <n v="1"/>
    <x v="0"/>
    <n v="22"/>
    <x v="0"/>
    <n v="0.2424"/>
    <n v="0.55000000000000004"/>
    <n v="10.45"/>
    <x v="1"/>
    <n v="2"/>
    <n v="82"/>
    <n v="84"/>
    <m/>
    <x v="3"/>
  </r>
  <r>
    <n v="590"/>
    <x v="25"/>
    <x v="18"/>
    <b v="1"/>
    <n v="3"/>
    <n v="1"/>
    <x v="0"/>
    <n v="20"/>
    <x v="0"/>
    <n v="0.2273"/>
    <n v="0.69"/>
    <n v="8.9599999999999991"/>
    <x v="1"/>
    <n v="3"/>
    <n v="101"/>
    <n v="104"/>
    <m/>
    <x v="3"/>
  </r>
  <r>
    <n v="591"/>
    <x v="25"/>
    <x v="19"/>
    <b v="1"/>
    <n v="3"/>
    <n v="1"/>
    <x v="0"/>
    <n v="20"/>
    <x v="0"/>
    <n v="0.2273"/>
    <n v="0.69"/>
    <n v="8.9599999999999991"/>
    <x v="1"/>
    <n v="3"/>
    <n v="76"/>
    <n v="79"/>
    <m/>
    <x v="3"/>
  </r>
  <r>
    <n v="592"/>
    <x v="25"/>
    <x v="20"/>
    <b v="1"/>
    <n v="3"/>
    <n v="1"/>
    <x v="0"/>
    <n v="18"/>
    <x v="0"/>
    <n v="0.21210000000000001"/>
    <n v="0.74"/>
    <n v="8.9599999999999991"/>
    <x v="1"/>
    <n v="4"/>
    <n v="55"/>
    <n v="59"/>
    <m/>
    <x v="3"/>
  </r>
  <r>
    <n v="593"/>
    <x v="25"/>
    <x v="21"/>
    <b v="1"/>
    <n v="3"/>
    <n v="1"/>
    <x v="0"/>
    <n v="18"/>
    <x v="0"/>
    <n v="0.21210000000000001"/>
    <n v="0.74"/>
    <n v="8.9599999999999991"/>
    <x v="1"/>
    <n v="2"/>
    <n v="36"/>
    <n v="38"/>
    <m/>
    <x v="3"/>
  </r>
  <r>
    <n v="594"/>
    <x v="25"/>
    <x v="22"/>
    <b v="1"/>
    <n v="3"/>
    <n v="1"/>
    <x v="0"/>
    <n v="18"/>
    <x v="0"/>
    <n v="0.21210000000000001"/>
    <n v="0.74"/>
    <n v="8.9599999999999991"/>
    <x v="1"/>
    <n v="0"/>
    <n v="27"/>
    <n v="27"/>
    <m/>
    <x v="3"/>
  </r>
  <r>
    <n v="595"/>
    <x v="25"/>
    <x v="23"/>
    <b v="1"/>
    <n v="3"/>
    <n v="1"/>
    <x v="0"/>
    <n v="18"/>
    <x v="0"/>
    <n v="0.19700000000000001"/>
    <n v="0.8"/>
    <n v="16.420000000000002"/>
    <x v="1"/>
    <n v="0"/>
    <n v="16"/>
    <n v="16"/>
    <m/>
    <x v="3"/>
  </r>
  <r>
    <n v="596"/>
    <x v="26"/>
    <x v="0"/>
    <b v="0"/>
    <n v="4"/>
    <n v="2"/>
    <x v="1"/>
    <n v="20"/>
    <x v="0"/>
    <n v="0.21210000000000001"/>
    <n v="0.75"/>
    <n v="13.43"/>
    <x v="1"/>
    <n v="0"/>
    <n v="9"/>
    <n v="9"/>
    <m/>
    <x v="3"/>
  </r>
  <r>
    <n v="597"/>
    <x v="26"/>
    <x v="1"/>
    <b v="0"/>
    <n v="4"/>
    <n v="2"/>
    <x v="1"/>
    <n v="20"/>
    <x v="0"/>
    <n v="0.21210000000000001"/>
    <n v="0.75"/>
    <n v="13.43"/>
    <x v="1"/>
    <n v="1"/>
    <n v="2"/>
    <n v="3"/>
    <m/>
    <x v="3"/>
  </r>
  <r>
    <n v="598"/>
    <x v="26"/>
    <x v="2"/>
    <b v="0"/>
    <n v="4"/>
    <n v="2"/>
    <x v="1"/>
    <n v="20"/>
    <x v="0"/>
    <n v="0.21210000000000001"/>
    <n v="0.75"/>
    <n v="16.420000000000002"/>
    <x v="1"/>
    <n v="0"/>
    <n v="2"/>
    <n v="2"/>
    <m/>
    <x v="3"/>
  </r>
  <r>
    <n v="599"/>
    <x v="26"/>
    <x v="3"/>
    <b v="0"/>
    <n v="4"/>
    <n v="2"/>
    <x v="1"/>
    <n v="20"/>
    <x v="0"/>
    <n v="0.2273"/>
    <n v="0.75"/>
    <n v="10.45"/>
    <x v="1"/>
    <n v="1"/>
    <n v="0"/>
    <n v="1"/>
    <m/>
    <x v="3"/>
  </r>
  <r>
    <n v="600"/>
    <x v="26"/>
    <x v="5"/>
    <b v="0"/>
    <n v="4"/>
    <n v="2"/>
    <x v="1"/>
    <n v="18"/>
    <x v="0"/>
    <n v="0.21210000000000001"/>
    <n v="0.8"/>
    <n v="10.45"/>
    <x v="1"/>
    <n v="0"/>
    <n v="4"/>
    <n v="4"/>
    <m/>
    <x v="3"/>
  </r>
  <r>
    <n v="601"/>
    <x v="26"/>
    <x v="6"/>
    <b v="0"/>
    <n v="4"/>
    <n v="2"/>
    <x v="1"/>
    <n v="18"/>
    <x v="0"/>
    <n v="0.19700000000000001"/>
    <n v="0.8"/>
    <n v="13.43"/>
    <x v="1"/>
    <n v="0"/>
    <n v="16"/>
    <n v="16"/>
    <m/>
    <x v="3"/>
  </r>
  <r>
    <n v="602"/>
    <x v="26"/>
    <x v="7"/>
    <b v="0"/>
    <n v="4"/>
    <n v="2"/>
    <x v="1"/>
    <n v="16"/>
    <x v="0"/>
    <n v="0.19700000000000001"/>
    <n v="0.86"/>
    <n v="8.9599999999999991"/>
    <x v="1"/>
    <n v="2"/>
    <n v="58"/>
    <n v="60"/>
    <m/>
    <x v="3"/>
  </r>
  <r>
    <n v="603"/>
    <x v="26"/>
    <x v="8"/>
    <b v="0"/>
    <n v="4"/>
    <n v="2"/>
    <x v="1"/>
    <n v="16"/>
    <x v="0"/>
    <n v="0.19700000000000001"/>
    <n v="0.86"/>
    <n v="8.9599999999999991"/>
    <x v="1"/>
    <n v="2"/>
    <n v="155"/>
    <n v="157"/>
    <m/>
    <x v="3"/>
  </r>
  <r>
    <n v="604"/>
    <x v="26"/>
    <x v="9"/>
    <b v="0"/>
    <n v="4"/>
    <n v="3"/>
    <x v="2"/>
    <n v="18"/>
    <x v="0"/>
    <n v="0.21210000000000001"/>
    <n v="0.86"/>
    <n v="8.9599999999999991"/>
    <x v="1"/>
    <n v="6"/>
    <n v="95"/>
    <n v="101"/>
    <m/>
    <x v="3"/>
  </r>
  <r>
    <n v="605"/>
    <x v="26"/>
    <x v="10"/>
    <b v="0"/>
    <n v="4"/>
    <n v="3"/>
    <x v="2"/>
    <n v="18"/>
    <x v="0"/>
    <n v="0.21210000000000001"/>
    <n v="0.86"/>
    <n v="10.45"/>
    <x v="1"/>
    <n v="0"/>
    <n v="49"/>
    <n v="49"/>
    <m/>
    <x v="3"/>
  </r>
  <r>
    <n v="606"/>
    <x v="26"/>
    <x v="11"/>
    <b v="0"/>
    <n v="4"/>
    <n v="3"/>
    <x v="2"/>
    <n v="18"/>
    <x v="0"/>
    <n v="0.21210000000000001"/>
    <n v="0.93"/>
    <n v="10.45"/>
    <x v="1"/>
    <n v="0"/>
    <n v="30"/>
    <n v="30"/>
    <m/>
    <x v="3"/>
  </r>
  <r>
    <n v="607"/>
    <x v="26"/>
    <x v="12"/>
    <b v="0"/>
    <n v="4"/>
    <n v="3"/>
    <x v="2"/>
    <n v="18"/>
    <x v="0"/>
    <n v="0.21210000000000001"/>
    <n v="0.93"/>
    <n v="10.45"/>
    <x v="1"/>
    <n v="1"/>
    <n v="28"/>
    <n v="29"/>
    <m/>
    <x v="3"/>
  </r>
  <r>
    <n v="608"/>
    <x v="26"/>
    <x v="13"/>
    <b v="0"/>
    <n v="4"/>
    <n v="3"/>
    <x v="2"/>
    <n v="18"/>
    <x v="0"/>
    <n v="0.21210000000000001"/>
    <n v="0.93"/>
    <n v="10.45"/>
    <x v="1"/>
    <n v="0"/>
    <n v="31"/>
    <n v="31"/>
    <m/>
    <x v="3"/>
  </r>
  <r>
    <n v="609"/>
    <x v="26"/>
    <x v="14"/>
    <b v="0"/>
    <n v="4"/>
    <n v="3"/>
    <x v="2"/>
    <n v="22"/>
    <x v="0"/>
    <n v="0.2727"/>
    <n v="0.8"/>
    <n v="20.485098360655737"/>
    <x v="0"/>
    <n v="2"/>
    <n v="36"/>
    <n v="38"/>
    <m/>
    <x v="3"/>
  </r>
  <r>
    <n v="610"/>
    <x v="26"/>
    <x v="15"/>
    <b v="0"/>
    <n v="4"/>
    <n v="2"/>
    <x v="1"/>
    <n v="20"/>
    <x v="0"/>
    <n v="0.2576"/>
    <n v="0.86"/>
    <n v="20.485098360655737"/>
    <x v="0"/>
    <n v="1"/>
    <n v="40"/>
    <n v="41"/>
    <m/>
    <x v="3"/>
  </r>
  <r>
    <n v="611"/>
    <x v="26"/>
    <x v="16"/>
    <b v="0"/>
    <n v="4"/>
    <n v="1"/>
    <x v="0"/>
    <n v="22"/>
    <x v="0"/>
    <n v="0.2727"/>
    <n v="0.8"/>
    <n v="17.94158974358977"/>
    <x v="1"/>
    <n v="10"/>
    <n v="70"/>
    <n v="80"/>
    <m/>
    <x v="3"/>
  </r>
  <r>
    <n v="612"/>
    <x v="26"/>
    <x v="17"/>
    <b v="0"/>
    <n v="4"/>
    <n v="1"/>
    <x v="0"/>
    <n v="24"/>
    <x v="0"/>
    <n v="0.2424"/>
    <n v="0.75"/>
    <n v="13.43"/>
    <x v="1"/>
    <n v="2"/>
    <n v="147"/>
    <n v="149"/>
    <m/>
    <x v="3"/>
  </r>
  <r>
    <n v="613"/>
    <x v="26"/>
    <x v="18"/>
    <b v="0"/>
    <n v="4"/>
    <n v="1"/>
    <x v="0"/>
    <n v="24"/>
    <x v="0"/>
    <n v="0.2273"/>
    <n v="0.75"/>
    <n v="19.400000000000002"/>
    <x v="1"/>
    <n v="2"/>
    <n v="107"/>
    <n v="109"/>
    <m/>
    <x v="3"/>
  </r>
  <r>
    <n v="614"/>
    <x v="26"/>
    <x v="19"/>
    <b v="0"/>
    <n v="4"/>
    <n v="2"/>
    <x v="1"/>
    <n v="24"/>
    <x v="0"/>
    <n v="0.2424"/>
    <n v="0.75"/>
    <n v="13.43"/>
    <x v="1"/>
    <n v="5"/>
    <n v="84"/>
    <n v="89"/>
    <m/>
    <x v="3"/>
  </r>
  <r>
    <n v="615"/>
    <x v="26"/>
    <x v="20"/>
    <b v="0"/>
    <n v="4"/>
    <n v="2"/>
    <x v="1"/>
    <n v="24"/>
    <x v="0"/>
    <n v="0.2273"/>
    <n v="0.7"/>
    <n v="19.400000000000002"/>
    <x v="1"/>
    <n v="1"/>
    <n v="61"/>
    <n v="62"/>
    <m/>
    <x v="3"/>
  </r>
  <r>
    <n v="616"/>
    <x v="26"/>
    <x v="21"/>
    <b v="0"/>
    <n v="4"/>
    <n v="2"/>
    <x v="1"/>
    <n v="22"/>
    <x v="0"/>
    <n v="0.2273"/>
    <n v="0.75"/>
    <n v="13.43"/>
    <x v="1"/>
    <n v="1"/>
    <n v="57"/>
    <n v="58"/>
    <m/>
    <x v="3"/>
  </r>
  <r>
    <n v="617"/>
    <x v="26"/>
    <x v="22"/>
    <b v="0"/>
    <n v="4"/>
    <n v="1"/>
    <x v="0"/>
    <n v="24"/>
    <x v="0"/>
    <n v="0.21210000000000001"/>
    <n v="0.65"/>
    <n v="35.82"/>
    <x v="2"/>
    <n v="0"/>
    <n v="26"/>
    <n v="26"/>
    <m/>
    <x v="3"/>
  </r>
  <r>
    <n v="618"/>
    <x v="26"/>
    <x v="23"/>
    <b v="0"/>
    <n v="4"/>
    <n v="1"/>
    <x v="0"/>
    <n v="24"/>
    <x v="0"/>
    <n v="0.2273"/>
    <n v="0.6"/>
    <n v="22.39"/>
    <x v="0"/>
    <n v="1"/>
    <n v="22"/>
    <n v="23"/>
    <m/>
    <x v="3"/>
  </r>
  <r>
    <n v="619"/>
    <x v="27"/>
    <x v="0"/>
    <b v="0"/>
    <n v="5"/>
    <n v="1"/>
    <x v="0"/>
    <n v="22"/>
    <x v="0"/>
    <n v="0.19700000000000001"/>
    <n v="0.64"/>
    <n v="35.82"/>
    <x v="2"/>
    <n v="2"/>
    <n v="26"/>
    <n v="28"/>
    <m/>
    <x v="3"/>
  </r>
  <r>
    <n v="620"/>
    <x v="27"/>
    <x v="1"/>
    <b v="0"/>
    <n v="5"/>
    <n v="1"/>
    <x v="0"/>
    <n v="22"/>
    <x v="0"/>
    <n v="0.2273"/>
    <n v="0.64"/>
    <n v="19.400000000000002"/>
    <x v="1"/>
    <n v="0"/>
    <n v="20"/>
    <n v="20"/>
    <m/>
    <x v="3"/>
  </r>
  <r>
    <n v="621"/>
    <x v="27"/>
    <x v="2"/>
    <b v="0"/>
    <n v="5"/>
    <n v="1"/>
    <x v="0"/>
    <n v="22"/>
    <x v="0"/>
    <n v="0.2273"/>
    <n v="0.64"/>
    <n v="16.420000000000002"/>
    <x v="1"/>
    <n v="0"/>
    <n v="15"/>
    <n v="15"/>
    <m/>
    <x v="3"/>
  </r>
  <r>
    <n v="622"/>
    <x v="27"/>
    <x v="3"/>
    <b v="0"/>
    <n v="5"/>
    <n v="1"/>
    <x v="0"/>
    <n v="20"/>
    <x v="0"/>
    <n v="0.21210000000000001"/>
    <n v="0.64"/>
    <n v="13.43"/>
    <x v="1"/>
    <n v="3"/>
    <n v="5"/>
    <n v="8"/>
    <m/>
    <x v="3"/>
  </r>
  <r>
    <n v="623"/>
    <x v="27"/>
    <x v="4"/>
    <b v="0"/>
    <n v="5"/>
    <n v="1"/>
    <x v="0"/>
    <n v="16"/>
    <x v="0"/>
    <n v="0.18179999999999999"/>
    <n v="0.69"/>
    <n v="10.45"/>
    <x v="1"/>
    <n v="1"/>
    <n v="2"/>
    <n v="3"/>
    <m/>
    <x v="3"/>
  </r>
  <r>
    <n v="624"/>
    <x v="27"/>
    <x v="6"/>
    <b v="0"/>
    <n v="5"/>
    <n v="1"/>
    <x v="0"/>
    <n v="16"/>
    <x v="0"/>
    <n v="0.18179999999999999"/>
    <n v="0.64"/>
    <n v="13.43"/>
    <x v="1"/>
    <n v="0"/>
    <n v="2"/>
    <n v="2"/>
    <m/>
    <x v="3"/>
  </r>
  <r>
    <n v="625"/>
    <x v="27"/>
    <x v="7"/>
    <b v="0"/>
    <n v="5"/>
    <n v="1"/>
    <x v="0"/>
    <n v="16"/>
    <x v="0"/>
    <n v="0.18179999999999999"/>
    <n v="0.59"/>
    <n v="10.45"/>
    <x v="1"/>
    <n v="1"/>
    <n v="4"/>
    <n v="5"/>
    <m/>
    <x v="3"/>
  </r>
  <r>
    <n v="626"/>
    <x v="27"/>
    <x v="8"/>
    <b v="0"/>
    <n v="5"/>
    <n v="1"/>
    <x v="0"/>
    <n v="18"/>
    <x v="0"/>
    <n v="0.19700000000000001"/>
    <n v="0.55000000000000004"/>
    <n v="16.420000000000002"/>
    <x v="1"/>
    <n v="3"/>
    <n v="31"/>
    <n v="34"/>
    <m/>
    <x v="3"/>
  </r>
  <r>
    <n v="627"/>
    <x v="27"/>
    <x v="9"/>
    <b v="0"/>
    <n v="5"/>
    <n v="1"/>
    <x v="0"/>
    <n v="18"/>
    <x v="0"/>
    <n v="0.21210000000000001"/>
    <n v="0.59"/>
    <n v="8.9599999999999991"/>
    <x v="1"/>
    <n v="0"/>
    <n v="34"/>
    <n v="34"/>
    <m/>
    <x v="3"/>
  </r>
  <r>
    <n v="628"/>
    <x v="27"/>
    <x v="10"/>
    <b v="0"/>
    <n v="5"/>
    <n v="2"/>
    <x v="1"/>
    <n v="18"/>
    <x v="0"/>
    <n v="0.21210000000000001"/>
    <n v="0.64"/>
    <n v="10.45"/>
    <x v="1"/>
    <n v="4"/>
    <n v="51"/>
    <n v="55"/>
    <m/>
    <x v="3"/>
  </r>
  <r>
    <n v="629"/>
    <x v="27"/>
    <x v="11"/>
    <b v="0"/>
    <n v="5"/>
    <n v="2"/>
    <x v="1"/>
    <n v="18"/>
    <x v="0"/>
    <n v="0.19700000000000001"/>
    <n v="0.64"/>
    <n v="13.43"/>
    <x v="1"/>
    <n v="4"/>
    <n v="60"/>
    <n v="64"/>
    <m/>
    <x v="3"/>
  </r>
  <r>
    <n v="630"/>
    <x v="27"/>
    <x v="12"/>
    <b v="0"/>
    <n v="5"/>
    <n v="2"/>
    <x v="1"/>
    <n v="20"/>
    <x v="0"/>
    <n v="0.19700000000000001"/>
    <n v="0.59"/>
    <n v="19.400000000000002"/>
    <x v="1"/>
    <n v="12"/>
    <n v="66"/>
    <n v="78"/>
    <m/>
    <x v="3"/>
  </r>
  <r>
    <n v="631"/>
    <x v="27"/>
    <x v="13"/>
    <b v="0"/>
    <n v="5"/>
    <n v="2"/>
    <x v="1"/>
    <n v="22"/>
    <x v="0"/>
    <n v="0.2273"/>
    <n v="0.55000000000000004"/>
    <n v="16.420000000000002"/>
    <x v="1"/>
    <n v="9"/>
    <n v="56"/>
    <n v="65"/>
    <m/>
    <x v="3"/>
  </r>
  <r>
    <n v="632"/>
    <x v="27"/>
    <x v="14"/>
    <b v="0"/>
    <n v="5"/>
    <n v="2"/>
    <x v="1"/>
    <n v="22"/>
    <x v="0"/>
    <n v="0.2273"/>
    <n v="0.6"/>
    <n v="13.43"/>
    <x v="1"/>
    <n v="10"/>
    <n v="89"/>
    <n v="99"/>
    <m/>
    <x v="3"/>
  </r>
  <r>
    <n v="633"/>
    <x v="27"/>
    <x v="15"/>
    <b v="0"/>
    <n v="5"/>
    <n v="1"/>
    <x v="0"/>
    <n v="22"/>
    <x v="0"/>
    <n v="0.21210000000000001"/>
    <n v="0.69"/>
    <n v="25.369999999999997"/>
    <x v="0"/>
    <n v="22"/>
    <n v="98"/>
    <n v="120"/>
    <m/>
    <x v="3"/>
  </r>
  <r>
    <n v="634"/>
    <x v="27"/>
    <x v="16"/>
    <b v="0"/>
    <n v="5"/>
    <n v="1"/>
    <x v="0"/>
    <n v="24"/>
    <x v="0"/>
    <n v="0.2424"/>
    <n v="0.6"/>
    <n v="16.420000000000002"/>
    <x v="1"/>
    <n v="19"/>
    <n v="88"/>
    <n v="107"/>
    <m/>
    <x v="3"/>
  </r>
  <r>
    <n v="635"/>
    <x v="27"/>
    <x v="17"/>
    <b v="0"/>
    <n v="5"/>
    <n v="1"/>
    <x v="0"/>
    <n v="24"/>
    <x v="0"/>
    <n v="0.28789999999999999"/>
    <n v="0.6"/>
    <n v="17.94158974358977"/>
    <x v="1"/>
    <n v="9"/>
    <n v="82"/>
    <n v="91"/>
    <m/>
    <x v="3"/>
  </r>
  <r>
    <n v="636"/>
    <x v="27"/>
    <x v="18"/>
    <b v="0"/>
    <n v="5"/>
    <n v="1"/>
    <x v="0"/>
    <n v="22"/>
    <x v="0"/>
    <n v="0.2273"/>
    <n v="0.69"/>
    <n v="13.43"/>
    <x v="1"/>
    <n v="9"/>
    <n v="59"/>
    <n v="68"/>
    <m/>
    <x v="3"/>
  </r>
  <r>
    <n v="637"/>
    <x v="27"/>
    <x v="19"/>
    <b v="0"/>
    <n v="5"/>
    <n v="2"/>
    <x v="1"/>
    <n v="22"/>
    <x v="0"/>
    <n v="0.21210000000000001"/>
    <n v="0.69"/>
    <n v="25.369999999999997"/>
    <x v="0"/>
    <n v="6"/>
    <n v="52"/>
    <n v="58"/>
    <m/>
    <x v="3"/>
  </r>
  <r>
    <n v="638"/>
    <x v="27"/>
    <x v="20"/>
    <b v="0"/>
    <n v="5"/>
    <n v="1"/>
    <x v="0"/>
    <n v="18"/>
    <x v="0"/>
    <n v="0.21210000000000001"/>
    <n v="0.74"/>
    <n v="8.9599999999999991"/>
    <x v="1"/>
    <n v="1"/>
    <n v="42"/>
    <n v="43"/>
    <m/>
    <x v="3"/>
  </r>
  <r>
    <n v="639"/>
    <x v="27"/>
    <x v="21"/>
    <b v="0"/>
    <n v="5"/>
    <n v="1"/>
    <x v="0"/>
    <n v="18"/>
    <x v="0"/>
    <n v="0.21210000000000001"/>
    <n v="0.74"/>
    <n v="8.9599999999999991"/>
    <x v="1"/>
    <n v="1"/>
    <n v="35"/>
    <n v="36"/>
    <m/>
    <x v="3"/>
  </r>
  <r>
    <n v="640"/>
    <x v="27"/>
    <x v="22"/>
    <b v="0"/>
    <n v="5"/>
    <n v="1"/>
    <x v="0"/>
    <n v="16"/>
    <x v="0"/>
    <n v="0.19700000000000001"/>
    <n v="0.8"/>
    <n v="8.9599999999999991"/>
    <x v="1"/>
    <n v="4"/>
    <n v="28"/>
    <n v="32"/>
    <m/>
    <x v="3"/>
  </r>
  <r>
    <n v="641"/>
    <x v="27"/>
    <x v="23"/>
    <b v="0"/>
    <n v="5"/>
    <n v="1"/>
    <x v="0"/>
    <n v="16"/>
    <x v="0"/>
    <n v="0.19700000000000001"/>
    <n v="0.8"/>
    <n v="8.9599999999999991"/>
    <x v="1"/>
    <n v="3"/>
    <n v="30"/>
    <n v="33"/>
    <m/>
    <x v="3"/>
  </r>
  <r>
    <n v="642"/>
    <x v="28"/>
    <x v="0"/>
    <b v="0"/>
    <n v="6"/>
    <n v="1"/>
    <x v="0"/>
    <n v="16"/>
    <x v="0"/>
    <n v="0.18179999999999999"/>
    <n v="0.8"/>
    <n v="10.45"/>
    <x v="1"/>
    <n v="0"/>
    <n v="33"/>
    <n v="33"/>
    <m/>
    <x v="4"/>
  </r>
  <r>
    <n v="643"/>
    <x v="28"/>
    <x v="1"/>
    <b v="0"/>
    <n v="6"/>
    <n v="1"/>
    <x v="0"/>
    <n v="14.000000000000002"/>
    <x v="0"/>
    <n v="0.21210000000000001"/>
    <n v="0.8"/>
    <n v="17.94158974358977"/>
    <x v="1"/>
    <n v="7"/>
    <n v="22"/>
    <n v="29"/>
    <m/>
    <x v="4"/>
  </r>
  <r>
    <n v="644"/>
    <x v="28"/>
    <x v="2"/>
    <b v="0"/>
    <n v="6"/>
    <n v="1"/>
    <x v="0"/>
    <n v="16"/>
    <x v="0"/>
    <n v="0.2273"/>
    <n v="0.8"/>
    <n v="17.94158974358977"/>
    <x v="1"/>
    <n v="1"/>
    <n v="10"/>
    <n v="11"/>
    <m/>
    <x v="4"/>
  </r>
  <r>
    <n v="645"/>
    <x v="28"/>
    <x v="3"/>
    <b v="0"/>
    <n v="6"/>
    <n v="1"/>
    <x v="0"/>
    <n v="14.000000000000002"/>
    <x v="0"/>
    <n v="0.21210000000000001"/>
    <n v="0.93"/>
    <n v="17.94158974358977"/>
    <x v="1"/>
    <n v="1"/>
    <n v="7"/>
    <n v="8"/>
    <m/>
    <x v="4"/>
  </r>
  <r>
    <n v="646"/>
    <x v="28"/>
    <x v="4"/>
    <b v="0"/>
    <n v="6"/>
    <n v="1"/>
    <x v="0"/>
    <n v="14.000000000000002"/>
    <x v="0"/>
    <n v="0.21210000000000001"/>
    <n v="0.93"/>
    <n v="17.94158974358977"/>
    <x v="1"/>
    <n v="0"/>
    <n v="1"/>
    <n v="1"/>
    <m/>
    <x v="4"/>
  </r>
  <r>
    <n v="647"/>
    <x v="28"/>
    <x v="5"/>
    <b v="0"/>
    <n v="6"/>
    <n v="1"/>
    <x v="0"/>
    <n v="14.000000000000002"/>
    <x v="0"/>
    <n v="0.21210000000000001"/>
    <n v="0.86"/>
    <n v="17.94158974358977"/>
    <x v="1"/>
    <n v="0"/>
    <n v="3"/>
    <n v="3"/>
    <m/>
    <x v="4"/>
  </r>
  <r>
    <n v="648"/>
    <x v="28"/>
    <x v="7"/>
    <b v="0"/>
    <n v="6"/>
    <n v="1"/>
    <x v="0"/>
    <n v="14.000000000000002"/>
    <x v="0"/>
    <n v="0.21210000000000001"/>
    <n v="0.86"/>
    <n v="17.94158974358977"/>
    <x v="1"/>
    <n v="0"/>
    <n v="3"/>
    <n v="3"/>
    <m/>
    <x v="4"/>
  </r>
  <r>
    <n v="649"/>
    <x v="28"/>
    <x v="8"/>
    <b v="0"/>
    <n v="6"/>
    <n v="2"/>
    <x v="1"/>
    <n v="14.000000000000002"/>
    <x v="0"/>
    <n v="0.21210000000000001"/>
    <n v="0.86"/>
    <n v="17.94158974358977"/>
    <x v="1"/>
    <n v="1"/>
    <n v="11"/>
    <n v="12"/>
    <m/>
    <x v="4"/>
  </r>
  <r>
    <n v="650"/>
    <x v="28"/>
    <x v="9"/>
    <b v="0"/>
    <n v="6"/>
    <n v="2"/>
    <x v="1"/>
    <n v="16"/>
    <x v="0"/>
    <n v="0.2273"/>
    <n v="0.8"/>
    <n v="17.94158974358977"/>
    <x v="1"/>
    <n v="4"/>
    <n v="34"/>
    <n v="38"/>
    <m/>
    <x v="4"/>
  </r>
  <r>
    <n v="651"/>
    <x v="28"/>
    <x v="10"/>
    <b v="0"/>
    <n v="6"/>
    <n v="2"/>
    <x v="1"/>
    <n v="18"/>
    <x v="0"/>
    <n v="0.2424"/>
    <n v="0.8"/>
    <n v="17.94158974358977"/>
    <x v="1"/>
    <n v="7"/>
    <n v="57"/>
    <n v="64"/>
    <m/>
    <x v="4"/>
  </r>
  <r>
    <n v="652"/>
    <x v="28"/>
    <x v="11"/>
    <b v="0"/>
    <n v="6"/>
    <n v="1"/>
    <x v="0"/>
    <n v="22"/>
    <x v="0"/>
    <n v="0.2727"/>
    <n v="0.75"/>
    <n v="17.94158974358977"/>
    <x v="1"/>
    <n v="9"/>
    <n v="50"/>
    <n v="59"/>
    <m/>
    <x v="4"/>
  </r>
  <r>
    <n v="653"/>
    <x v="28"/>
    <x v="12"/>
    <b v="0"/>
    <n v="6"/>
    <n v="1"/>
    <x v="0"/>
    <n v="30"/>
    <x v="1"/>
    <n v="0.31819999999999998"/>
    <n v="0.52"/>
    <n v="10.45"/>
    <x v="1"/>
    <n v="10"/>
    <n v="87"/>
    <n v="97"/>
    <m/>
    <x v="4"/>
  </r>
  <r>
    <n v="654"/>
    <x v="28"/>
    <x v="13"/>
    <b v="0"/>
    <n v="6"/>
    <n v="1"/>
    <x v="0"/>
    <n v="28.000000000000004"/>
    <x v="1"/>
    <n v="0.28789999999999999"/>
    <n v="0.61"/>
    <n v="10.45"/>
    <x v="1"/>
    <n v="13"/>
    <n v="71"/>
    <n v="84"/>
    <m/>
    <x v="4"/>
  </r>
  <r>
    <n v="655"/>
    <x v="28"/>
    <x v="14"/>
    <b v="0"/>
    <n v="6"/>
    <n v="1"/>
    <x v="0"/>
    <n v="28.000000000000004"/>
    <x v="1"/>
    <n v="0.30299999999999999"/>
    <n v="0.61"/>
    <n v="8.9599999999999991"/>
    <x v="1"/>
    <n v="18"/>
    <n v="104"/>
    <n v="122"/>
    <m/>
    <x v="4"/>
  </r>
  <r>
    <n v="656"/>
    <x v="28"/>
    <x v="15"/>
    <b v="0"/>
    <n v="6"/>
    <n v="1"/>
    <x v="0"/>
    <n v="30"/>
    <x v="1"/>
    <n v="0.33329999999999999"/>
    <n v="0.56000000000000005"/>
    <n v="17.94158974358977"/>
    <x v="1"/>
    <n v="14"/>
    <n v="95"/>
    <n v="109"/>
    <m/>
    <x v="4"/>
  </r>
  <r>
    <n v="657"/>
    <x v="28"/>
    <x v="16"/>
    <b v="0"/>
    <n v="6"/>
    <n v="1"/>
    <x v="0"/>
    <n v="30"/>
    <x v="1"/>
    <n v="0.33329999999999999"/>
    <n v="0.56000000000000005"/>
    <n v="17.94158974358977"/>
    <x v="1"/>
    <n v="19"/>
    <n v="104"/>
    <n v="123"/>
    <m/>
    <x v="4"/>
  </r>
  <r>
    <n v="658"/>
    <x v="28"/>
    <x v="17"/>
    <b v="0"/>
    <n v="6"/>
    <n v="1"/>
    <x v="0"/>
    <n v="30"/>
    <x v="1"/>
    <n v="0.28789999999999999"/>
    <n v="0.56000000000000005"/>
    <n v="19.400000000000002"/>
    <x v="1"/>
    <n v="6"/>
    <n v="71"/>
    <n v="77"/>
    <m/>
    <x v="4"/>
  </r>
  <r>
    <n v="659"/>
    <x v="28"/>
    <x v="18"/>
    <b v="0"/>
    <n v="6"/>
    <n v="1"/>
    <x v="0"/>
    <n v="26"/>
    <x v="1"/>
    <n v="0.2576"/>
    <n v="0.65"/>
    <n v="16.420000000000002"/>
    <x v="1"/>
    <n v="8"/>
    <n v="57"/>
    <n v="65"/>
    <m/>
    <x v="4"/>
  </r>
  <r>
    <n v="660"/>
    <x v="28"/>
    <x v="19"/>
    <b v="0"/>
    <n v="6"/>
    <n v="1"/>
    <x v="0"/>
    <n v="26"/>
    <x v="1"/>
    <n v="0.2576"/>
    <n v="0.65"/>
    <n v="19.400000000000002"/>
    <x v="1"/>
    <n v="9"/>
    <n v="46"/>
    <n v="55"/>
    <m/>
    <x v="4"/>
  </r>
  <r>
    <n v="661"/>
    <x v="28"/>
    <x v="20"/>
    <b v="0"/>
    <n v="6"/>
    <n v="2"/>
    <x v="1"/>
    <n v="26"/>
    <x v="1"/>
    <n v="0.2727"/>
    <n v="0.65"/>
    <n v="10.45"/>
    <x v="1"/>
    <n v="3"/>
    <n v="30"/>
    <n v="33"/>
    <m/>
    <x v="4"/>
  </r>
  <r>
    <n v="662"/>
    <x v="28"/>
    <x v="21"/>
    <b v="0"/>
    <n v="6"/>
    <n v="2"/>
    <x v="1"/>
    <n v="24"/>
    <x v="0"/>
    <n v="0.2424"/>
    <n v="0.7"/>
    <n v="16.420000000000002"/>
    <x v="1"/>
    <n v="3"/>
    <n v="25"/>
    <n v="28"/>
    <m/>
    <x v="4"/>
  </r>
  <r>
    <n v="663"/>
    <x v="28"/>
    <x v="22"/>
    <b v="0"/>
    <n v="6"/>
    <n v="2"/>
    <x v="1"/>
    <n v="24"/>
    <x v="0"/>
    <n v="0.2273"/>
    <n v="0.7"/>
    <n v="19.400000000000002"/>
    <x v="1"/>
    <n v="2"/>
    <n v="19"/>
    <n v="21"/>
    <m/>
    <x v="4"/>
  </r>
  <r>
    <n v="664"/>
    <x v="28"/>
    <x v="23"/>
    <b v="0"/>
    <n v="6"/>
    <n v="2"/>
    <x v="1"/>
    <n v="24"/>
    <x v="0"/>
    <n v="0.21210000000000001"/>
    <n v="0.65"/>
    <n v="28.360000000000003"/>
    <x v="0"/>
    <n v="5"/>
    <n v="16"/>
    <n v="21"/>
    <m/>
    <x v="4"/>
  </r>
  <r>
    <n v="665"/>
    <x v="29"/>
    <x v="0"/>
    <b v="0"/>
    <n v="7"/>
    <n v="2"/>
    <x v="1"/>
    <n v="24"/>
    <x v="0"/>
    <n v="0.2273"/>
    <n v="0.65"/>
    <n v="22.39"/>
    <x v="0"/>
    <n v="1"/>
    <n v="6"/>
    <n v="7"/>
    <m/>
    <x v="4"/>
  </r>
  <r>
    <n v="666"/>
    <x v="29"/>
    <x v="1"/>
    <b v="0"/>
    <n v="7"/>
    <n v="1"/>
    <x v="0"/>
    <n v="22"/>
    <x v="0"/>
    <n v="0.21210000000000001"/>
    <n v="0.64"/>
    <n v="25.369999999999997"/>
    <x v="0"/>
    <n v="2"/>
    <n v="5"/>
    <n v="7"/>
    <m/>
    <x v="4"/>
  </r>
  <r>
    <n v="667"/>
    <x v="29"/>
    <x v="2"/>
    <b v="0"/>
    <n v="7"/>
    <n v="1"/>
    <x v="0"/>
    <n v="22"/>
    <x v="0"/>
    <n v="0.2273"/>
    <n v="0.64"/>
    <n v="19.400000000000002"/>
    <x v="1"/>
    <n v="0"/>
    <n v="1"/>
    <n v="1"/>
    <m/>
    <x v="4"/>
  </r>
  <r>
    <n v="668"/>
    <x v="29"/>
    <x v="3"/>
    <b v="0"/>
    <n v="7"/>
    <n v="1"/>
    <x v="0"/>
    <n v="22"/>
    <x v="0"/>
    <n v="0.2273"/>
    <n v="0.64"/>
    <n v="19.400000000000002"/>
    <x v="1"/>
    <n v="0"/>
    <n v="2"/>
    <n v="2"/>
    <m/>
    <x v="4"/>
  </r>
  <r>
    <n v="669"/>
    <x v="29"/>
    <x v="4"/>
    <b v="0"/>
    <n v="7"/>
    <n v="1"/>
    <x v="0"/>
    <n v="20"/>
    <x v="0"/>
    <n v="0.19700000000000001"/>
    <n v="0.59"/>
    <n v="22.39"/>
    <x v="0"/>
    <n v="0"/>
    <n v="2"/>
    <n v="2"/>
    <m/>
    <x v="4"/>
  </r>
  <r>
    <n v="670"/>
    <x v="29"/>
    <x v="5"/>
    <b v="0"/>
    <n v="7"/>
    <n v="1"/>
    <x v="0"/>
    <n v="18"/>
    <x v="0"/>
    <n v="0.16669999999999999"/>
    <n v="0.64"/>
    <n v="28.360000000000003"/>
    <x v="0"/>
    <n v="0"/>
    <n v="8"/>
    <n v="8"/>
    <m/>
    <x v="4"/>
  </r>
  <r>
    <n v="671"/>
    <x v="29"/>
    <x v="6"/>
    <b v="0"/>
    <n v="7"/>
    <n v="1"/>
    <x v="0"/>
    <n v="16"/>
    <x v="0"/>
    <n v="0.13639999999999999"/>
    <n v="0.69"/>
    <n v="32.840000000000003"/>
    <x v="2"/>
    <n v="0"/>
    <n v="37"/>
    <n v="37"/>
    <m/>
    <x v="4"/>
  </r>
  <r>
    <n v="672"/>
    <x v="29"/>
    <x v="7"/>
    <b v="0"/>
    <n v="7"/>
    <n v="2"/>
    <x v="1"/>
    <n v="16"/>
    <x v="0"/>
    <n v="0.13639999999999999"/>
    <n v="0.64"/>
    <n v="28.360000000000003"/>
    <x v="0"/>
    <n v="1"/>
    <n v="71"/>
    <n v="72"/>
    <m/>
    <x v="4"/>
  </r>
  <r>
    <n v="673"/>
    <x v="29"/>
    <x v="8"/>
    <b v="0"/>
    <n v="7"/>
    <n v="2"/>
    <x v="1"/>
    <n v="16"/>
    <x v="0"/>
    <n v="0.13639999999999999"/>
    <n v="0.59"/>
    <n v="28.360000000000003"/>
    <x v="0"/>
    <n v="3"/>
    <n v="182"/>
    <n v="185"/>
    <m/>
    <x v="4"/>
  </r>
  <r>
    <n v="674"/>
    <x v="29"/>
    <x v="9"/>
    <b v="0"/>
    <n v="7"/>
    <n v="2"/>
    <x v="1"/>
    <n v="16"/>
    <x v="0"/>
    <n v="0.13639999999999999"/>
    <n v="0.59"/>
    <n v="29.849999999999998"/>
    <x v="0"/>
    <n v="0"/>
    <n v="112"/>
    <n v="112"/>
    <m/>
    <x v="4"/>
  </r>
  <r>
    <n v="675"/>
    <x v="29"/>
    <x v="10"/>
    <b v="0"/>
    <n v="7"/>
    <n v="2"/>
    <x v="1"/>
    <n v="16"/>
    <x v="0"/>
    <n v="0.1515"/>
    <n v="0.59"/>
    <n v="19.400000000000002"/>
    <x v="1"/>
    <n v="1"/>
    <n v="68"/>
    <n v="69"/>
    <m/>
    <x v="4"/>
  </r>
  <r>
    <n v="676"/>
    <x v="29"/>
    <x v="11"/>
    <b v="0"/>
    <n v="7"/>
    <n v="2"/>
    <x v="1"/>
    <n v="16"/>
    <x v="0"/>
    <n v="0.1515"/>
    <n v="0.59"/>
    <n v="19.400000000000002"/>
    <x v="1"/>
    <n v="2"/>
    <n v="46"/>
    <n v="48"/>
    <m/>
    <x v="4"/>
  </r>
  <r>
    <n v="677"/>
    <x v="29"/>
    <x v="12"/>
    <b v="0"/>
    <n v="7"/>
    <n v="2"/>
    <x v="1"/>
    <n v="18"/>
    <x v="0"/>
    <n v="0.21210000000000001"/>
    <n v="0.55000000000000004"/>
    <n v="10.45"/>
    <x v="1"/>
    <n v="6"/>
    <n v="62"/>
    <n v="68"/>
    <m/>
    <x v="4"/>
  </r>
  <r>
    <n v="678"/>
    <x v="29"/>
    <x v="13"/>
    <b v="0"/>
    <n v="7"/>
    <n v="2"/>
    <x v="1"/>
    <n v="16"/>
    <x v="0"/>
    <n v="0.2273"/>
    <n v="0.59"/>
    <n v="17.94158974358977"/>
    <x v="1"/>
    <n v="2"/>
    <n v="52"/>
    <n v="54"/>
    <m/>
    <x v="4"/>
  </r>
  <r>
    <n v="679"/>
    <x v="29"/>
    <x v="14"/>
    <b v="0"/>
    <n v="7"/>
    <n v="2"/>
    <x v="1"/>
    <n v="18"/>
    <x v="0"/>
    <n v="0.19700000000000001"/>
    <n v="0.55000000000000004"/>
    <n v="13.43"/>
    <x v="1"/>
    <n v="1"/>
    <n v="85"/>
    <n v="86"/>
    <m/>
    <x v="4"/>
  </r>
  <r>
    <n v="680"/>
    <x v="29"/>
    <x v="15"/>
    <b v="0"/>
    <n v="7"/>
    <n v="2"/>
    <x v="1"/>
    <n v="16"/>
    <x v="0"/>
    <n v="0.18179999999999999"/>
    <n v="0.59"/>
    <n v="13.43"/>
    <x v="1"/>
    <n v="3"/>
    <n v="41"/>
    <n v="44"/>
    <m/>
    <x v="4"/>
  </r>
  <r>
    <n v="681"/>
    <x v="29"/>
    <x v="16"/>
    <b v="0"/>
    <n v="7"/>
    <n v="2"/>
    <x v="1"/>
    <n v="16"/>
    <x v="0"/>
    <n v="0.18179999999999999"/>
    <n v="0.56000000000000005"/>
    <n v="19.400000000000002"/>
    <x v="1"/>
    <n v="3"/>
    <n v="83"/>
    <n v="86"/>
    <m/>
    <x v="4"/>
  </r>
  <r>
    <n v="682"/>
    <x v="29"/>
    <x v="17"/>
    <b v="0"/>
    <n v="7"/>
    <n v="2"/>
    <x v="1"/>
    <n v="16"/>
    <x v="0"/>
    <n v="0.1515"/>
    <n v="0.59"/>
    <n v="19.400000000000002"/>
    <x v="1"/>
    <n v="6"/>
    <n v="155"/>
    <n v="161"/>
    <m/>
    <x v="4"/>
  </r>
  <r>
    <n v="683"/>
    <x v="29"/>
    <x v="18"/>
    <b v="0"/>
    <n v="7"/>
    <n v="2"/>
    <x v="1"/>
    <n v="16"/>
    <x v="0"/>
    <n v="0.1515"/>
    <n v="0.55000000000000004"/>
    <n v="22.39"/>
    <x v="0"/>
    <n v="3"/>
    <n v="153"/>
    <n v="156"/>
    <m/>
    <x v="4"/>
  </r>
  <r>
    <n v="684"/>
    <x v="29"/>
    <x v="19"/>
    <b v="0"/>
    <n v="7"/>
    <n v="1"/>
    <x v="0"/>
    <n v="30"/>
    <x v="1"/>
    <n v="0.31819999999999998"/>
    <n v="0.61"/>
    <n v="10.45"/>
    <x v="1"/>
    <n v="3"/>
    <n v="108"/>
    <n v="111"/>
    <m/>
    <x v="4"/>
  </r>
  <r>
    <n v="685"/>
    <x v="29"/>
    <x v="20"/>
    <b v="0"/>
    <n v="7"/>
    <n v="3"/>
    <x v="2"/>
    <n v="16"/>
    <x v="0"/>
    <n v="0.16669999999999999"/>
    <n v="0.59"/>
    <n v="16.420000000000002"/>
    <x v="1"/>
    <n v="0"/>
    <n v="78"/>
    <n v="78"/>
    <m/>
    <x v="4"/>
  </r>
  <r>
    <n v="686"/>
    <x v="29"/>
    <x v="21"/>
    <b v="0"/>
    <n v="7"/>
    <n v="3"/>
    <x v="2"/>
    <n v="16"/>
    <x v="0"/>
    <n v="0.19700000000000001"/>
    <n v="0.59"/>
    <n v="8.9599999999999991"/>
    <x v="1"/>
    <n v="3"/>
    <n v="53"/>
    <n v="56"/>
    <m/>
    <x v="4"/>
  </r>
  <r>
    <n v="687"/>
    <x v="29"/>
    <x v="22"/>
    <b v="0"/>
    <n v="7"/>
    <n v="2"/>
    <x v="1"/>
    <n v="16"/>
    <x v="0"/>
    <n v="0.18179999999999999"/>
    <n v="0.59"/>
    <n v="10.45"/>
    <x v="1"/>
    <n v="0"/>
    <n v="34"/>
    <n v="34"/>
    <m/>
    <x v="4"/>
  </r>
  <r>
    <n v="688"/>
    <x v="29"/>
    <x v="23"/>
    <b v="0"/>
    <n v="7"/>
    <n v="2"/>
    <x v="1"/>
    <n v="16"/>
    <x v="0"/>
    <n v="0.19700000000000001"/>
    <n v="0.64"/>
    <n v="8.9599999999999991"/>
    <x v="1"/>
    <n v="2"/>
    <n v="15"/>
    <n v="17"/>
    <m/>
    <x v="4"/>
  </r>
  <r>
    <n v="689"/>
    <x v="30"/>
    <x v="0"/>
    <b v="0"/>
    <n v="1"/>
    <n v="2"/>
    <x v="1"/>
    <n v="16"/>
    <x v="0"/>
    <n v="0.18179999999999999"/>
    <n v="0.64"/>
    <n v="10.45"/>
    <x v="1"/>
    <n v="2"/>
    <n v="6"/>
    <n v="8"/>
    <m/>
    <x v="4"/>
  </r>
  <r>
    <n v="690"/>
    <x v="30"/>
    <x v="1"/>
    <b v="0"/>
    <n v="1"/>
    <n v="2"/>
    <x v="1"/>
    <n v="16"/>
    <x v="0"/>
    <n v="0.18179999999999999"/>
    <n v="0.69"/>
    <n v="10.45"/>
    <x v="1"/>
    <n v="0"/>
    <n v="3"/>
    <n v="3"/>
    <m/>
    <x v="4"/>
  </r>
  <r>
    <n v="691"/>
    <x v="30"/>
    <x v="2"/>
    <b v="0"/>
    <n v="1"/>
    <n v="2"/>
    <x v="1"/>
    <n v="16"/>
    <x v="0"/>
    <n v="0.2273"/>
    <n v="0.69"/>
    <n v="17.94158974358977"/>
    <x v="1"/>
    <n v="0"/>
    <n v="2"/>
    <n v="2"/>
    <m/>
    <x v="4"/>
  </r>
  <r>
    <n v="692"/>
    <x v="30"/>
    <x v="3"/>
    <b v="0"/>
    <n v="1"/>
    <n v="2"/>
    <x v="1"/>
    <n v="16"/>
    <x v="0"/>
    <n v="0.2273"/>
    <n v="0.69"/>
    <n v="17.94158974358977"/>
    <x v="1"/>
    <n v="0"/>
    <n v="2"/>
    <n v="2"/>
    <m/>
    <x v="4"/>
  </r>
  <r>
    <n v="693"/>
    <x v="30"/>
    <x v="5"/>
    <b v="0"/>
    <n v="1"/>
    <n v="3"/>
    <x v="2"/>
    <n v="14.000000000000002"/>
    <x v="0"/>
    <n v="0.21210000000000001"/>
    <n v="0.93"/>
    <n v="17.94158974358977"/>
    <x v="1"/>
    <n v="0"/>
    <n v="3"/>
    <n v="3"/>
    <m/>
    <x v="4"/>
  </r>
  <r>
    <n v="694"/>
    <x v="30"/>
    <x v="6"/>
    <b v="0"/>
    <n v="1"/>
    <n v="3"/>
    <x v="2"/>
    <n v="14.000000000000002"/>
    <x v="0"/>
    <n v="0.21210000000000001"/>
    <n v="0.93"/>
    <n v="17.94158974358977"/>
    <x v="1"/>
    <n v="0"/>
    <n v="22"/>
    <n v="22"/>
    <m/>
    <x v="4"/>
  </r>
  <r>
    <n v="695"/>
    <x v="30"/>
    <x v="7"/>
    <b v="0"/>
    <n v="1"/>
    <n v="3"/>
    <x v="2"/>
    <n v="16"/>
    <x v="0"/>
    <n v="0.2273"/>
    <n v="0.93"/>
    <n v="17.94158974358977"/>
    <x v="1"/>
    <n v="0"/>
    <n v="52"/>
    <n v="52"/>
    <m/>
    <x v="4"/>
  </r>
  <r>
    <n v="696"/>
    <x v="30"/>
    <x v="8"/>
    <b v="0"/>
    <n v="1"/>
    <n v="3"/>
    <x v="2"/>
    <n v="16"/>
    <x v="0"/>
    <n v="0.2273"/>
    <n v="0.93"/>
    <n v="17.94158974358977"/>
    <x v="1"/>
    <n v="3"/>
    <n v="132"/>
    <n v="135"/>
    <m/>
    <x v="4"/>
  </r>
  <r>
    <n v="697"/>
    <x v="30"/>
    <x v="9"/>
    <b v="0"/>
    <n v="1"/>
    <n v="2"/>
    <x v="1"/>
    <n v="16"/>
    <x v="0"/>
    <n v="0.2273"/>
    <n v="0.93"/>
    <n v="17.94158974358977"/>
    <x v="1"/>
    <n v="2"/>
    <n v="114"/>
    <n v="116"/>
    <m/>
    <x v="4"/>
  </r>
  <r>
    <n v="698"/>
    <x v="30"/>
    <x v="10"/>
    <b v="0"/>
    <n v="1"/>
    <n v="2"/>
    <x v="1"/>
    <n v="16"/>
    <x v="0"/>
    <n v="0.2273"/>
    <n v="0.93"/>
    <n v="17.94158974358977"/>
    <x v="1"/>
    <n v="0"/>
    <n v="47"/>
    <n v="47"/>
    <m/>
    <x v="4"/>
  </r>
  <r>
    <n v="699"/>
    <x v="30"/>
    <x v="11"/>
    <b v="0"/>
    <n v="1"/>
    <n v="2"/>
    <x v="1"/>
    <n v="18"/>
    <x v="0"/>
    <n v="0.2424"/>
    <n v="0.86"/>
    <n v="17.94158974358977"/>
    <x v="1"/>
    <n v="2"/>
    <n v="49"/>
    <n v="51"/>
    <m/>
    <x v="4"/>
  </r>
  <r>
    <n v="700"/>
    <x v="30"/>
    <x v="12"/>
    <b v="0"/>
    <n v="1"/>
    <n v="2"/>
    <x v="1"/>
    <n v="20"/>
    <x v="0"/>
    <n v="0.2576"/>
    <n v="0.86"/>
    <n v="17.94158974358977"/>
    <x v="1"/>
    <n v="2"/>
    <n v="53"/>
    <n v="55"/>
    <m/>
    <x v="4"/>
  </r>
  <r>
    <n v="701"/>
    <x v="30"/>
    <x v="13"/>
    <b v="0"/>
    <n v="1"/>
    <n v="2"/>
    <x v="1"/>
    <n v="20"/>
    <x v="0"/>
    <n v="0.2576"/>
    <n v="0.86"/>
    <n v="17.94158974358977"/>
    <x v="1"/>
    <n v="3"/>
    <n v="49"/>
    <n v="52"/>
    <m/>
    <x v="4"/>
  </r>
  <r>
    <n v="702"/>
    <x v="30"/>
    <x v="14"/>
    <b v="0"/>
    <n v="1"/>
    <n v="2"/>
    <x v="1"/>
    <n v="22"/>
    <x v="0"/>
    <n v="0.2576"/>
    <n v="0.8"/>
    <n v="8.9599999999999991"/>
    <x v="1"/>
    <n v="5"/>
    <n v="49"/>
    <n v="54"/>
    <m/>
    <x v="4"/>
  </r>
  <r>
    <n v="703"/>
    <x v="30"/>
    <x v="15"/>
    <b v="0"/>
    <n v="1"/>
    <n v="2"/>
    <x v="1"/>
    <n v="24"/>
    <x v="0"/>
    <n v="0.28789999999999999"/>
    <n v="0.75"/>
    <n v="17.94158974358977"/>
    <x v="1"/>
    <n v="7"/>
    <n v="45"/>
    <n v="52"/>
    <m/>
    <x v="4"/>
  </r>
  <r>
    <n v="704"/>
    <x v="30"/>
    <x v="16"/>
    <b v="0"/>
    <n v="1"/>
    <n v="2"/>
    <x v="1"/>
    <n v="24"/>
    <x v="0"/>
    <n v="0.2424"/>
    <n v="0.75"/>
    <n v="13.43"/>
    <x v="1"/>
    <n v="3"/>
    <n v="61"/>
    <n v="64"/>
    <m/>
    <x v="4"/>
  </r>
  <r>
    <n v="705"/>
    <x v="30"/>
    <x v="17"/>
    <b v="0"/>
    <n v="1"/>
    <n v="2"/>
    <x v="1"/>
    <n v="24"/>
    <x v="0"/>
    <n v="0.28789999999999999"/>
    <n v="0.75"/>
    <n v="17.94158974358977"/>
    <x v="1"/>
    <n v="4"/>
    <n v="172"/>
    <n v="176"/>
    <m/>
    <x v="4"/>
  </r>
  <r>
    <n v="706"/>
    <x v="30"/>
    <x v="18"/>
    <b v="0"/>
    <n v="1"/>
    <n v="2"/>
    <x v="1"/>
    <n v="24"/>
    <x v="0"/>
    <n v="0.2576"/>
    <n v="0.81"/>
    <n v="10.45"/>
    <x v="1"/>
    <n v="3"/>
    <n v="165"/>
    <n v="168"/>
    <m/>
    <x v="4"/>
  </r>
  <r>
    <n v="707"/>
    <x v="30"/>
    <x v="19"/>
    <b v="0"/>
    <n v="1"/>
    <n v="2"/>
    <x v="1"/>
    <n v="24"/>
    <x v="0"/>
    <n v="0.2424"/>
    <n v="0.81"/>
    <n v="13.43"/>
    <x v="1"/>
    <n v="3"/>
    <n v="105"/>
    <n v="108"/>
    <m/>
    <x v="4"/>
  </r>
  <r>
    <n v="708"/>
    <x v="30"/>
    <x v="20"/>
    <b v="0"/>
    <n v="1"/>
    <n v="2"/>
    <x v="1"/>
    <n v="22"/>
    <x v="0"/>
    <n v="0.2273"/>
    <n v="0.87"/>
    <n v="13.43"/>
    <x v="1"/>
    <n v="5"/>
    <n v="69"/>
    <n v="74"/>
    <m/>
    <x v="4"/>
  </r>
  <r>
    <n v="709"/>
    <x v="30"/>
    <x v="21"/>
    <b v="0"/>
    <n v="1"/>
    <n v="2"/>
    <x v="1"/>
    <n v="22"/>
    <x v="0"/>
    <n v="0.2273"/>
    <n v="0.87"/>
    <n v="13.43"/>
    <x v="1"/>
    <n v="0"/>
    <n v="64"/>
    <n v="64"/>
    <m/>
    <x v="4"/>
  </r>
  <r>
    <n v="710"/>
    <x v="30"/>
    <x v="22"/>
    <b v="0"/>
    <n v="1"/>
    <n v="2"/>
    <x v="1"/>
    <n v="22"/>
    <x v="0"/>
    <n v="0.2576"/>
    <n v="0.87"/>
    <n v="8.9599999999999991"/>
    <x v="1"/>
    <n v="2"/>
    <n v="34"/>
    <n v="36"/>
    <m/>
    <x v="4"/>
  </r>
  <r>
    <n v="711"/>
    <x v="30"/>
    <x v="23"/>
    <b v="0"/>
    <n v="1"/>
    <n v="3"/>
    <x v="2"/>
    <n v="20"/>
    <x v="0"/>
    <n v="0.19700000000000001"/>
    <n v="0.93"/>
    <n v="19.400000000000002"/>
    <x v="1"/>
    <n v="1"/>
    <n v="15"/>
    <n v="16"/>
    <m/>
    <x v="4"/>
  </r>
  <r>
    <n v="712"/>
    <x v="31"/>
    <x v="0"/>
    <b v="0"/>
    <n v="2"/>
    <n v="3"/>
    <x v="2"/>
    <n v="22"/>
    <x v="0"/>
    <n v="0.2424"/>
    <n v="0.93"/>
    <n v="10.45"/>
    <x v="1"/>
    <n v="0"/>
    <n v="2"/>
    <n v="2"/>
    <m/>
    <x v="0"/>
  </r>
  <r>
    <n v="713"/>
    <x v="31"/>
    <x v="1"/>
    <b v="0"/>
    <n v="2"/>
    <n v="3"/>
    <x v="2"/>
    <n v="22"/>
    <x v="0"/>
    <n v="0.2273"/>
    <n v="0.93"/>
    <n v="19.400000000000002"/>
    <x v="1"/>
    <n v="0"/>
    <n v="3"/>
    <n v="3"/>
    <m/>
    <x v="0"/>
  </r>
  <r>
    <n v="714"/>
    <x v="31"/>
    <x v="2"/>
    <b v="0"/>
    <n v="2"/>
    <n v="3"/>
    <x v="2"/>
    <n v="22"/>
    <x v="0"/>
    <n v="0.2273"/>
    <n v="0.93"/>
    <n v="13.43"/>
    <x v="1"/>
    <n v="4"/>
    <n v="0"/>
    <n v="4"/>
    <m/>
    <x v="0"/>
  </r>
  <r>
    <n v="715"/>
    <x v="31"/>
    <x v="3"/>
    <b v="0"/>
    <n v="2"/>
    <n v="3"/>
    <x v="2"/>
    <n v="22"/>
    <x v="0"/>
    <n v="0.2273"/>
    <n v="0.93"/>
    <n v="13.43"/>
    <x v="1"/>
    <n v="0"/>
    <n v="1"/>
    <n v="1"/>
    <m/>
    <x v="0"/>
  </r>
  <r>
    <n v="716"/>
    <x v="31"/>
    <x v="4"/>
    <b v="0"/>
    <n v="2"/>
    <n v="3"/>
    <x v="2"/>
    <n v="22"/>
    <x v="0"/>
    <n v="0.21210000000000001"/>
    <n v="0.93"/>
    <n v="28.360000000000003"/>
    <x v="0"/>
    <n v="0"/>
    <n v="1"/>
    <n v="1"/>
    <m/>
    <x v="0"/>
  </r>
  <r>
    <n v="717"/>
    <x v="31"/>
    <x v="5"/>
    <b v="0"/>
    <n v="2"/>
    <n v="3"/>
    <x v="2"/>
    <n v="22"/>
    <x v="0"/>
    <n v="0.2424"/>
    <n v="0.93"/>
    <n v="10.45"/>
    <x v="1"/>
    <n v="0"/>
    <n v="3"/>
    <n v="3"/>
    <m/>
    <x v="0"/>
  </r>
  <r>
    <n v="718"/>
    <x v="31"/>
    <x v="6"/>
    <b v="0"/>
    <n v="2"/>
    <n v="3"/>
    <x v="2"/>
    <n v="22"/>
    <x v="0"/>
    <n v="0.2424"/>
    <n v="0.93"/>
    <n v="10.45"/>
    <x v="1"/>
    <n v="1"/>
    <n v="17"/>
    <n v="18"/>
    <m/>
    <x v="0"/>
  </r>
  <r>
    <n v="719"/>
    <x v="31"/>
    <x v="7"/>
    <b v="0"/>
    <n v="2"/>
    <n v="3"/>
    <x v="2"/>
    <n v="22"/>
    <x v="0"/>
    <n v="0.21210000000000001"/>
    <n v="0.93"/>
    <n v="22.39"/>
    <x v="0"/>
    <n v="1"/>
    <n v="48"/>
    <n v="49"/>
    <m/>
    <x v="0"/>
  </r>
  <r>
    <n v="720"/>
    <x v="31"/>
    <x v="8"/>
    <b v="0"/>
    <n v="2"/>
    <n v="3"/>
    <x v="2"/>
    <n v="22"/>
    <x v="0"/>
    <n v="0.21210000000000001"/>
    <n v="0.93"/>
    <n v="22.39"/>
    <x v="0"/>
    <n v="1"/>
    <n v="154"/>
    <n v="155"/>
    <m/>
    <x v="0"/>
  </r>
  <r>
    <n v="721"/>
    <x v="31"/>
    <x v="9"/>
    <b v="0"/>
    <n v="2"/>
    <n v="2"/>
    <x v="1"/>
    <n v="24"/>
    <x v="0"/>
    <n v="0.2576"/>
    <n v="0.93"/>
    <n v="8.9599999999999991"/>
    <x v="1"/>
    <n v="4"/>
    <n v="119"/>
    <n v="123"/>
    <m/>
    <x v="0"/>
  </r>
  <r>
    <n v="722"/>
    <x v="31"/>
    <x v="10"/>
    <b v="0"/>
    <n v="2"/>
    <n v="2"/>
    <x v="1"/>
    <n v="22"/>
    <x v="0"/>
    <n v="0.2727"/>
    <n v="1"/>
    <n v="17.94158974358977"/>
    <x v="1"/>
    <n v="2"/>
    <n v="59"/>
    <n v="61"/>
    <m/>
    <x v="0"/>
  </r>
  <r>
    <n v="723"/>
    <x v="31"/>
    <x v="11"/>
    <b v="0"/>
    <n v="2"/>
    <n v="2"/>
    <x v="1"/>
    <n v="24"/>
    <x v="0"/>
    <n v="0.2273"/>
    <n v="0.93"/>
    <n v="19.400000000000002"/>
    <x v="1"/>
    <n v="5"/>
    <n v="47"/>
    <n v="52"/>
    <m/>
    <x v="0"/>
  </r>
  <r>
    <n v="724"/>
    <x v="31"/>
    <x v="12"/>
    <b v="0"/>
    <n v="2"/>
    <n v="2"/>
    <x v="1"/>
    <n v="24"/>
    <x v="0"/>
    <n v="0.2273"/>
    <n v="0.93"/>
    <n v="22.39"/>
    <x v="0"/>
    <n v="3"/>
    <n v="61"/>
    <n v="64"/>
    <m/>
    <x v="0"/>
  </r>
  <r>
    <n v="725"/>
    <x v="31"/>
    <x v="13"/>
    <b v="0"/>
    <n v="2"/>
    <n v="1"/>
    <x v="0"/>
    <n v="34"/>
    <x v="1"/>
    <n v="0.33329999999999999"/>
    <n v="0.93"/>
    <n v="16.420000000000002"/>
    <x v="1"/>
    <n v="1"/>
    <n v="74"/>
    <n v="75"/>
    <m/>
    <x v="0"/>
  </r>
  <r>
    <n v="726"/>
    <x v="31"/>
    <x v="14"/>
    <b v="0"/>
    <n v="2"/>
    <n v="1"/>
    <x v="0"/>
    <n v="38"/>
    <x v="1"/>
    <n v="0.39389999999999997"/>
    <n v="0.82"/>
    <n v="38.81"/>
    <x v="2"/>
    <n v="2"/>
    <n v="61"/>
    <n v="63"/>
    <m/>
    <x v="0"/>
  </r>
  <r>
    <n v="727"/>
    <x v="31"/>
    <x v="15"/>
    <b v="0"/>
    <n v="2"/>
    <n v="1"/>
    <x v="0"/>
    <n v="38"/>
    <x v="1"/>
    <n v="0.39389999999999997"/>
    <n v="0.76"/>
    <n v="32.840000000000003"/>
    <x v="2"/>
    <n v="10"/>
    <n v="66"/>
    <n v="76"/>
    <m/>
    <x v="0"/>
  </r>
  <r>
    <n v="728"/>
    <x v="31"/>
    <x v="16"/>
    <b v="0"/>
    <n v="2"/>
    <n v="1"/>
    <x v="0"/>
    <n v="36"/>
    <x v="1"/>
    <n v="0.33329999999999999"/>
    <n v="0.71"/>
    <n v="29.849999999999998"/>
    <x v="0"/>
    <n v="8"/>
    <n v="95"/>
    <n v="103"/>
    <m/>
    <x v="0"/>
  </r>
  <r>
    <n v="729"/>
    <x v="31"/>
    <x v="17"/>
    <b v="0"/>
    <n v="2"/>
    <n v="1"/>
    <x v="0"/>
    <n v="36"/>
    <x v="1"/>
    <n v="0.31819999999999998"/>
    <n v="0.53"/>
    <n v="52.239999999999995"/>
    <x v="2"/>
    <n v="7"/>
    <n v="183"/>
    <n v="190"/>
    <m/>
    <x v="0"/>
  </r>
  <r>
    <n v="730"/>
    <x v="31"/>
    <x v="18"/>
    <b v="0"/>
    <n v="2"/>
    <n v="1"/>
    <x v="0"/>
    <n v="34"/>
    <x v="1"/>
    <n v="0.28789999999999999"/>
    <n v="0.42"/>
    <n v="55.22"/>
    <x v="2"/>
    <n v="7"/>
    <n v="175"/>
    <n v="182"/>
    <m/>
    <x v="0"/>
  </r>
  <r>
    <n v="731"/>
    <x v="31"/>
    <x v="19"/>
    <b v="0"/>
    <n v="2"/>
    <n v="1"/>
    <x v="0"/>
    <n v="28.000000000000004"/>
    <x v="1"/>
    <n v="0.2424"/>
    <n v="0.45"/>
    <n v="49.25"/>
    <x v="2"/>
    <n v="3"/>
    <n v="88"/>
    <n v="91"/>
    <m/>
    <x v="0"/>
  </r>
  <r>
    <n v="732"/>
    <x v="31"/>
    <x v="20"/>
    <b v="0"/>
    <n v="2"/>
    <n v="1"/>
    <x v="0"/>
    <n v="24"/>
    <x v="0"/>
    <n v="0.19700000000000001"/>
    <n v="0.48"/>
    <n v="55.22"/>
    <x v="2"/>
    <n v="4"/>
    <n v="71"/>
    <n v="75"/>
    <m/>
    <x v="0"/>
  </r>
  <r>
    <n v="733"/>
    <x v="31"/>
    <x v="21"/>
    <b v="0"/>
    <n v="2"/>
    <n v="1"/>
    <x v="0"/>
    <n v="22"/>
    <x v="0"/>
    <n v="0.19700000000000001"/>
    <n v="0.47"/>
    <n v="32.840000000000003"/>
    <x v="2"/>
    <n v="1"/>
    <n v="62"/>
    <n v="63"/>
    <m/>
    <x v="0"/>
  </r>
  <r>
    <n v="734"/>
    <x v="31"/>
    <x v="22"/>
    <b v="0"/>
    <n v="2"/>
    <n v="1"/>
    <x v="0"/>
    <n v="22"/>
    <x v="0"/>
    <n v="0.21210000000000001"/>
    <n v="0.44"/>
    <n v="25.369999999999997"/>
    <x v="0"/>
    <n v="5"/>
    <n v="35"/>
    <n v="40"/>
    <m/>
    <x v="0"/>
  </r>
  <r>
    <n v="735"/>
    <x v="31"/>
    <x v="23"/>
    <b v="0"/>
    <n v="2"/>
    <n v="1"/>
    <x v="0"/>
    <n v="20"/>
    <x v="0"/>
    <n v="0.16669999999999999"/>
    <n v="0.44"/>
    <n v="44.78"/>
    <x v="2"/>
    <n v="3"/>
    <n v="29"/>
    <n v="32"/>
    <m/>
    <x v="0"/>
  </r>
  <r>
    <n v="736"/>
    <x v="32"/>
    <x v="0"/>
    <b v="0"/>
    <n v="3"/>
    <n v="1"/>
    <x v="0"/>
    <n v="20"/>
    <x v="0"/>
    <n v="0.16669999999999999"/>
    <n v="0.4"/>
    <n v="44.78"/>
    <x v="2"/>
    <n v="1"/>
    <n v="11"/>
    <n v="12"/>
    <m/>
    <x v="0"/>
  </r>
  <r>
    <n v="737"/>
    <x v="32"/>
    <x v="1"/>
    <b v="0"/>
    <n v="3"/>
    <n v="1"/>
    <x v="0"/>
    <n v="20"/>
    <x v="0"/>
    <n v="0.1515"/>
    <n v="0.44"/>
    <n v="52.239999999999995"/>
    <x v="2"/>
    <n v="0"/>
    <n v="5"/>
    <n v="5"/>
    <m/>
    <x v="0"/>
  </r>
  <r>
    <n v="738"/>
    <x v="32"/>
    <x v="2"/>
    <b v="0"/>
    <n v="3"/>
    <n v="1"/>
    <x v="0"/>
    <n v="18"/>
    <x v="0"/>
    <n v="0.16669999999999999"/>
    <n v="0.43"/>
    <n v="25.369999999999997"/>
    <x v="0"/>
    <n v="0"/>
    <n v="2"/>
    <n v="2"/>
    <m/>
    <x v="0"/>
  </r>
  <r>
    <n v="739"/>
    <x v="32"/>
    <x v="3"/>
    <b v="0"/>
    <n v="3"/>
    <n v="1"/>
    <x v="0"/>
    <n v="18"/>
    <x v="0"/>
    <n v="0.16669999999999999"/>
    <n v="0.43"/>
    <n v="25.369999999999997"/>
    <x v="0"/>
    <n v="0"/>
    <n v="1"/>
    <n v="1"/>
    <m/>
    <x v="0"/>
  </r>
  <r>
    <n v="740"/>
    <x v="32"/>
    <x v="5"/>
    <b v="0"/>
    <n v="3"/>
    <n v="1"/>
    <x v="0"/>
    <n v="16"/>
    <x v="0"/>
    <n v="0.13639999999999999"/>
    <n v="0.5"/>
    <n v="29.849999999999998"/>
    <x v="0"/>
    <n v="0"/>
    <n v="2"/>
    <n v="2"/>
    <m/>
    <x v="0"/>
  </r>
  <r>
    <n v="741"/>
    <x v="32"/>
    <x v="6"/>
    <b v="0"/>
    <n v="3"/>
    <n v="1"/>
    <x v="0"/>
    <n v="16"/>
    <x v="0"/>
    <n v="0.13639999999999999"/>
    <n v="0.43"/>
    <n v="35.82"/>
    <x v="2"/>
    <n v="0"/>
    <n v="39"/>
    <n v="39"/>
    <m/>
    <x v="0"/>
  </r>
  <r>
    <n v="742"/>
    <x v="32"/>
    <x v="7"/>
    <b v="0"/>
    <n v="3"/>
    <n v="1"/>
    <x v="0"/>
    <n v="14.000000000000002"/>
    <x v="0"/>
    <n v="0.1212"/>
    <n v="0.5"/>
    <n v="32.840000000000003"/>
    <x v="2"/>
    <n v="1"/>
    <n v="86"/>
    <n v="87"/>
    <m/>
    <x v="0"/>
  </r>
  <r>
    <n v="743"/>
    <x v="32"/>
    <x v="8"/>
    <b v="0"/>
    <n v="3"/>
    <n v="1"/>
    <x v="0"/>
    <n v="14.000000000000002"/>
    <x v="0"/>
    <n v="0.1212"/>
    <n v="0.5"/>
    <n v="35.82"/>
    <x v="2"/>
    <n v="4"/>
    <n v="184"/>
    <n v="188"/>
    <m/>
    <x v="0"/>
  </r>
  <r>
    <n v="744"/>
    <x v="32"/>
    <x v="9"/>
    <b v="0"/>
    <n v="3"/>
    <n v="1"/>
    <x v="0"/>
    <n v="16"/>
    <x v="0"/>
    <n v="0.13639999999999999"/>
    <n v="0.47"/>
    <n v="29.849999999999998"/>
    <x v="0"/>
    <n v="6"/>
    <n v="127"/>
    <n v="133"/>
    <m/>
    <x v="0"/>
  </r>
  <r>
    <n v="745"/>
    <x v="32"/>
    <x v="10"/>
    <b v="0"/>
    <n v="3"/>
    <n v="1"/>
    <x v="0"/>
    <n v="18"/>
    <x v="0"/>
    <n v="0.1515"/>
    <n v="0.43"/>
    <n v="32.840000000000003"/>
    <x v="2"/>
    <n v="2"/>
    <n v="50"/>
    <n v="52"/>
    <m/>
    <x v="0"/>
  </r>
  <r>
    <n v="746"/>
    <x v="32"/>
    <x v="11"/>
    <b v="0"/>
    <n v="3"/>
    <n v="1"/>
    <x v="0"/>
    <n v="18"/>
    <x v="0"/>
    <n v="0.13639999999999999"/>
    <n v="0.43"/>
    <n v="44.78"/>
    <x v="2"/>
    <n v="9"/>
    <n v="55"/>
    <n v="64"/>
    <m/>
    <x v="0"/>
  </r>
  <r>
    <n v="747"/>
    <x v="32"/>
    <x v="12"/>
    <b v="0"/>
    <n v="3"/>
    <n v="1"/>
    <x v="0"/>
    <n v="20"/>
    <x v="0"/>
    <n v="0.18179999999999999"/>
    <n v="0.4"/>
    <n v="35.82"/>
    <x v="2"/>
    <n v="2"/>
    <n v="67"/>
    <n v="69"/>
    <m/>
    <x v="0"/>
  </r>
  <r>
    <n v="748"/>
    <x v="32"/>
    <x v="13"/>
    <b v="0"/>
    <n v="3"/>
    <n v="1"/>
    <x v="0"/>
    <n v="20"/>
    <x v="0"/>
    <n v="0.16669999999999999"/>
    <n v="0.4"/>
    <n v="41.79"/>
    <x v="2"/>
    <n v="4"/>
    <n v="47"/>
    <n v="51"/>
    <m/>
    <x v="0"/>
  </r>
  <r>
    <n v="749"/>
    <x v="32"/>
    <x v="14"/>
    <b v="0"/>
    <n v="3"/>
    <n v="1"/>
    <x v="0"/>
    <n v="22"/>
    <x v="0"/>
    <n v="0.19700000000000001"/>
    <n v="0.37"/>
    <n v="38.81"/>
    <x v="2"/>
    <n v="4"/>
    <n v="43"/>
    <n v="47"/>
    <m/>
    <x v="0"/>
  </r>
  <r>
    <n v="750"/>
    <x v="32"/>
    <x v="15"/>
    <b v="0"/>
    <n v="3"/>
    <n v="1"/>
    <x v="0"/>
    <n v="22"/>
    <x v="0"/>
    <n v="0.19700000000000001"/>
    <n v="0.37"/>
    <n v="32.840000000000003"/>
    <x v="2"/>
    <n v="4"/>
    <n v="56"/>
    <n v="60"/>
    <m/>
    <x v="0"/>
  </r>
  <r>
    <n v="751"/>
    <x v="32"/>
    <x v="16"/>
    <b v="0"/>
    <n v="3"/>
    <n v="1"/>
    <x v="0"/>
    <n v="22"/>
    <x v="0"/>
    <n v="0.21210000000000001"/>
    <n v="0.37"/>
    <n v="25.369999999999997"/>
    <x v="0"/>
    <n v="5"/>
    <n v="73"/>
    <n v="78"/>
    <m/>
    <x v="0"/>
  </r>
  <r>
    <n v="752"/>
    <x v="32"/>
    <x v="17"/>
    <b v="0"/>
    <n v="3"/>
    <n v="1"/>
    <x v="0"/>
    <n v="20"/>
    <x v="0"/>
    <n v="0.19700000000000001"/>
    <n v="0.4"/>
    <n v="19.400000000000002"/>
    <x v="1"/>
    <n v="5"/>
    <n v="170"/>
    <n v="175"/>
    <m/>
    <x v="0"/>
  </r>
  <r>
    <n v="753"/>
    <x v="32"/>
    <x v="18"/>
    <b v="0"/>
    <n v="3"/>
    <n v="1"/>
    <x v="0"/>
    <n v="20"/>
    <x v="0"/>
    <n v="0.21210000000000001"/>
    <n v="0.4"/>
    <n v="16.420000000000002"/>
    <x v="1"/>
    <n v="2"/>
    <n v="145"/>
    <n v="147"/>
    <m/>
    <x v="0"/>
  </r>
  <r>
    <n v="754"/>
    <x v="32"/>
    <x v="19"/>
    <b v="0"/>
    <n v="3"/>
    <n v="1"/>
    <x v="0"/>
    <n v="20"/>
    <x v="0"/>
    <n v="0.2576"/>
    <n v="0.4"/>
    <n v="17.94158974358977"/>
    <x v="1"/>
    <n v="4"/>
    <n v="92"/>
    <n v="96"/>
    <m/>
    <x v="0"/>
  </r>
  <r>
    <n v="755"/>
    <x v="32"/>
    <x v="20"/>
    <b v="0"/>
    <n v="3"/>
    <n v="1"/>
    <x v="0"/>
    <n v="20"/>
    <x v="0"/>
    <n v="0.2273"/>
    <n v="0.47"/>
    <n v="8.9599999999999991"/>
    <x v="1"/>
    <n v="1"/>
    <n v="108"/>
    <n v="109"/>
    <m/>
    <x v="0"/>
  </r>
  <r>
    <n v="756"/>
    <x v="32"/>
    <x v="21"/>
    <b v="0"/>
    <n v="3"/>
    <n v="1"/>
    <x v="0"/>
    <n v="18"/>
    <x v="0"/>
    <n v="0.21210000000000001"/>
    <n v="0.55000000000000004"/>
    <n v="10.45"/>
    <x v="1"/>
    <n v="1"/>
    <n v="53"/>
    <n v="54"/>
    <m/>
    <x v="0"/>
  </r>
  <r>
    <n v="757"/>
    <x v="32"/>
    <x v="22"/>
    <b v="0"/>
    <n v="3"/>
    <n v="1"/>
    <x v="0"/>
    <n v="18"/>
    <x v="0"/>
    <n v="0.21210000000000001"/>
    <n v="0.51"/>
    <n v="8.9599999999999991"/>
    <x v="1"/>
    <n v="2"/>
    <n v="39"/>
    <n v="41"/>
    <m/>
    <x v="0"/>
  </r>
  <r>
    <n v="758"/>
    <x v="32"/>
    <x v="23"/>
    <b v="0"/>
    <n v="3"/>
    <n v="1"/>
    <x v="0"/>
    <n v="20"/>
    <x v="0"/>
    <n v="0.2273"/>
    <n v="0.47"/>
    <n v="10.45"/>
    <x v="1"/>
    <n v="4"/>
    <n v="34"/>
    <n v="38"/>
    <m/>
    <x v="0"/>
  </r>
  <r>
    <n v="759"/>
    <x v="33"/>
    <x v="0"/>
    <b v="0"/>
    <n v="4"/>
    <n v="2"/>
    <x v="1"/>
    <n v="20"/>
    <x v="0"/>
    <n v="0.2576"/>
    <n v="0.44"/>
    <n v="17.94158974358977"/>
    <x v="1"/>
    <n v="3"/>
    <n v="10"/>
    <n v="13"/>
    <m/>
    <x v="0"/>
  </r>
  <r>
    <n v="760"/>
    <x v="33"/>
    <x v="1"/>
    <b v="0"/>
    <n v="4"/>
    <n v="2"/>
    <x v="1"/>
    <n v="16"/>
    <x v="0"/>
    <n v="0.2273"/>
    <n v="0.59"/>
    <n v="17.94158974358977"/>
    <x v="1"/>
    <n v="0"/>
    <n v="7"/>
    <n v="7"/>
    <m/>
    <x v="0"/>
  </r>
  <r>
    <n v="761"/>
    <x v="33"/>
    <x v="2"/>
    <b v="0"/>
    <n v="4"/>
    <n v="2"/>
    <x v="1"/>
    <n v="14.000000000000002"/>
    <x v="0"/>
    <n v="0.16669999999999999"/>
    <n v="0.63"/>
    <n v="10.45"/>
    <x v="1"/>
    <n v="0"/>
    <n v="1"/>
    <n v="1"/>
    <m/>
    <x v="0"/>
  </r>
  <r>
    <n v="762"/>
    <x v="33"/>
    <x v="3"/>
    <b v="0"/>
    <n v="4"/>
    <n v="2"/>
    <x v="1"/>
    <n v="14.000000000000002"/>
    <x v="0"/>
    <n v="0.16669999999999999"/>
    <n v="0.63"/>
    <n v="10.45"/>
    <x v="1"/>
    <n v="0"/>
    <n v="1"/>
    <n v="1"/>
    <m/>
    <x v="0"/>
  </r>
  <r>
    <n v="763"/>
    <x v="33"/>
    <x v="5"/>
    <b v="0"/>
    <n v="4"/>
    <n v="2"/>
    <x v="1"/>
    <n v="14.000000000000002"/>
    <x v="0"/>
    <n v="0.1515"/>
    <n v="0.63"/>
    <n v="13.43"/>
    <x v="1"/>
    <n v="0"/>
    <n v="7"/>
    <n v="7"/>
    <m/>
    <x v="0"/>
  </r>
  <r>
    <n v="764"/>
    <x v="33"/>
    <x v="6"/>
    <b v="0"/>
    <n v="4"/>
    <n v="2"/>
    <x v="1"/>
    <n v="16"/>
    <x v="0"/>
    <n v="0.2273"/>
    <n v="0.55000000000000004"/>
    <n v="17.94158974358977"/>
    <x v="1"/>
    <n v="2"/>
    <n v="26"/>
    <n v="28"/>
    <m/>
    <x v="0"/>
  </r>
  <r>
    <n v="765"/>
    <x v="33"/>
    <x v="7"/>
    <b v="0"/>
    <n v="4"/>
    <n v="1"/>
    <x v="0"/>
    <n v="14.000000000000002"/>
    <x v="0"/>
    <n v="0.21210000000000001"/>
    <n v="0.59"/>
    <n v="17.94158974358977"/>
    <x v="1"/>
    <n v="0"/>
    <n v="87"/>
    <n v="87"/>
    <m/>
    <x v="0"/>
  </r>
  <r>
    <n v="766"/>
    <x v="33"/>
    <x v="8"/>
    <b v="0"/>
    <n v="4"/>
    <n v="1"/>
    <x v="0"/>
    <n v="14.000000000000002"/>
    <x v="0"/>
    <n v="0.1515"/>
    <n v="0.74"/>
    <n v="13.43"/>
    <x v="1"/>
    <n v="3"/>
    <n v="217"/>
    <n v="220"/>
    <m/>
    <x v="0"/>
  </r>
  <r>
    <n v="767"/>
    <x v="33"/>
    <x v="9"/>
    <b v="0"/>
    <n v="4"/>
    <n v="2"/>
    <x v="1"/>
    <n v="16"/>
    <x v="0"/>
    <n v="0.18179999999999999"/>
    <n v="0.8"/>
    <n v="13.43"/>
    <x v="1"/>
    <n v="3"/>
    <n v="124"/>
    <n v="127"/>
    <m/>
    <x v="0"/>
  </r>
  <r>
    <n v="768"/>
    <x v="33"/>
    <x v="10"/>
    <b v="0"/>
    <n v="4"/>
    <n v="2"/>
    <x v="1"/>
    <n v="20"/>
    <x v="0"/>
    <n v="0.21210000000000001"/>
    <n v="0.51"/>
    <n v="13.43"/>
    <x v="1"/>
    <n v="5"/>
    <n v="46"/>
    <n v="51"/>
    <m/>
    <x v="0"/>
  </r>
  <r>
    <n v="769"/>
    <x v="33"/>
    <x v="11"/>
    <b v="0"/>
    <n v="4"/>
    <n v="1"/>
    <x v="0"/>
    <n v="22"/>
    <x v="0"/>
    <n v="0.2273"/>
    <n v="0.51"/>
    <n v="16.420000000000002"/>
    <x v="1"/>
    <n v="3"/>
    <n v="61"/>
    <n v="64"/>
    <m/>
    <x v="0"/>
  </r>
  <r>
    <n v="770"/>
    <x v="33"/>
    <x v="12"/>
    <b v="0"/>
    <n v="4"/>
    <n v="2"/>
    <x v="1"/>
    <n v="24"/>
    <x v="0"/>
    <n v="0.2424"/>
    <n v="0.48"/>
    <n v="16.420000000000002"/>
    <x v="1"/>
    <n v="8"/>
    <n v="78"/>
    <n v="86"/>
    <m/>
    <x v="0"/>
  </r>
  <r>
    <n v="771"/>
    <x v="33"/>
    <x v="13"/>
    <b v="0"/>
    <n v="4"/>
    <n v="2"/>
    <x v="1"/>
    <n v="26"/>
    <x v="1"/>
    <n v="0.2576"/>
    <n v="0.5"/>
    <n v="22.39"/>
    <x v="0"/>
    <n v="9"/>
    <n v="73"/>
    <n v="82"/>
    <m/>
    <x v="0"/>
  </r>
  <r>
    <n v="772"/>
    <x v="33"/>
    <x v="14"/>
    <b v="0"/>
    <n v="4"/>
    <n v="2"/>
    <x v="1"/>
    <n v="28.000000000000004"/>
    <x v="1"/>
    <n v="0.2727"/>
    <n v="0.45"/>
    <n v="16.420000000000002"/>
    <x v="1"/>
    <n v="15"/>
    <n v="76"/>
    <n v="91"/>
    <m/>
    <x v="0"/>
  </r>
  <r>
    <n v="773"/>
    <x v="33"/>
    <x v="15"/>
    <b v="0"/>
    <n v="4"/>
    <n v="2"/>
    <x v="1"/>
    <n v="28.000000000000004"/>
    <x v="1"/>
    <n v="0.2727"/>
    <n v="0.48"/>
    <n v="25.369999999999997"/>
    <x v="0"/>
    <n v="9"/>
    <n v="81"/>
    <n v="90"/>
    <m/>
    <x v="0"/>
  </r>
  <r>
    <n v="774"/>
    <x v="33"/>
    <x v="16"/>
    <b v="0"/>
    <n v="4"/>
    <n v="2"/>
    <x v="1"/>
    <n v="30"/>
    <x v="1"/>
    <n v="0.28789999999999999"/>
    <n v="0.42"/>
    <n v="22.39"/>
    <x v="0"/>
    <n v="8"/>
    <n v="91"/>
    <n v="99"/>
    <m/>
    <x v="0"/>
  </r>
  <r>
    <n v="775"/>
    <x v="33"/>
    <x v="17"/>
    <b v="0"/>
    <n v="4"/>
    <n v="2"/>
    <x v="1"/>
    <n v="26"/>
    <x v="1"/>
    <n v="0.2727"/>
    <n v="0.56000000000000005"/>
    <n v="13.43"/>
    <x v="1"/>
    <n v="10"/>
    <n v="195"/>
    <n v="205"/>
    <m/>
    <x v="0"/>
  </r>
  <r>
    <n v="776"/>
    <x v="33"/>
    <x v="18"/>
    <b v="0"/>
    <n v="4"/>
    <n v="2"/>
    <x v="1"/>
    <n v="24"/>
    <x v="0"/>
    <n v="0.2576"/>
    <n v="0.6"/>
    <n v="10.45"/>
    <x v="1"/>
    <n v="3"/>
    <n v="152"/>
    <n v="155"/>
    <m/>
    <x v="0"/>
  </r>
  <r>
    <n v="777"/>
    <x v="33"/>
    <x v="19"/>
    <b v="0"/>
    <n v="4"/>
    <n v="2"/>
    <x v="1"/>
    <n v="24"/>
    <x v="0"/>
    <n v="0.2424"/>
    <n v="0.65"/>
    <n v="13.43"/>
    <x v="1"/>
    <n v="1"/>
    <n v="102"/>
    <n v="103"/>
    <m/>
    <x v="0"/>
  </r>
  <r>
    <n v="778"/>
    <x v="33"/>
    <x v="20"/>
    <b v="0"/>
    <n v="4"/>
    <n v="2"/>
    <x v="1"/>
    <n v="24"/>
    <x v="0"/>
    <n v="0.2424"/>
    <n v="0.65"/>
    <n v="16.420000000000002"/>
    <x v="1"/>
    <n v="2"/>
    <n v="69"/>
    <n v="71"/>
    <m/>
    <x v="0"/>
  </r>
  <r>
    <n v="779"/>
    <x v="33"/>
    <x v="21"/>
    <b v="0"/>
    <n v="4"/>
    <n v="2"/>
    <x v="1"/>
    <n v="24"/>
    <x v="0"/>
    <n v="0.2424"/>
    <n v="0.7"/>
    <n v="16.420000000000002"/>
    <x v="1"/>
    <n v="2"/>
    <n v="41"/>
    <n v="43"/>
    <m/>
    <x v="0"/>
  </r>
  <r>
    <n v="780"/>
    <x v="33"/>
    <x v="22"/>
    <b v="0"/>
    <n v="4"/>
    <n v="2"/>
    <x v="1"/>
    <n v="24"/>
    <x v="0"/>
    <n v="0.2424"/>
    <n v="0.65"/>
    <n v="16.420000000000002"/>
    <x v="1"/>
    <n v="1"/>
    <n v="45"/>
    <n v="46"/>
    <m/>
    <x v="0"/>
  </r>
  <r>
    <n v="781"/>
    <x v="33"/>
    <x v="23"/>
    <b v="0"/>
    <n v="4"/>
    <n v="2"/>
    <x v="1"/>
    <n v="24"/>
    <x v="0"/>
    <n v="0.2424"/>
    <n v="0.7"/>
    <n v="13.43"/>
    <x v="1"/>
    <n v="1"/>
    <n v="30"/>
    <n v="31"/>
    <m/>
    <x v="0"/>
  </r>
  <r>
    <n v="782"/>
    <x v="34"/>
    <x v="0"/>
    <b v="0"/>
    <n v="5"/>
    <n v="2"/>
    <x v="1"/>
    <n v="24"/>
    <x v="0"/>
    <n v="0.2424"/>
    <n v="0.7"/>
    <n v="16.420000000000002"/>
    <x v="1"/>
    <n v="3"/>
    <n v="36"/>
    <n v="39"/>
    <m/>
    <x v="0"/>
  </r>
  <r>
    <n v="783"/>
    <x v="34"/>
    <x v="1"/>
    <b v="0"/>
    <n v="5"/>
    <n v="2"/>
    <x v="1"/>
    <n v="24"/>
    <x v="0"/>
    <n v="0.2424"/>
    <n v="0.65"/>
    <n v="16.420000000000002"/>
    <x v="1"/>
    <n v="1"/>
    <n v="17"/>
    <n v="18"/>
    <m/>
    <x v="0"/>
  </r>
  <r>
    <n v="784"/>
    <x v="34"/>
    <x v="2"/>
    <b v="0"/>
    <n v="5"/>
    <n v="2"/>
    <x v="1"/>
    <n v="24"/>
    <x v="0"/>
    <n v="0.2424"/>
    <n v="0.75"/>
    <n v="16.420000000000002"/>
    <x v="1"/>
    <n v="5"/>
    <n v="12"/>
    <n v="17"/>
    <m/>
    <x v="0"/>
  </r>
  <r>
    <n v="785"/>
    <x v="34"/>
    <x v="3"/>
    <b v="0"/>
    <n v="5"/>
    <n v="2"/>
    <x v="1"/>
    <n v="24"/>
    <x v="0"/>
    <n v="0.2424"/>
    <n v="0.75"/>
    <n v="16.420000000000002"/>
    <x v="1"/>
    <n v="1"/>
    <n v="10"/>
    <n v="11"/>
    <m/>
    <x v="0"/>
  </r>
  <r>
    <n v="786"/>
    <x v="34"/>
    <x v="4"/>
    <b v="0"/>
    <n v="5"/>
    <n v="3"/>
    <x v="2"/>
    <n v="22"/>
    <x v="0"/>
    <n v="0.2273"/>
    <n v="0.93"/>
    <n v="13.43"/>
    <x v="1"/>
    <n v="0"/>
    <n v="8"/>
    <n v="8"/>
    <m/>
    <x v="0"/>
  </r>
  <r>
    <n v="787"/>
    <x v="34"/>
    <x v="5"/>
    <b v="0"/>
    <n v="5"/>
    <n v="3"/>
    <x v="2"/>
    <n v="20"/>
    <x v="0"/>
    <n v="0.2273"/>
    <n v="1"/>
    <n v="8.9599999999999991"/>
    <x v="1"/>
    <n v="0"/>
    <n v="9"/>
    <n v="9"/>
    <m/>
    <x v="0"/>
  </r>
  <r>
    <n v="788"/>
    <x v="34"/>
    <x v="6"/>
    <b v="0"/>
    <n v="5"/>
    <n v="3"/>
    <x v="2"/>
    <n v="20"/>
    <x v="0"/>
    <n v="0.2576"/>
    <n v="1"/>
    <n v="17.94158974358977"/>
    <x v="1"/>
    <n v="0"/>
    <n v="4"/>
    <n v="4"/>
    <m/>
    <x v="0"/>
  </r>
  <r>
    <n v="789"/>
    <x v="34"/>
    <x v="7"/>
    <b v="0"/>
    <n v="5"/>
    <n v="3"/>
    <x v="2"/>
    <n v="22"/>
    <x v="0"/>
    <n v="0.2576"/>
    <n v="0.93"/>
    <n v="8.9599999999999991"/>
    <x v="1"/>
    <n v="0"/>
    <n v="4"/>
    <n v="4"/>
    <m/>
    <x v="0"/>
  </r>
  <r>
    <n v="790"/>
    <x v="34"/>
    <x v="8"/>
    <b v="0"/>
    <n v="5"/>
    <n v="3"/>
    <x v="2"/>
    <n v="20"/>
    <x v="0"/>
    <n v="0.2273"/>
    <n v="1"/>
    <n v="8.9599999999999991"/>
    <x v="1"/>
    <n v="0"/>
    <n v="10"/>
    <n v="10"/>
    <m/>
    <x v="0"/>
  </r>
  <r>
    <n v="791"/>
    <x v="34"/>
    <x v="9"/>
    <b v="0"/>
    <n v="5"/>
    <n v="3"/>
    <x v="2"/>
    <n v="20"/>
    <x v="0"/>
    <n v="0.2273"/>
    <n v="1"/>
    <n v="8.9599999999999991"/>
    <x v="1"/>
    <n v="3"/>
    <n v="17"/>
    <n v="20"/>
    <m/>
    <x v="0"/>
  </r>
  <r>
    <n v="792"/>
    <x v="34"/>
    <x v="10"/>
    <b v="0"/>
    <n v="5"/>
    <n v="3"/>
    <x v="2"/>
    <n v="20"/>
    <x v="0"/>
    <n v="0.21210000000000001"/>
    <n v="1"/>
    <n v="13.43"/>
    <x v="1"/>
    <n v="3"/>
    <n v="31"/>
    <n v="34"/>
    <m/>
    <x v="0"/>
  </r>
  <r>
    <n v="793"/>
    <x v="34"/>
    <x v="11"/>
    <b v="0"/>
    <n v="5"/>
    <n v="3"/>
    <x v="2"/>
    <n v="22"/>
    <x v="0"/>
    <n v="0.2273"/>
    <n v="1"/>
    <n v="13.43"/>
    <x v="1"/>
    <n v="1"/>
    <n v="46"/>
    <n v="47"/>
    <m/>
    <x v="0"/>
  </r>
  <r>
    <n v="794"/>
    <x v="34"/>
    <x v="12"/>
    <b v="0"/>
    <n v="5"/>
    <n v="3"/>
    <x v="2"/>
    <n v="22"/>
    <x v="0"/>
    <n v="0.2273"/>
    <n v="1"/>
    <n v="16.420000000000002"/>
    <x v="1"/>
    <n v="10"/>
    <n v="42"/>
    <n v="52"/>
    <m/>
    <x v="0"/>
  </r>
  <r>
    <n v="795"/>
    <x v="34"/>
    <x v="13"/>
    <b v="0"/>
    <n v="5"/>
    <n v="3"/>
    <x v="2"/>
    <n v="22"/>
    <x v="0"/>
    <n v="0.2273"/>
    <n v="1"/>
    <n v="16.420000000000002"/>
    <x v="1"/>
    <n v="10"/>
    <n v="62"/>
    <n v="72"/>
    <m/>
    <x v="0"/>
  </r>
  <r>
    <n v="796"/>
    <x v="34"/>
    <x v="14"/>
    <b v="0"/>
    <n v="5"/>
    <n v="3"/>
    <x v="2"/>
    <n v="22"/>
    <x v="0"/>
    <n v="0.2727"/>
    <n v="1"/>
    <n v="17.94158974358977"/>
    <x v="1"/>
    <n v="5"/>
    <n v="50"/>
    <n v="55"/>
    <m/>
    <x v="0"/>
  </r>
  <r>
    <n v="797"/>
    <x v="34"/>
    <x v="15"/>
    <b v="0"/>
    <n v="5"/>
    <n v="3"/>
    <x v="2"/>
    <n v="22"/>
    <x v="0"/>
    <n v="0.2727"/>
    <n v="1"/>
    <n v="17.94158974358977"/>
    <x v="1"/>
    <n v="11"/>
    <n v="49"/>
    <n v="60"/>
    <m/>
    <x v="0"/>
  </r>
  <r>
    <n v="798"/>
    <x v="34"/>
    <x v="16"/>
    <b v="0"/>
    <n v="5"/>
    <n v="3"/>
    <x v="2"/>
    <n v="22"/>
    <x v="0"/>
    <n v="0.2273"/>
    <n v="1"/>
    <n v="13.43"/>
    <x v="1"/>
    <n v="8"/>
    <n v="63"/>
    <n v="71"/>
    <m/>
    <x v="0"/>
  </r>
  <r>
    <n v="799"/>
    <x v="34"/>
    <x v="17"/>
    <b v="0"/>
    <n v="5"/>
    <n v="2"/>
    <x v="1"/>
    <n v="24"/>
    <x v="0"/>
    <n v="0.21210000000000001"/>
    <n v="1"/>
    <n v="28.360000000000003"/>
    <x v="0"/>
    <n v="14"/>
    <n v="64"/>
    <n v="78"/>
    <m/>
    <x v="0"/>
  </r>
  <r>
    <n v="800"/>
    <x v="34"/>
    <x v="18"/>
    <b v="0"/>
    <n v="5"/>
    <n v="2"/>
    <x v="1"/>
    <n v="28.000000000000004"/>
    <x v="1"/>
    <n v="0.2424"/>
    <n v="0.93"/>
    <n v="44.78"/>
    <x v="2"/>
    <n v="2"/>
    <n v="81"/>
    <n v="83"/>
    <m/>
    <x v="0"/>
  </r>
  <r>
    <n v="801"/>
    <x v="34"/>
    <x v="19"/>
    <b v="0"/>
    <n v="5"/>
    <n v="2"/>
    <x v="1"/>
    <n v="28.000000000000004"/>
    <x v="1"/>
    <n v="0.2424"/>
    <n v="0.93"/>
    <n v="44.78"/>
    <x v="2"/>
    <n v="6"/>
    <n v="78"/>
    <n v="84"/>
    <m/>
    <x v="0"/>
  </r>
  <r>
    <n v="802"/>
    <x v="34"/>
    <x v="20"/>
    <b v="0"/>
    <n v="5"/>
    <n v="1"/>
    <x v="0"/>
    <n v="30"/>
    <x v="1"/>
    <n v="0.28789999999999999"/>
    <n v="0.87"/>
    <n v="25.369999999999997"/>
    <x v="0"/>
    <n v="5"/>
    <n v="64"/>
    <n v="69"/>
    <m/>
    <x v="0"/>
  </r>
  <r>
    <n v="803"/>
    <x v="34"/>
    <x v="21"/>
    <b v="0"/>
    <n v="5"/>
    <n v="1"/>
    <x v="0"/>
    <n v="26"/>
    <x v="1"/>
    <n v="0.2576"/>
    <n v="1"/>
    <n v="19.400000000000002"/>
    <x v="1"/>
    <n v="3"/>
    <n v="53"/>
    <n v="56"/>
    <m/>
    <x v="0"/>
  </r>
  <r>
    <n v="804"/>
    <x v="34"/>
    <x v="22"/>
    <b v="0"/>
    <n v="5"/>
    <n v="1"/>
    <x v="0"/>
    <n v="26"/>
    <x v="1"/>
    <n v="0.2727"/>
    <n v="0.93"/>
    <n v="13.43"/>
    <x v="1"/>
    <n v="2"/>
    <n v="43"/>
    <n v="45"/>
    <m/>
    <x v="0"/>
  </r>
  <r>
    <n v="805"/>
    <x v="34"/>
    <x v="23"/>
    <b v="0"/>
    <n v="5"/>
    <n v="1"/>
    <x v="0"/>
    <n v="26"/>
    <x v="1"/>
    <n v="0.2576"/>
    <n v="0.93"/>
    <n v="22.39"/>
    <x v="0"/>
    <n v="7"/>
    <n v="52"/>
    <n v="59"/>
    <m/>
    <x v="0"/>
  </r>
  <r>
    <n v="806"/>
    <x v="35"/>
    <x v="0"/>
    <b v="0"/>
    <n v="6"/>
    <n v="1"/>
    <x v="0"/>
    <n v="26"/>
    <x v="1"/>
    <n v="0.2576"/>
    <n v="0.7"/>
    <n v="19.400000000000002"/>
    <x v="1"/>
    <n v="2"/>
    <n v="37"/>
    <n v="39"/>
    <m/>
    <x v="0"/>
  </r>
  <r>
    <n v="807"/>
    <x v="35"/>
    <x v="1"/>
    <b v="0"/>
    <n v="6"/>
    <n v="1"/>
    <x v="0"/>
    <n v="26"/>
    <x v="1"/>
    <n v="0.2273"/>
    <n v="0.65"/>
    <n v="41.79"/>
    <x v="2"/>
    <n v="4"/>
    <n v="40"/>
    <n v="44"/>
    <m/>
    <x v="0"/>
  </r>
  <r>
    <n v="808"/>
    <x v="35"/>
    <x v="2"/>
    <b v="0"/>
    <n v="6"/>
    <n v="1"/>
    <x v="0"/>
    <n v="26"/>
    <x v="1"/>
    <n v="0.2273"/>
    <n v="0.6"/>
    <n v="32.840000000000003"/>
    <x v="2"/>
    <n v="0"/>
    <n v="20"/>
    <n v="20"/>
    <m/>
    <x v="0"/>
  </r>
  <r>
    <n v="809"/>
    <x v="35"/>
    <x v="3"/>
    <b v="0"/>
    <n v="6"/>
    <n v="1"/>
    <x v="0"/>
    <n v="26"/>
    <x v="1"/>
    <n v="0.28789999999999999"/>
    <n v="0.6"/>
    <n v="8.9599999999999991"/>
    <x v="1"/>
    <n v="3"/>
    <n v="10"/>
    <n v="13"/>
    <m/>
    <x v="0"/>
  </r>
  <r>
    <n v="810"/>
    <x v="35"/>
    <x v="4"/>
    <b v="0"/>
    <n v="6"/>
    <n v="1"/>
    <x v="0"/>
    <n v="26"/>
    <x v="1"/>
    <n v="0.2273"/>
    <n v="0.6"/>
    <n v="35.82"/>
    <x v="2"/>
    <n v="0"/>
    <n v="2"/>
    <n v="2"/>
    <m/>
    <x v="0"/>
  </r>
  <r>
    <n v="811"/>
    <x v="35"/>
    <x v="5"/>
    <b v="0"/>
    <n v="6"/>
    <n v="1"/>
    <x v="0"/>
    <n v="26"/>
    <x v="1"/>
    <n v="0.2576"/>
    <n v="0.6"/>
    <n v="22.39"/>
    <x v="0"/>
    <n v="0"/>
    <n v="1"/>
    <n v="1"/>
    <m/>
    <x v="0"/>
  </r>
  <r>
    <n v="812"/>
    <x v="35"/>
    <x v="6"/>
    <b v="0"/>
    <n v="6"/>
    <n v="1"/>
    <x v="0"/>
    <n v="26"/>
    <x v="1"/>
    <n v="0.2576"/>
    <n v="0.6"/>
    <n v="22.39"/>
    <x v="0"/>
    <n v="0"/>
    <n v="1"/>
    <n v="1"/>
    <m/>
    <x v="0"/>
  </r>
  <r>
    <n v="813"/>
    <x v="35"/>
    <x v="7"/>
    <b v="0"/>
    <n v="6"/>
    <n v="1"/>
    <x v="0"/>
    <n v="24"/>
    <x v="0"/>
    <n v="0.2424"/>
    <n v="0.65"/>
    <n v="16.420000000000002"/>
    <x v="1"/>
    <n v="0"/>
    <n v="8"/>
    <n v="8"/>
    <m/>
    <x v="0"/>
  </r>
  <r>
    <n v="814"/>
    <x v="35"/>
    <x v="8"/>
    <b v="0"/>
    <n v="6"/>
    <n v="1"/>
    <x v="0"/>
    <n v="24"/>
    <x v="0"/>
    <n v="0.2576"/>
    <n v="0.65"/>
    <n v="10.45"/>
    <x v="1"/>
    <n v="2"/>
    <n v="21"/>
    <n v="23"/>
    <m/>
    <x v="0"/>
  </r>
  <r>
    <n v="815"/>
    <x v="35"/>
    <x v="9"/>
    <b v="0"/>
    <n v="6"/>
    <n v="1"/>
    <x v="0"/>
    <n v="28.000000000000004"/>
    <x v="1"/>
    <n v="0.28789999999999999"/>
    <n v="0.56000000000000005"/>
    <n v="10.45"/>
    <x v="1"/>
    <n v="7"/>
    <n v="38"/>
    <n v="45"/>
    <m/>
    <x v="0"/>
  </r>
  <r>
    <n v="816"/>
    <x v="35"/>
    <x v="10"/>
    <b v="0"/>
    <n v="6"/>
    <n v="1"/>
    <x v="0"/>
    <n v="30"/>
    <x v="1"/>
    <n v="0.28789999999999999"/>
    <n v="0.52"/>
    <n v="25.369999999999997"/>
    <x v="0"/>
    <n v="15"/>
    <n v="74"/>
    <n v="89"/>
    <m/>
    <x v="0"/>
  </r>
  <r>
    <n v="817"/>
    <x v="35"/>
    <x v="11"/>
    <b v="0"/>
    <n v="6"/>
    <n v="1"/>
    <x v="0"/>
    <n v="32"/>
    <x v="1"/>
    <n v="0.30299999999999999"/>
    <n v="0.49"/>
    <n v="25.369999999999997"/>
    <x v="0"/>
    <n v="28"/>
    <n v="89"/>
    <n v="117"/>
    <m/>
    <x v="0"/>
  </r>
  <r>
    <n v="818"/>
    <x v="35"/>
    <x v="12"/>
    <b v="0"/>
    <n v="6"/>
    <n v="1"/>
    <x v="0"/>
    <n v="34"/>
    <x v="1"/>
    <n v="0.33329999999999999"/>
    <n v="0.46"/>
    <n v="17.94158974358977"/>
    <x v="1"/>
    <n v="48"/>
    <n v="126"/>
    <n v="174"/>
    <m/>
    <x v="0"/>
  </r>
  <r>
    <n v="819"/>
    <x v="35"/>
    <x v="13"/>
    <b v="0"/>
    <n v="6"/>
    <n v="1"/>
    <x v="0"/>
    <n v="34"/>
    <x v="1"/>
    <n v="0.36359999999999998"/>
    <n v="0.46"/>
    <n v="17.94158974358977"/>
    <x v="1"/>
    <n v="47"/>
    <n v="135"/>
    <n v="182"/>
    <m/>
    <x v="0"/>
  </r>
  <r>
    <n v="820"/>
    <x v="35"/>
    <x v="14"/>
    <b v="0"/>
    <n v="6"/>
    <n v="1"/>
    <x v="0"/>
    <n v="34"/>
    <x v="1"/>
    <n v="0.34849999999999998"/>
    <n v="0.46"/>
    <n v="8.9599999999999991"/>
    <x v="1"/>
    <n v="47"/>
    <n v="114"/>
    <n v="161"/>
    <m/>
    <x v="0"/>
  </r>
  <r>
    <n v="821"/>
    <x v="35"/>
    <x v="15"/>
    <b v="0"/>
    <n v="6"/>
    <n v="1"/>
    <x v="0"/>
    <n v="34"/>
    <x v="1"/>
    <n v="0.34849999999999998"/>
    <n v="0.46"/>
    <n v="8.9599999999999991"/>
    <x v="1"/>
    <n v="52"/>
    <n v="130"/>
    <n v="182"/>
    <m/>
    <x v="0"/>
  </r>
  <r>
    <n v="822"/>
    <x v="35"/>
    <x v="16"/>
    <b v="0"/>
    <n v="6"/>
    <n v="1"/>
    <x v="0"/>
    <n v="34"/>
    <x v="1"/>
    <n v="0.34849999999999998"/>
    <n v="0.49"/>
    <n v="10.45"/>
    <x v="1"/>
    <n v="42"/>
    <n v="115"/>
    <n v="157"/>
    <m/>
    <x v="0"/>
  </r>
  <r>
    <n v="823"/>
    <x v="35"/>
    <x v="17"/>
    <b v="0"/>
    <n v="6"/>
    <n v="1"/>
    <x v="0"/>
    <n v="34"/>
    <x v="1"/>
    <n v="0.36359999999999998"/>
    <n v="0.46"/>
    <n v="17.94158974358977"/>
    <x v="1"/>
    <n v="24"/>
    <n v="97"/>
    <n v="121"/>
    <m/>
    <x v="0"/>
  </r>
  <r>
    <n v="824"/>
    <x v="35"/>
    <x v="18"/>
    <b v="0"/>
    <n v="6"/>
    <n v="1"/>
    <x v="0"/>
    <n v="30"/>
    <x v="1"/>
    <n v="0.30299999999999999"/>
    <n v="0.56000000000000005"/>
    <n v="16.420000000000002"/>
    <x v="1"/>
    <n v="13"/>
    <n v="65"/>
    <n v="78"/>
    <m/>
    <x v="0"/>
  </r>
  <r>
    <n v="825"/>
    <x v="35"/>
    <x v="19"/>
    <b v="0"/>
    <n v="6"/>
    <n v="1"/>
    <x v="0"/>
    <n v="28.000000000000004"/>
    <x v="1"/>
    <n v="0.28789999999999999"/>
    <n v="0.61"/>
    <n v="13.43"/>
    <x v="1"/>
    <n v="1"/>
    <n v="20"/>
    <n v="21"/>
    <m/>
    <x v="0"/>
  </r>
  <r>
    <n v="826"/>
    <x v="35"/>
    <x v="20"/>
    <b v="0"/>
    <n v="6"/>
    <n v="1"/>
    <x v="0"/>
    <n v="28.000000000000004"/>
    <x v="1"/>
    <n v="0.28789999999999999"/>
    <n v="0.61"/>
    <n v="10.45"/>
    <x v="1"/>
    <n v="5"/>
    <n v="21"/>
    <n v="26"/>
    <m/>
    <x v="0"/>
  </r>
  <r>
    <n v="827"/>
    <x v="35"/>
    <x v="21"/>
    <b v="0"/>
    <n v="6"/>
    <n v="1"/>
    <x v="0"/>
    <n v="26"/>
    <x v="1"/>
    <n v="0.30299999999999999"/>
    <n v="0.6"/>
    <n v="17.94158974358977"/>
    <x v="1"/>
    <n v="5"/>
    <n v="22"/>
    <n v="27"/>
    <m/>
    <x v="0"/>
  </r>
  <r>
    <n v="828"/>
    <x v="35"/>
    <x v="22"/>
    <b v="0"/>
    <n v="6"/>
    <n v="1"/>
    <x v="0"/>
    <n v="26"/>
    <x v="1"/>
    <n v="0.30299999999999999"/>
    <n v="0.6"/>
    <n v="17.94158974358977"/>
    <x v="1"/>
    <n v="5"/>
    <n v="57"/>
    <n v="62"/>
    <m/>
    <x v="0"/>
  </r>
  <r>
    <n v="829"/>
    <x v="35"/>
    <x v="23"/>
    <b v="0"/>
    <n v="6"/>
    <n v="1"/>
    <x v="0"/>
    <n v="24"/>
    <x v="0"/>
    <n v="0.28789999999999999"/>
    <n v="0.65"/>
    <n v="17.94158974358977"/>
    <x v="1"/>
    <n v="4"/>
    <n v="26"/>
    <n v="30"/>
    <m/>
    <x v="0"/>
  </r>
  <r>
    <n v="830"/>
    <x v="36"/>
    <x v="0"/>
    <b v="0"/>
    <n v="7"/>
    <n v="1"/>
    <x v="0"/>
    <n v="24"/>
    <x v="0"/>
    <n v="0.28789999999999999"/>
    <n v="0.65"/>
    <n v="17.94158974358977"/>
    <x v="1"/>
    <n v="1"/>
    <n v="14"/>
    <n v="15"/>
    <m/>
    <x v="0"/>
  </r>
  <r>
    <n v="831"/>
    <x v="36"/>
    <x v="1"/>
    <b v="0"/>
    <n v="7"/>
    <n v="1"/>
    <x v="0"/>
    <n v="22"/>
    <x v="0"/>
    <n v="0.2727"/>
    <n v="0.75"/>
    <n v="17.94158974358977"/>
    <x v="1"/>
    <n v="1"/>
    <n v="4"/>
    <n v="5"/>
    <m/>
    <x v="0"/>
  </r>
  <r>
    <n v="832"/>
    <x v="36"/>
    <x v="2"/>
    <b v="0"/>
    <n v="7"/>
    <n v="1"/>
    <x v="0"/>
    <n v="20"/>
    <x v="0"/>
    <n v="0.2576"/>
    <n v="0.8"/>
    <n v="17.94158974358977"/>
    <x v="1"/>
    <n v="0"/>
    <n v="3"/>
    <n v="3"/>
    <m/>
    <x v="0"/>
  </r>
  <r>
    <n v="833"/>
    <x v="36"/>
    <x v="3"/>
    <b v="0"/>
    <n v="7"/>
    <n v="1"/>
    <x v="0"/>
    <n v="20"/>
    <x v="0"/>
    <n v="0.2576"/>
    <n v="0.86"/>
    <n v="17.94158974358977"/>
    <x v="1"/>
    <n v="0"/>
    <n v="1"/>
    <n v="1"/>
    <m/>
    <x v="0"/>
  </r>
  <r>
    <n v="834"/>
    <x v="36"/>
    <x v="4"/>
    <b v="0"/>
    <n v="7"/>
    <n v="1"/>
    <x v="0"/>
    <n v="20"/>
    <x v="0"/>
    <n v="0.2576"/>
    <n v="0.86"/>
    <n v="17.94158974358977"/>
    <x v="1"/>
    <n v="1"/>
    <n v="1"/>
    <n v="2"/>
    <m/>
    <x v="0"/>
  </r>
  <r>
    <n v="835"/>
    <x v="36"/>
    <x v="5"/>
    <b v="0"/>
    <n v="7"/>
    <n v="1"/>
    <x v="0"/>
    <n v="20"/>
    <x v="0"/>
    <n v="0.2576"/>
    <n v="0.86"/>
    <n v="17.94158974358977"/>
    <x v="1"/>
    <n v="1"/>
    <n v="9"/>
    <n v="10"/>
    <m/>
    <x v="0"/>
  </r>
  <r>
    <n v="836"/>
    <x v="36"/>
    <x v="6"/>
    <b v="0"/>
    <n v="7"/>
    <n v="1"/>
    <x v="0"/>
    <n v="18"/>
    <x v="0"/>
    <n v="0.2424"/>
    <n v="0.93"/>
    <n v="17.94158974358977"/>
    <x v="1"/>
    <n v="1"/>
    <n v="29"/>
    <n v="30"/>
    <m/>
    <x v="0"/>
  </r>
  <r>
    <n v="837"/>
    <x v="36"/>
    <x v="7"/>
    <b v="0"/>
    <n v="7"/>
    <n v="1"/>
    <x v="0"/>
    <n v="18"/>
    <x v="0"/>
    <n v="0.2424"/>
    <n v="0.86"/>
    <n v="17.94158974358977"/>
    <x v="1"/>
    <n v="6"/>
    <n v="89"/>
    <n v="95"/>
    <m/>
    <x v="0"/>
  </r>
  <r>
    <n v="838"/>
    <x v="36"/>
    <x v="8"/>
    <b v="0"/>
    <n v="7"/>
    <n v="2"/>
    <x v="1"/>
    <n v="16"/>
    <x v="0"/>
    <n v="0.2273"/>
    <n v="1"/>
    <n v="17.94158974358977"/>
    <x v="1"/>
    <n v="7"/>
    <n v="223"/>
    <n v="230"/>
    <m/>
    <x v="0"/>
  </r>
  <r>
    <n v="839"/>
    <x v="36"/>
    <x v="9"/>
    <b v="0"/>
    <n v="7"/>
    <n v="1"/>
    <x v="0"/>
    <n v="22"/>
    <x v="0"/>
    <n v="0.2727"/>
    <n v="0.8"/>
    <n v="17.94158974358977"/>
    <x v="1"/>
    <n v="3"/>
    <n v="115"/>
    <n v="118"/>
    <m/>
    <x v="0"/>
  </r>
  <r>
    <n v="840"/>
    <x v="36"/>
    <x v="10"/>
    <b v="0"/>
    <n v="7"/>
    <n v="1"/>
    <x v="0"/>
    <n v="24"/>
    <x v="0"/>
    <n v="0.2576"/>
    <n v="0.75"/>
    <n v="10.45"/>
    <x v="1"/>
    <n v="6"/>
    <n v="49"/>
    <n v="55"/>
    <m/>
    <x v="0"/>
  </r>
  <r>
    <n v="841"/>
    <x v="36"/>
    <x v="11"/>
    <b v="0"/>
    <n v="7"/>
    <n v="1"/>
    <x v="0"/>
    <n v="30"/>
    <x v="1"/>
    <n v="0.31819999999999998"/>
    <n v="0.65"/>
    <n v="8.9599999999999991"/>
    <x v="1"/>
    <n v="11"/>
    <n v="36"/>
    <n v="47"/>
    <m/>
    <x v="0"/>
  </r>
  <r>
    <n v="842"/>
    <x v="36"/>
    <x v="12"/>
    <b v="0"/>
    <n v="7"/>
    <n v="2"/>
    <x v="1"/>
    <n v="32"/>
    <x v="1"/>
    <n v="0.34849999999999998"/>
    <n v="0.62"/>
    <n v="17.94158974358977"/>
    <x v="1"/>
    <n v="7"/>
    <n v="59"/>
    <n v="66"/>
    <m/>
    <x v="0"/>
  </r>
  <r>
    <n v="843"/>
    <x v="36"/>
    <x v="13"/>
    <b v="0"/>
    <n v="7"/>
    <n v="2"/>
    <x v="1"/>
    <n v="36"/>
    <x v="1"/>
    <n v="0.36359999999999998"/>
    <n v="0.56999999999999995"/>
    <n v="8.9599999999999991"/>
    <x v="1"/>
    <n v="10"/>
    <n v="54"/>
    <n v="64"/>
    <m/>
    <x v="0"/>
  </r>
  <r>
    <n v="844"/>
    <x v="36"/>
    <x v="14"/>
    <b v="0"/>
    <n v="7"/>
    <n v="2"/>
    <x v="1"/>
    <n v="36"/>
    <x v="1"/>
    <n v="0.36359999999999998"/>
    <n v="0.56999999999999995"/>
    <n v="8.9599999999999991"/>
    <x v="1"/>
    <n v="8"/>
    <n v="52"/>
    <n v="60"/>
    <m/>
    <x v="0"/>
  </r>
  <r>
    <n v="845"/>
    <x v="36"/>
    <x v="15"/>
    <b v="0"/>
    <n v="7"/>
    <n v="2"/>
    <x v="1"/>
    <n v="38"/>
    <x v="1"/>
    <n v="0.39389999999999997"/>
    <n v="0.54"/>
    <n v="8.9599999999999991"/>
    <x v="1"/>
    <n v="4"/>
    <n v="46"/>
    <n v="50"/>
    <m/>
    <x v="0"/>
  </r>
  <r>
    <n v="846"/>
    <x v="36"/>
    <x v="16"/>
    <b v="0"/>
    <n v="7"/>
    <n v="2"/>
    <x v="1"/>
    <n v="36"/>
    <x v="1"/>
    <n v="0.34849999999999998"/>
    <n v="0.56999999999999995"/>
    <n v="13.43"/>
    <x v="1"/>
    <n v="16"/>
    <n v="98"/>
    <n v="114"/>
    <m/>
    <x v="0"/>
  </r>
  <r>
    <n v="847"/>
    <x v="36"/>
    <x v="17"/>
    <b v="0"/>
    <n v="7"/>
    <n v="2"/>
    <x v="1"/>
    <n v="32"/>
    <x v="1"/>
    <n v="0.31819999999999998"/>
    <n v="0.7"/>
    <n v="16.420000000000002"/>
    <x v="1"/>
    <n v="9"/>
    <n v="207"/>
    <n v="216"/>
    <m/>
    <x v="0"/>
  </r>
  <r>
    <n v="848"/>
    <x v="36"/>
    <x v="18"/>
    <b v="0"/>
    <n v="7"/>
    <n v="2"/>
    <x v="1"/>
    <n v="34"/>
    <x v="1"/>
    <n v="0.33329999999999999"/>
    <n v="0.66"/>
    <n v="13.43"/>
    <x v="1"/>
    <n v="5"/>
    <n v="170"/>
    <n v="175"/>
    <m/>
    <x v="0"/>
  </r>
  <r>
    <n v="849"/>
    <x v="36"/>
    <x v="19"/>
    <b v="0"/>
    <n v="7"/>
    <n v="2"/>
    <x v="1"/>
    <n v="32"/>
    <x v="1"/>
    <n v="0.34849999999999998"/>
    <n v="0.7"/>
    <n v="17.94158974358977"/>
    <x v="1"/>
    <n v="5"/>
    <n v="123"/>
    <n v="128"/>
    <m/>
    <x v="0"/>
  </r>
  <r>
    <n v="850"/>
    <x v="36"/>
    <x v="20"/>
    <b v="0"/>
    <n v="7"/>
    <n v="2"/>
    <x v="1"/>
    <n v="32"/>
    <x v="1"/>
    <n v="0.33329999999999999"/>
    <n v="0.7"/>
    <n v="10.45"/>
    <x v="1"/>
    <n v="6"/>
    <n v="82"/>
    <n v="88"/>
    <m/>
    <x v="0"/>
  </r>
  <r>
    <n v="851"/>
    <x v="36"/>
    <x v="21"/>
    <b v="0"/>
    <n v="7"/>
    <n v="1"/>
    <x v="0"/>
    <n v="32"/>
    <x v="1"/>
    <n v="0.34849999999999998"/>
    <n v="0.7"/>
    <n v="17.94158974358977"/>
    <x v="1"/>
    <n v="3"/>
    <n v="75"/>
    <n v="78"/>
    <m/>
    <x v="0"/>
  </r>
  <r>
    <n v="852"/>
    <x v="36"/>
    <x v="22"/>
    <b v="0"/>
    <n v="7"/>
    <n v="1"/>
    <x v="0"/>
    <n v="28.000000000000004"/>
    <x v="1"/>
    <n v="0.30299999999999999"/>
    <n v="0.81"/>
    <n v="8.9599999999999991"/>
    <x v="1"/>
    <n v="3"/>
    <n v="34"/>
    <n v="37"/>
    <m/>
    <x v="0"/>
  </r>
  <r>
    <n v="853"/>
    <x v="36"/>
    <x v="23"/>
    <b v="0"/>
    <n v="7"/>
    <n v="2"/>
    <x v="1"/>
    <n v="30"/>
    <x v="1"/>
    <n v="0.33329999999999999"/>
    <n v="0.81"/>
    <n v="17.94158974358977"/>
    <x v="1"/>
    <n v="6"/>
    <n v="19"/>
    <n v="25"/>
    <m/>
    <x v="0"/>
  </r>
  <r>
    <n v="854"/>
    <x v="37"/>
    <x v="0"/>
    <b v="0"/>
    <n v="1"/>
    <n v="2"/>
    <x v="1"/>
    <n v="28.000000000000004"/>
    <x v="1"/>
    <n v="0.31819999999999998"/>
    <n v="0.87"/>
    <n v="17.94158974358977"/>
    <x v="1"/>
    <n v="4"/>
    <n v="6"/>
    <n v="10"/>
    <m/>
    <x v="0"/>
  </r>
  <r>
    <n v="855"/>
    <x v="37"/>
    <x v="1"/>
    <b v="0"/>
    <n v="1"/>
    <n v="2"/>
    <x v="1"/>
    <n v="28.000000000000004"/>
    <x v="1"/>
    <n v="0.31819999999999998"/>
    <n v="0.87"/>
    <n v="17.94158974358977"/>
    <x v="1"/>
    <n v="0"/>
    <n v="4"/>
    <n v="4"/>
    <m/>
    <x v="0"/>
  </r>
  <r>
    <n v="856"/>
    <x v="37"/>
    <x v="2"/>
    <b v="0"/>
    <n v="1"/>
    <n v="2"/>
    <x v="1"/>
    <n v="26"/>
    <x v="1"/>
    <n v="0.2727"/>
    <n v="0.93"/>
    <n v="10.45"/>
    <x v="1"/>
    <n v="1"/>
    <n v="1"/>
    <n v="2"/>
    <m/>
    <x v="0"/>
  </r>
  <r>
    <n v="857"/>
    <x v="37"/>
    <x v="3"/>
    <b v="0"/>
    <n v="1"/>
    <n v="3"/>
    <x v="2"/>
    <n v="28.000000000000004"/>
    <x v="1"/>
    <n v="0.2727"/>
    <n v="0.93"/>
    <n v="16.420000000000002"/>
    <x v="1"/>
    <n v="0"/>
    <n v="1"/>
    <n v="1"/>
    <m/>
    <x v="0"/>
  </r>
  <r>
    <n v="858"/>
    <x v="37"/>
    <x v="4"/>
    <b v="0"/>
    <n v="1"/>
    <n v="1"/>
    <x v="0"/>
    <n v="26"/>
    <x v="1"/>
    <n v="0.2576"/>
    <n v="0.93"/>
    <n v="16.420000000000002"/>
    <x v="1"/>
    <n v="0"/>
    <n v="3"/>
    <n v="3"/>
    <m/>
    <x v="0"/>
  </r>
  <r>
    <n v="859"/>
    <x v="37"/>
    <x v="5"/>
    <b v="0"/>
    <n v="1"/>
    <n v="1"/>
    <x v="0"/>
    <n v="26"/>
    <x v="1"/>
    <n v="0.2273"/>
    <n v="0.81"/>
    <n v="32.840000000000003"/>
    <x v="2"/>
    <n v="0"/>
    <n v="2"/>
    <n v="2"/>
    <m/>
    <x v="0"/>
  </r>
  <r>
    <n v="860"/>
    <x v="37"/>
    <x v="6"/>
    <b v="0"/>
    <n v="1"/>
    <n v="1"/>
    <x v="0"/>
    <n v="26"/>
    <x v="1"/>
    <n v="0.2273"/>
    <n v="0.7"/>
    <n v="32.840000000000003"/>
    <x v="2"/>
    <n v="0"/>
    <n v="39"/>
    <n v="39"/>
    <m/>
    <x v="0"/>
  </r>
  <r>
    <n v="861"/>
    <x v="37"/>
    <x v="7"/>
    <b v="0"/>
    <n v="1"/>
    <n v="1"/>
    <x v="0"/>
    <n v="24"/>
    <x v="0"/>
    <n v="0.19700000000000001"/>
    <n v="0.65"/>
    <n v="41.79"/>
    <x v="2"/>
    <n v="3"/>
    <n v="97"/>
    <n v="100"/>
    <m/>
    <x v="0"/>
  </r>
  <r>
    <n v="862"/>
    <x v="37"/>
    <x v="8"/>
    <b v="0"/>
    <n v="1"/>
    <n v="1"/>
    <x v="0"/>
    <n v="24"/>
    <x v="0"/>
    <n v="0.19700000000000001"/>
    <n v="0.56000000000000005"/>
    <n v="49.25"/>
    <x v="2"/>
    <n v="7"/>
    <n v="236"/>
    <n v="243"/>
    <m/>
    <x v="0"/>
  </r>
  <r>
    <n v="863"/>
    <x v="37"/>
    <x v="9"/>
    <b v="0"/>
    <n v="1"/>
    <n v="1"/>
    <x v="0"/>
    <n v="24"/>
    <x v="0"/>
    <n v="0.19700000000000001"/>
    <n v="0.52"/>
    <n v="49.25"/>
    <x v="2"/>
    <n v="7"/>
    <n v="128"/>
    <n v="135"/>
    <m/>
    <x v="0"/>
  </r>
  <r>
    <n v="864"/>
    <x v="37"/>
    <x v="10"/>
    <b v="0"/>
    <n v="1"/>
    <n v="1"/>
    <x v="0"/>
    <n v="22"/>
    <x v="0"/>
    <n v="0.18179999999999999"/>
    <n v="0.47"/>
    <n v="55.22"/>
    <x v="2"/>
    <n v="4"/>
    <n v="44"/>
    <n v="48"/>
    <m/>
    <x v="0"/>
  </r>
  <r>
    <n v="865"/>
    <x v="37"/>
    <x v="11"/>
    <b v="0"/>
    <n v="1"/>
    <n v="1"/>
    <x v="0"/>
    <n v="22"/>
    <x v="0"/>
    <n v="0.18179999999999999"/>
    <n v="0.47"/>
    <n v="46.27"/>
    <x v="2"/>
    <n v="1"/>
    <n v="49"/>
    <n v="50"/>
    <m/>
    <x v="0"/>
  </r>
  <r>
    <n v="866"/>
    <x v="37"/>
    <x v="12"/>
    <b v="0"/>
    <n v="1"/>
    <n v="1"/>
    <x v="0"/>
    <n v="24"/>
    <x v="0"/>
    <n v="0.19700000000000001"/>
    <n v="0.38"/>
    <n v="49.25"/>
    <x v="2"/>
    <n v="2"/>
    <n v="63"/>
    <n v="65"/>
    <m/>
    <x v="0"/>
  </r>
  <r>
    <n v="867"/>
    <x v="37"/>
    <x v="13"/>
    <b v="0"/>
    <n v="1"/>
    <n v="2"/>
    <x v="1"/>
    <n v="24"/>
    <x v="0"/>
    <n v="0.19700000000000001"/>
    <n v="0.32"/>
    <n v="44.78"/>
    <x v="2"/>
    <n v="2"/>
    <n v="48"/>
    <n v="50"/>
    <m/>
    <x v="0"/>
  </r>
  <r>
    <n v="868"/>
    <x v="37"/>
    <x v="14"/>
    <b v="0"/>
    <n v="1"/>
    <n v="1"/>
    <x v="0"/>
    <n v="22"/>
    <x v="0"/>
    <n v="0.19700000000000001"/>
    <n v="0.37"/>
    <n v="41.79"/>
    <x v="2"/>
    <n v="3"/>
    <n v="61"/>
    <n v="64"/>
    <m/>
    <x v="0"/>
  </r>
  <r>
    <n v="869"/>
    <x v="37"/>
    <x v="15"/>
    <b v="0"/>
    <n v="1"/>
    <n v="1"/>
    <x v="0"/>
    <n v="22"/>
    <x v="0"/>
    <n v="0.19700000000000001"/>
    <n v="0.35"/>
    <n v="38.81"/>
    <x v="2"/>
    <n v="6"/>
    <n v="45"/>
    <n v="51"/>
    <m/>
    <x v="0"/>
  </r>
  <r>
    <n v="870"/>
    <x v="37"/>
    <x v="16"/>
    <b v="0"/>
    <n v="1"/>
    <n v="1"/>
    <x v="0"/>
    <n v="22"/>
    <x v="0"/>
    <n v="0.18179999999999999"/>
    <n v="0.35"/>
    <n v="52.239999999999995"/>
    <x v="2"/>
    <n v="4"/>
    <n v="79"/>
    <n v="83"/>
    <m/>
    <x v="0"/>
  </r>
  <r>
    <n v="871"/>
    <x v="37"/>
    <x v="17"/>
    <b v="0"/>
    <n v="1"/>
    <n v="1"/>
    <x v="0"/>
    <n v="22"/>
    <x v="0"/>
    <n v="0.18179999999999999"/>
    <n v="0.32"/>
    <n v="58.209999999999994"/>
    <x v="2"/>
    <n v="4"/>
    <n v="172"/>
    <n v="176"/>
    <m/>
    <x v="0"/>
  </r>
  <r>
    <n v="872"/>
    <x v="37"/>
    <x v="18"/>
    <b v="0"/>
    <n v="1"/>
    <n v="1"/>
    <x v="0"/>
    <n v="20"/>
    <x v="0"/>
    <n v="0.18179999999999999"/>
    <n v="0.32"/>
    <n v="38.81"/>
    <x v="2"/>
    <n v="1"/>
    <n v="151"/>
    <n v="152"/>
    <m/>
    <x v="0"/>
  </r>
  <r>
    <n v="873"/>
    <x v="37"/>
    <x v="19"/>
    <b v="0"/>
    <n v="1"/>
    <n v="1"/>
    <x v="0"/>
    <n v="16"/>
    <x v="0"/>
    <n v="0.1212"/>
    <n v="0.4"/>
    <n v="46.27"/>
    <x v="2"/>
    <n v="1"/>
    <n v="100"/>
    <n v="101"/>
    <m/>
    <x v="0"/>
  </r>
  <r>
    <n v="874"/>
    <x v="37"/>
    <x v="20"/>
    <b v="0"/>
    <n v="1"/>
    <n v="1"/>
    <x v="0"/>
    <n v="16"/>
    <x v="0"/>
    <n v="0.13639999999999999"/>
    <n v="0.4"/>
    <n v="32.840000000000003"/>
    <x v="2"/>
    <n v="3"/>
    <n v="53"/>
    <n v="56"/>
    <m/>
    <x v="0"/>
  </r>
  <r>
    <n v="875"/>
    <x v="37"/>
    <x v="21"/>
    <b v="0"/>
    <n v="1"/>
    <n v="1"/>
    <x v="0"/>
    <n v="14.000000000000002"/>
    <x v="0"/>
    <n v="0.1061"/>
    <n v="0.33"/>
    <n v="46.27"/>
    <x v="2"/>
    <n v="8"/>
    <n v="46"/>
    <n v="54"/>
    <m/>
    <x v="0"/>
  </r>
  <r>
    <n v="876"/>
    <x v="37"/>
    <x v="22"/>
    <b v="0"/>
    <n v="1"/>
    <n v="1"/>
    <x v="0"/>
    <n v="12"/>
    <x v="0"/>
    <n v="0.1061"/>
    <n v="0.33"/>
    <n v="35.82"/>
    <x v="2"/>
    <n v="0"/>
    <n v="29"/>
    <n v="29"/>
    <m/>
    <x v="0"/>
  </r>
  <r>
    <n v="877"/>
    <x v="37"/>
    <x v="23"/>
    <b v="0"/>
    <n v="1"/>
    <n v="1"/>
    <x v="0"/>
    <n v="12"/>
    <x v="0"/>
    <n v="0.1061"/>
    <n v="0.33"/>
    <n v="32.840000000000003"/>
    <x v="2"/>
    <n v="3"/>
    <n v="9"/>
    <n v="12"/>
    <m/>
    <x v="0"/>
  </r>
  <r>
    <n v="878"/>
    <x v="38"/>
    <x v="0"/>
    <b v="0"/>
    <n v="2"/>
    <n v="1"/>
    <x v="0"/>
    <n v="10"/>
    <x v="2"/>
    <n v="7.5800000000000006E-2"/>
    <n v="0.36"/>
    <n v="35.82"/>
    <x v="2"/>
    <n v="0"/>
    <n v="17"/>
    <n v="17"/>
    <m/>
    <x v="1"/>
  </r>
  <r>
    <n v="879"/>
    <x v="38"/>
    <x v="1"/>
    <b v="0"/>
    <n v="2"/>
    <n v="1"/>
    <x v="0"/>
    <n v="10"/>
    <x v="2"/>
    <n v="0.1061"/>
    <n v="0.36"/>
    <n v="22.39"/>
    <x v="0"/>
    <n v="0"/>
    <n v="7"/>
    <n v="7"/>
    <m/>
    <x v="1"/>
  </r>
  <r>
    <n v="880"/>
    <x v="38"/>
    <x v="2"/>
    <b v="0"/>
    <n v="2"/>
    <n v="1"/>
    <x v="0"/>
    <n v="8"/>
    <x v="2"/>
    <n v="7.5800000000000006E-2"/>
    <n v="0.38"/>
    <n v="28.360000000000003"/>
    <x v="0"/>
    <n v="1"/>
    <n v="2"/>
    <n v="3"/>
    <m/>
    <x v="1"/>
  </r>
  <r>
    <n v="881"/>
    <x v="38"/>
    <x v="3"/>
    <b v="0"/>
    <n v="2"/>
    <n v="1"/>
    <x v="0"/>
    <n v="6"/>
    <x v="2"/>
    <n v="7.5800000000000006E-2"/>
    <n v="0.45"/>
    <n v="13.43"/>
    <x v="1"/>
    <n v="0"/>
    <n v="2"/>
    <n v="2"/>
    <m/>
    <x v="1"/>
  </r>
  <r>
    <n v="882"/>
    <x v="38"/>
    <x v="5"/>
    <b v="0"/>
    <n v="2"/>
    <n v="1"/>
    <x v="0"/>
    <n v="6"/>
    <x v="2"/>
    <n v="0.1061"/>
    <n v="0.45"/>
    <n v="10.45"/>
    <x v="1"/>
    <n v="0"/>
    <n v="7"/>
    <n v="7"/>
    <m/>
    <x v="1"/>
  </r>
  <r>
    <n v="883"/>
    <x v="38"/>
    <x v="6"/>
    <b v="0"/>
    <n v="2"/>
    <n v="1"/>
    <x v="0"/>
    <n v="6"/>
    <x v="2"/>
    <n v="0.1515"/>
    <n v="0.45"/>
    <n v="17.94158974358977"/>
    <x v="1"/>
    <n v="0"/>
    <n v="43"/>
    <n v="43"/>
    <m/>
    <x v="1"/>
  </r>
  <r>
    <n v="884"/>
    <x v="38"/>
    <x v="7"/>
    <b v="0"/>
    <n v="2"/>
    <n v="1"/>
    <x v="0"/>
    <n v="6"/>
    <x v="2"/>
    <n v="0.1061"/>
    <n v="0.49"/>
    <n v="10.45"/>
    <x v="1"/>
    <n v="4"/>
    <n v="95"/>
    <n v="99"/>
    <m/>
    <x v="1"/>
  </r>
  <r>
    <n v="885"/>
    <x v="38"/>
    <x v="8"/>
    <b v="0"/>
    <n v="2"/>
    <n v="1"/>
    <x v="0"/>
    <n v="10"/>
    <x v="2"/>
    <n v="0.13639999999999999"/>
    <n v="0.42"/>
    <n v="17.94158974358977"/>
    <x v="1"/>
    <n v="1"/>
    <n v="198"/>
    <n v="199"/>
    <m/>
    <x v="1"/>
  </r>
  <r>
    <n v="886"/>
    <x v="38"/>
    <x v="9"/>
    <b v="0"/>
    <n v="2"/>
    <n v="1"/>
    <x v="0"/>
    <n v="12"/>
    <x v="0"/>
    <n v="0.13639999999999999"/>
    <n v="0.39"/>
    <n v="16.420000000000002"/>
    <x v="1"/>
    <n v="4"/>
    <n v="119"/>
    <n v="123"/>
    <m/>
    <x v="1"/>
  </r>
  <r>
    <n v="887"/>
    <x v="38"/>
    <x v="10"/>
    <b v="0"/>
    <n v="2"/>
    <n v="1"/>
    <x v="0"/>
    <n v="14.000000000000002"/>
    <x v="0"/>
    <n v="0.18179999999999999"/>
    <n v="0.36"/>
    <n v="17.94158974358977"/>
    <x v="1"/>
    <n v="8"/>
    <n v="51"/>
    <n v="59"/>
    <m/>
    <x v="1"/>
  </r>
  <r>
    <n v="888"/>
    <x v="38"/>
    <x v="11"/>
    <b v="0"/>
    <n v="2"/>
    <n v="2"/>
    <x v="1"/>
    <n v="14.000000000000002"/>
    <x v="0"/>
    <n v="0.1515"/>
    <n v="0.43"/>
    <n v="16.420000000000002"/>
    <x v="1"/>
    <n v="1"/>
    <n v="40"/>
    <n v="41"/>
    <m/>
    <x v="1"/>
  </r>
  <r>
    <n v="889"/>
    <x v="38"/>
    <x v="12"/>
    <b v="0"/>
    <n v="2"/>
    <n v="2"/>
    <x v="1"/>
    <n v="18"/>
    <x v="0"/>
    <n v="0.18179999999999999"/>
    <n v="0.4"/>
    <n v="22.39"/>
    <x v="0"/>
    <n v="4"/>
    <n v="57"/>
    <n v="61"/>
    <m/>
    <x v="1"/>
  </r>
  <r>
    <n v="890"/>
    <x v="38"/>
    <x v="13"/>
    <b v="0"/>
    <n v="2"/>
    <n v="1"/>
    <x v="0"/>
    <n v="18"/>
    <x v="0"/>
    <n v="0.16669999999999999"/>
    <n v="0.4"/>
    <n v="25.369999999999997"/>
    <x v="0"/>
    <n v="2"/>
    <n v="67"/>
    <n v="69"/>
    <m/>
    <x v="1"/>
  </r>
  <r>
    <n v="891"/>
    <x v="38"/>
    <x v="14"/>
    <b v="0"/>
    <n v="2"/>
    <n v="1"/>
    <x v="0"/>
    <n v="20"/>
    <x v="0"/>
    <n v="0.18179999999999999"/>
    <n v="0.34"/>
    <n v="29.849999999999998"/>
    <x v="0"/>
    <n v="2"/>
    <n v="56"/>
    <n v="58"/>
    <m/>
    <x v="1"/>
  </r>
  <r>
    <n v="892"/>
    <x v="38"/>
    <x v="15"/>
    <b v="0"/>
    <n v="2"/>
    <n v="2"/>
    <x v="1"/>
    <n v="20"/>
    <x v="0"/>
    <n v="0.18179999999999999"/>
    <n v="0.34"/>
    <n v="28.360000000000003"/>
    <x v="0"/>
    <n v="3"/>
    <n v="61"/>
    <n v="64"/>
    <m/>
    <x v="1"/>
  </r>
  <r>
    <n v="893"/>
    <x v="38"/>
    <x v="16"/>
    <b v="0"/>
    <n v="2"/>
    <n v="2"/>
    <x v="1"/>
    <n v="20"/>
    <x v="0"/>
    <n v="0.19700000000000001"/>
    <n v="0.37"/>
    <n v="25.369999999999997"/>
    <x v="0"/>
    <n v="7"/>
    <n v="72"/>
    <n v="79"/>
    <m/>
    <x v="1"/>
  </r>
  <r>
    <n v="894"/>
    <x v="38"/>
    <x v="17"/>
    <b v="0"/>
    <n v="2"/>
    <n v="2"/>
    <x v="1"/>
    <n v="20"/>
    <x v="0"/>
    <n v="0.19700000000000001"/>
    <n v="0.34"/>
    <n v="25.369999999999997"/>
    <x v="0"/>
    <n v="9"/>
    <n v="157"/>
    <n v="166"/>
    <m/>
    <x v="1"/>
  </r>
  <r>
    <n v="895"/>
    <x v="38"/>
    <x v="18"/>
    <b v="0"/>
    <n v="2"/>
    <n v="2"/>
    <x v="1"/>
    <n v="18"/>
    <x v="0"/>
    <n v="0.16669999999999999"/>
    <n v="0.47"/>
    <n v="29.849999999999998"/>
    <x v="0"/>
    <n v="2"/>
    <n v="168"/>
    <n v="170"/>
    <m/>
    <x v="1"/>
  </r>
  <r>
    <n v="896"/>
    <x v="38"/>
    <x v="19"/>
    <b v="0"/>
    <n v="2"/>
    <n v="3"/>
    <x v="2"/>
    <n v="14.000000000000002"/>
    <x v="0"/>
    <n v="0.1212"/>
    <n v="0.86"/>
    <n v="25.369999999999997"/>
    <x v="0"/>
    <n v="1"/>
    <n v="87"/>
    <n v="88"/>
    <m/>
    <x v="1"/>
  </r>
  <r>
    <n v="897"/>
    <x v="38"/>
    <x v="20"/>
    <b v="0"/>
    <n v="2"/>
    <n v="3"/>
    <x v="2"/>
    <n v="14.000000000000002"/>
    <x v="0"/>
    <n v="0.1515"/>
    <n v="0.86"/>
    <n v="16.420000000000002"/>
    <x v="1"/>
    <n v="0"/>
    <n v="84"/>
    <n v="84"/>
    <m/>
    <x v="1"/>
  </r>
  <r>
    <n v="898"/>
    <x v="38"/>
    <x v="21"/>
    <b v="0"/>
    <n v="2"/>
    <n v="2"/>
    <x v="1"/>
    <n v="14.000000000000002"/>
    <x v="0"/>
    <n v="0.1515"/>
    <n v="0.86"/>
    <n v="16.420000000000002"/>
    <x v="1"/>
    <n v="0"/>
    <n v="83"/>
    <n v="83"/>
    <m/>
    <x v="1"/>
  </r>
  <r>
    <n v="899"/>
    <x v="38"/>
    <x v="22"/>
    <b v="0"/>
    <n v="2"/>
    <n v="3"/>
    <x v="2"/>
    <n v="16"/>
    <x v="0"/>
    <n v="0.16669999999999999"/>
    <n v="0.8"/>
    <n v="16.420000000000002"/>
    <x v="1"/>
    <n v="4"/>
    <n v="42"/>
    <n v="46"/>
    <m/>
    <x v="1"/>
  </r>
  <r>
    <n v="900"/>
    <x v="38"/>
    <x v="23"/>
    <b v="0"/>
    <n v="2"/>
    <n v="3"/>
    <x v="2"/>
    <n v="16"/>
    <x v="0"/>
    <n v="0.1515"/>
    <n v="0.8"/>
    <n v="19.400000000000002"/>
    <x v="1"/>
    <n v="0"/>
    <n v="37"/>
    <n v="37"/>
    <m/>
    <x v="1"/>
  </r>
  <r>
    <n v="901"/>
    <x v="39"/>
    <x v="0"/>
    <b v="0"/>
    <n v="3"/>
    <n v="3"/>
    <x v="2"/>
    <n v="14.000000000000002"/>
    <x v="0"/>
    <n v="0.13639999999999999"/>
    <n v="0.86"/>
    <n v="19.400000000000002"/>
    <x v="1"/>
    <n v="0"/>
    <n v="16"/>
    <n v="16"/>
    <m/>
    <x v="1"/>
  </r>
  <r>
    <n v="902"/>
    <x v="39"/>
    <x v="1"/>
    <b v="0"/>
    <n v="3"/>
    <n v="3"/>
    <x v="2"/>
    <n v="14.000000000000002"/>
    <x v="0"/>
    <n v="0.1515"/>
    <n v="0.8"/>
    <n v="13.43"/>
    <x v="1"/>
    <n v="0"/>
    <n v="7"/>
    <n v="7"/>
    <m/>
    <x v="1"/>
  </r>
  <r>
    <n v="903"/>
    <x v="39"/>
    <x v="2"/>
    <b v="0"/>
    <n v="3"/>
    <n v="3"/>
    <x v="2"/>
    <n v="14.000000000000002"/>
    <x v="0"/>
    <n v="0.1515"/>
    <n v="0.8"/>
    <n v="13.43"/>
    <x v="1"/>
    <n v="0"/>
    <n v="3"/>
    <n v="3"/>
    <m/>
    <x v="1"/>
  </r>
  <r>
    <n v="904"/>
    <x v="39"/>
    <x v="4"/>
    <b v="0"/>
    <n v="3"/>
    <n v="2"/>
    <x v="1"/>
    <n v="14.000000000000002"/>
    <x v="0"/>
    <n v="0.13639999999999999"/>
    <n v="0.59"/>
    <n v="22.39"/>
    <x v="0"/>
    <n v="0"/>
    <n v="1"/>
    <n v="1"/>
    <m/>
    <x v="1"/>
  </r>
  <r>
    <n v="905"/>
    <x v="39"/>
    <x v="5"/>
    <b v="0"/>
    <n v="3"/>
    <n v="2"/>
    <x v="1"/>
    <n v="12"/>
    <x v="0"/>
    <n v="0.1212"/>
    <n v="0.5"/>
    <n v="22.39"/>
    <x v="0"/>
    <n v="0"/>
    <n v="6"/>
    <n v="6"/>
    <m/>
    <x v="1"/>
  </r>
  <r>
    <n v="906"/>
    <x v="39"/>
    <x v="6"/>
    <b v="0"/>
    <n v="3"/>
    <n v="2"/>
    <x v="1"/>
    <n v="12"/>
    <x v="0"/>
    <n v="0.1212"/>
    <n v="0.54"/>
    <n v="28.360000000000003"/>
    <x v="0"/>
    <n v="0"/>
    <n v="26"/>
    <n v="26"/>
    <m/>
    <x v="1"/>
  </r>
  <r>
    <n v="907"/>
    <x v="39"/>
    <x v="7"/>
    <b v="0"/>
    <n v="3"/>
    <n v="1"/>
    <x v="0"/>
    <n v="10"/>
    <x v="2"/>
    <n v="7.5800000000000006E-2"/>
    <n v="0.5"/>
    <n v="41.79"/>
    <x v="2"/>
    <n v="0"/>
    <n v="99"/>
    <n v="99"/>
    <m/>
    <x v="1"/>
  </r>
  <r>
    <n v="908"/>
    <x v="39"/>
    <x v="8"/>
    <b v="0"/>
    <n v="3"/>
    <n v="1"/>
    <x v="0"/>
    <n v="10"/>
    <x v="2"/>
    <n v="7.5800000000000006E-2"/>
    <n v="0.49"/>
    <n v="32.840000000000003"/>
    <x v="2"/>
    <n v="5"/>
    <n v="173"/>
    <n v="178"/>
    <m/>
    <x v="1"/>
  </r>
  <r>
    <n v="909"/>
    <x v="39"/>
    <x v="9"/>
    <b v="0"/>
    <n v="3"/>
    <n v="1"/>
    <x v="0"/>
    <n v="12"/>
    <x v="0"/>
    <n v="0.1061"/>
    <n v="0.42"/>
    <n v="35.82"/>
    <x v="2"/>
    <n v="1"/>
    <n v="121"/>
    <n v="122"/>
    <m/>
    <x v="1"/>
  </r>
  <r>
    <n v="910"/>
    <x v="39"/>
    <x v="10"/>
    <b v="0"/>
    <n v="3"/>
    <n v="1"/>
    <x v="0"/>
    <n v="12"/>
    <x v="0"/>
    <n v="0.1061"/>
    <n v="0.42"/>
    <n v="29.849999999999998"/>
    <x v="0"/>
    <n v="1"/>
    <n v="34"/>
    <n v="35"/>
    <m/>
    <x v="1"/>
  </r>
  <r>
    <n v="911"/>
    <x v="39"/>
    <x v="11"/>
    <b v="0"/>
    <n v="3"/>
    <n v="1"/>
    <x v="0"/>
    <n v="14.000000000000002"/>
    <x v="0"/>
    <n v="0.1212"/>
    <n v="0.39"/>
    <n v="35.82"/>
    <x v="2"/>
    <n v="1"/>
    <n v="44"/>
    <n v="45"/>
    <m/>
    <x v="1"/>
  </r>
  <r>
    <n v="912"/>
    <x v="39"/>
    <x v="12"/>
    <b v="0"/>
    <n v="3"/>
    <n v="1"/>
    <x v="0"/>
    <n v="16"/>
    <x v="0"/>
    <n v="0.13639999999999999"/>
    <n v="0.34"/>
    <n v="38.81"/>
    <x v="2"/>
    <n v="4"/>
    <n v="65"/>
    <n v="69"/>
    <m/>
    <x v="1"/>
  </r>
  <r>
    <n v="913"/>
    <x v="39"/>
    <x v="13"/>
    <b v="0"/>
    <n v="3"/>
    <n v="1"/>
    <x v="0"/>
    <n v="18"/>
    <x v="0"/>
    <n v="0.16669999999999999"/>
    <n v="0.28999999999999998"/>
    <n v="29.849999999999998"/>
    <x v="0"/>
    <n v="3"/>
    <n v="59"/>
    <n v="62"/>
    <m/>
    <x v="1"/>
  </r>
  <r>
    <n v="914"/>
    <x v="39"/>
    <x v="14"/>
    <b v="0"/>
    <n v="3"/>
    <n v="1"/>
    <x v="0"/>
    <n v="20"/>
    <x v="0"/>
    <n v="0.18179999999999999"/>
    <n v="0.27"/>
    <n v="28.360000000000003"/>
    <x v="0"/>
    <n v="6"/>
    <n v="42"/>
    <n v="48"/>
    <m/>
    <x v="1"/>
  </r>
  <r>
    <n v="915"/>
    <x v="39"/>
    <x v="15"/>
    <b v="0"/>
    <n v="3"/>
    <n v="1"/>
    <x v="0"/>
    <n v="20"/>
    <x v="0"/>
    <n v="0.19700000000000001"/>
    <n v="0.25"/>
    <n v="25.369999999999997"/>
    <x v="0"/>
    <n v="0"/>
    <n v="50"/>
    <n v="50"/>
    <m/>
    <x v="1"/>
  </r>
  <r>
    <n v="916"/>
    <x v="39"/>
    <x v="16"/>
    <b v="0"/>
    <n v="3"/>
    <n v="1"/>
    <x v="0"/>
    <n v="20"/>
    <x v="0"/>
    <n v="0.18179999999999999"/>
    <n v="0.27"/>
    <n v="29.849999999999998"/>
    <x v="0"/>
    <n v="4"/>
    <n v="76"/>
    <n v="80"/>
    <m/>
    <x v="1"/>
  </r>
  <r>
    <n v="917"/>
    <x v="39"/>
    <x v="17"/>
    <b v="0"/>
    <n v="3"/>
    <n v="1"/>
    <x v="0"/>
    <n v="18"/>
    <x v="0"/>
    <n v="0.18179999999999999"/>
    <n v="0.26"/>
    <n v="19.400000000000002"/>
    <x v="1"/>
    <n v="6"/>
    <n v="159"/>
    <n v="165"/>
    <m/>
    <x v="1"/>
  </r>
  <r>
    <n v="918"/>
    <x v="39"/>
    <x v="18"/>
    <b v="0"/>
    <n v="3"/>
    <n v="1"/>
    <x v="0"/>
    <n v="16"/>
    <x v="0"/>
    <n v="0.18179999999999999"/>
    <n v="0.28000000000000003"/>
    <n v="13.43"/>
    <x v="1"/>
    <n v="3"/>
    <n v="157"/>
    <n v="160"/>
    <m/>
    <x v="1"/>
  </r>
  <r>
    <n v="919"/>
    <x v="39"/>
    <x v="19"/>
    <b v="0"/>
    <n v="3"/>
    <n v="1"/>
    <x v="0"/>
    <n v="14.000000000000002"/>
    <x v="0"/>
    <n v="0.16669999999999999"/>
    <n v="0.28000000000000003"/>
    <n v="10.45"/>
    <x v="1"/>
    <n v="2"/>
    <n v="110"/>
    <n v="112"/>
    <m/>
    <x v="1"/>
  </r>
  <r>
    <n v="920"/>
    <x v="39"/>
    <x v="20"/>
    <b v="0"/>
    <n v="3"/>
    <n v="1"/>
    <x v="0"/>
    <n v="14.000000000000002"/>
    <x v="0"/>
    <n v="0.18179999999999999"/>
    <n v="0.31"/>
    <n v="8.9599999999999991"/>
    <x v="1"/>
    <n v="4"/>
    <n v="93"/>
    <n v="97"/>
    <m/>
    <x v="1"/>
  </r>
  <r>
    <n v="921"/>
    <x v="39"/>
    <x v="21"/>
    <b v="0"/>
    <n v="3"/>
    <n v="1"/>
    <x v="0"/>
    <n v="14.000000000000002"/>
    <x v="0"/>
    <n v="0.21210000000000001"/>
    <n v="0.39"/>
    <n v="17.94158974358977"/>
    <x v="1"/>
    <n v="2"/>
    <n v="70"/>
    <n v="72"/>
    <m/>
    <x v="1"/>
  </r>
  <r>
    <n v="922"/>
    <x v="39"/>
    <x v="22"/>
    <b v="0"/>
    <n v="3"/>
    <n v="1"/>
    <x v="0"/>
    <n v="12"/>
    <x v="0"/>
    <n v="0.19700000000000001"/>
    <n v="0.39"/>
    <n v="17.94158974358977"/>
    <x v="1"/>
    <n v="4"/>
    <n v="47"/>
    <n v="51"/>
    <m/>
    <x v="1"/>
  </r>
  <r>
    <n v="923"/>
    <x v="39"/>
    <x v="23"/>
    <b v="0"/>
    <n v="3"/>
    <n v="1"/>
    <x v="0"/>
    <n v="12"/>
    <x v="0"/>
    <n v="0.1515"/>
    <n v="0.42"/>
    <n v="10.45"/>
    <x v="1"/>
    <n v="1"/>
    <n v="33"/>
    <n v="34"/>
    <m/>
    <x v="1"/>
  </r>
  <r>
    <n v="924"/>
    <x v="40"/>
    <x v="0"/>
    <b v="0"/>
    <n v="4"/>
    <n v="1"/>
    <x v="0"/>
    <n v="10"/>
    <x v="2"/>
    <n v="0.13639999999999999"/>
    <n v="0.49"/>
    <n v="10.45"/>
    <x v="1"/>
    <n v="2"/>
    <n v="12"/>
    <n v="14"/>
    <m/>
    <x v="1"/>
  </r>
  <r>
    <n v="925"/>
    <x v="40"/>
    <x v="1"/>
    <b v="0"/>
    <n v="4"/>
    <n v="1"/>
    <x v="0"/>
    <n v="10"/>
    <x v="2"/>
    <n v="0.13639999999999999"/>
    <n v="0.54"/>
    <n v="8.9599999999999991"/>
    <x v="1"/>
    <n v="1"/>
    <n v="6"/>
    <n v="7"/>
    <m/>
    <x v="1"/>
  </r>
  <r>
    <n v="926"/>
    <x v="40"/>
    <x v="2"/>
    <b v="0"/>
    <n v="4"/>
    <n v="1"/>
    <x v="0"/>
    <n v="10"/>
    <x v="2"/>
    <n v="0.13639999999999999"/>
    <n v="0.54"/>
    <n v="8.9599999999999991"/>
    <x v="1"/>
    <n v="0"/>
    <n v="3"/>
    <n v="3"/>
    <m/>
    <x v="1"/>
  </r>
  <r>
    <n v="927"/>
    <x v="40"/>
    <x v="5"/>
    <b v="0"/>
    <n v="4"/>
    <n v="1"/>
    <x v="0"/>
    <n v="8"/>
    <x v="2"/>
    <n v="0.1212"/>
    <n v="0.63"/>
    <n v="8.9599999999999991"/>
    <x v="1"/>
    <n v="0"/>
    <n v="4"/>
    <n v="4"/>
    <m/>
    <x v="1"/>
  </r>
  <r>
    <n v="928"/>
    <x v="40"/>
    <x v="6"/>
    <b v="0"/>
    <n v="4"/>
    <n v="1"/>
    <x v="0"/>
    <n v="10"/>
    <x v="2"/>
    <n v="0.18179999999999999"/>
    <n v="0.68"/>
    <n v="17.94158974358977"/>
    <x v="1"/>
    <n v="1"/>
    <n v="23"/>
    <n v="24"/>
    <m/>
    <x v="1"/>
  </r>
  <r>
    <n v="929"/>
    <x v="40"/>
    <x v="7"/>
    <b v="0"/>
    <n v="4"/>
    <n v="1"/>
    <x v="0"/>
    <n v="8"/>
    <x v="2"/>
    <n v="0.16669999999999999"/>
    <n v="0.73"/>
    <n v="17.94158974358977"/>
    <x v="1"/>
    <n v="1"/>
    <n v="73"/>
    <n v="74"/>
    <m/>
    <x v="1"/>
  </r>
  <r>
    <n v="930"/>
    <x v="40"/>
    <x v="8"/>
    <b v="0"/>
    <n v="4"/>
    <n v="1"/>
    <x v="0"/>
    <n v="10"/>
    <x v="2"/>
    <n v="0.1212"/>
    <n v="0.74"/>
    <n v="16.420000000000002"/>
    <x v="1"/>
    <n v="4"/>
    <n v="212"/>
    <n v="216"/>
    <m/>
    <x v="1"/>
  </r>
  <r>
    <n v="931"/>
    <x v="40"/>
    <x v="9"/>
    <b v="0"/>
    <n v="4"/>
    <n v="1"/>
    <x v="0"/>
    <n v="12"/>
    <x v="0"/>
    <n v="0.1212"/>
    <n v="0.74"/>
    <n v="22.39"/>
    <x v="0"/>
    <n v="8"/>
    <n v="132"/>
    <n v="140"/>
    <m/>
    <x v="1"/>
  </r>
  <r>
    <n v="932"/>
    <x v="40"/>
    <x v="10"/>
    <b v="0"/>
    <n v="4"/>
    <n v="1"/>
    <x v="0"/>
    <n v="14.000000000000002"/>
    <x v="0"/>
    <n v="0.13639999999999999"/>
    <n v="0.69"/>
    <n v="19.400000000000002"/>
    <x v="1"/>
    <n v="5"/>
    <n v="39"/>
    <n v="44"/>
    <m/>
    <x v="1"/>
  </r>
  <r>
    <n v="933"/>
    <x v="40"/>
    <x v="11"/>
    <b v="0"/>
    <n v="4"/>
    <n v="1"/>
    <x v="0"/>
    <n v="22"/>
    <x v="0"/>
    <n v="0.2273"/>
    <n v="0.47"/>
    <n v="13.43"/>
    <x v="1"/>
    <n v="12"/>
    <n v="52"/>
    <n v="64"/>
    <m/>
    <x v="1"/>
  </r>
  <r>
    <n v="934"/>
    <x v="40"/>
    <x v="12"/>
    <b v="0"/>
    <n v="4"/>
    <n v="1"/>
    <x v="0"/>
    <n v="22"/>
    <x v="0"/>
    <n v="0.2273"/>
    <n v="0.47"/>
    <n v="13.43"/>
    <x v="1"/>
    <n v="7"/>
    <n v="64"/>
    <n v="71"/>
    <m/>
    <x v="1"/>
  </r>
  <r>
    <n v="935"/>
    <x v="40"/>
    <x v="13"/>
    <b v="0"/>
    <n v="4"/>
    <n v="1"/>
    <x v="0"/>
    <n v="24"/>
    <x v="0"/>
    <n v="0.2273"/>
    <n v="0.35"/>
    <n v="19.400000000000002"/>
    <x v="1"/>
    <n v="21"/>
    <n v="89"/>
    <n v="110"/>
    <m/>
    <x v="1"/>
  </r>
  <r>
    <n v="936"/>
    <x v="40"/>
    <x v="14"/>
    <b v="0"/>
    <n v="4"/>
    <n v="1"/>
    <x v="0"/>
    <n v="30"/>
    <x v="1"/>
    <n v="0.28789999999999999"/>
    <n v="0.26"/>
    <n v="25.369999999999997"/>
    <x v="0"/>
    <n v="17"/>
    <n v="67"/>
    <n v="84"/>
    <m/>
    <x v="1"/>
  </r>
  <r>
    <n v="937"/>
    <x v="40"/>
    <x v="15"/>
    <b v="0"/>
    <n v="4"/>
    <n v="1"/>
    <x v="0"/>
    <n v="32"/>
    <x v="1"/>
    <n v="0.31819999999999998"/>
    <n v="0.21"/>
    <n v="16.420000000000002"/>
    <x v="1"/>
    <n v="12"/>
    <n v="62"/>
    <n v="74"/>
    <m/>
    <x v="1"/>
  </r>
  <r>
    <n v="938"/>
    <x v="40"/>
    <x v="16"/>
    <b v="0"/>
    <n v="4"/>
    <n v="1"/>
    <x v="0"/>
    <n v="30"/>
    <x v="1"/>
    <n v="0.28789999999999999"/>
    <n v="0.28000000000000003"/>
    <n v="19.400000000000002"/>
    <x v="1"/>
    <n v="14"/>
    <n v="111"/>
    <n v="125"/>
    <m/>
    <x v="1"/>
  </r>
  <r>
    <n v="939"/>
    <x v="40"/>
    <x v="17"/>
    <b v="0"/>
    <n v="4"/>
    <n v="1"/>
    <x v="0"/>
    <n v="30"/>
    <x v="1"/>
    <n v="0.33329999999999999"/>
    <n v="0.24"/>
    <n v="17.94158974358977"/>
    <x v="1"/>
    <n v="18"/>
    <n v="193"/>
    <n v="211"/>
    <m/>
    <x v="1"/>
  </r>
  <r>
    <n v="940"/>
    <x v="40"/>
    <x v="18"/>
    <b v="0"/>
    <n v="4"/>
    <n v="1"/>
    <x v="0"/>
    <n v="28.000000000000004"/>
    <x v="1"/>
    <n v="0.31819999999999998"/>
    <n v="0.28000000000000003"/>
    <n v="17.94158974358977"/>
    <x v="1"/>
    <n v="9"/>
    <n v="165"/>
    <n v="174"/>
    <m/>
    <x v="1"/>
  </r>
  <r>
    <n v="941"/>
    <x v="40"/>
    <x v="19"/>
    <b v="0"/>
    <n v="4"/>
    <n v="1"/>
    <x v="0"/>
    <n v="26"/>
    <x v="1"/>
    <n v="0.30299999999999999"/>
    <n v="0.33"/>
    <n v="17.94158974358977"/>
    <x v="1"/>
    <n v="7"/>
    <n v="94"/>
    <n v="101"/>
    <m/>
    <x v="1"/>
  </r>
  <r>
    <n v="942"/>
    <x v="40"/>
    <x v="20"/>
    <b v="0"/>
    <n v="4"/>
    <n v="1"/>
    <x v="0"/>
    <n v="22"/>
    <x v="0"/>
    <n v="0.2273"/>
    <n v="0.55000000000000004"/>
    <n v="13.43"/>
    <x v="1"/>
    <n v="2"/>
    <n v="61"/>
    <n v="63"/>
    <m/>
    <x v="1"/>
  </r>
  <r>
    <n v="943"/>
    <x v="40"/>
    <x v="21"/>
    <b v="0"/>
    <n v="4"/>
    <n v="1"/>
    <x v="0"/>
    <n v="20"/>
    <x v="0"/>
    <n v="0.21210000000000001"/>
    <n v="0.59"/>
    <n v="13.43"/>
    <x v="1"/>
    <n v="1"/>
    <n v="46"/>
    <n v="47"/>
    <m/>
    <x v="1"/>
  </r>
  <r>
    <n v="944"/>
    <x v="40"/>
    <x v="22"/>
    <b v="0"/>
    <n v="4"/>
    <n v="1"/>
    <x v="0"/>
    <n v="20"/>
    <x v="0"/>
    <n v="0.2273"/>
    <n v="0.64"/>
    <n v="8.9599999999999991"/>
    <x v="1"/>
    <n v="2"/>
    <n v="41"/>
    <n v="43"/>
    <m/>
    <x v="1"/>
  </r>
  <r>
    <n v="945"/>
    <x v="40"/>
    <x v="23"/>
    <b v="0"/>
    <n v="4"/>
    <n v="1"/>
    <x v="0"/>
    <n v="18"/>
    <x v="0"/>
    <n v="0.2424"/>
    <n v="0.69"/>
    <n v="17.94158974358977"/>
    <x v="1"/>
    <n v="5"/>
    <n v="48"/>
    <n v="53"/>
    <m/>
    <x v="1"/>
  </r>
  <r>
    <n v="946"/>
    <x v="41"/>
    <x v="0"/>
    <b v="0"/>
    <n v="5"/>
    <n v="1"/>
    <x v="0"/>
    <n v="16"/>
    <x v="0"/>
    <n v="0.19700000000000001"/>
    <n v="0.69"/>
    <n v="8.9599999999999991"/>
    <x v="1"/>
    <n v="3"/>
    <n v="27"/>
    <n v="30"/>
    <m/>
    <x v="1"/>
  </r>
  <r>
    <n v="947"/>
    <x v="41"/>
    <x v="1"/>
    <b v="0"/>
    <n v="5"/>
    <n v="1"/>
    <x v="0"/>
    <n v="14.000000000000002"/>
    <x v="0"/>
    <n v="0.21210000000000001"/>
    <n v="0.86"/>
    <n v="17.94158974358977"/>
    <x v="1"/>
    <n v="2"/>
    <n v="22"/>
    <n v="24"/>
    <m/>
    <x v="1"/>
  </r>
  <r>
    <n v="948"/>
    <x v="41"/>
    <x v="2"/>
    <b v="0"/>
    <n v="5"/>
    <n v="1"/>
    <x v="0"/>
    <n v="14.000000000000002"/>
    <x v="0"/>
    <n v="0.21210000000000001"/>
    <n v="0.8"/>
    <n v="17.94158974358977"/>
    <x v="1"/>
    <n v="2"/>
    <n v="13"/>
    <n v="15"/>
    <m/>
    <x v="1"/>
  </r>
  <r>
    <n v="949"/>
    <x v="41"/>
    <x v="3"/>
    <b v="0"/>
    <n v="5"/>
    <n v="1"/>
    <x v="0"/>
    <n v="12"/>
    <x v="0"/>
    <n v="0.19700000000000001"/>
    <n v="0.8"/>
    <n v="17.94158974358977"/>
    <x v="1"/>
    <n v="3"/>
    <n v="7"/>
    <n v="10"/>
    <m/>
    <x v="1"/>
  </r>
  <r>
    <n v="950"/>
    <x v="41"/>
    <x v="4"/>
    <b v="0"/>
    <n v="5"/>
    <n v="1"/>
    <x v="0"/>
    <n v="12"/>
    <x v="0"/>
    <n v="0.16669999999999999"/>
    <n v="0.74"/>
    <n v="8.9599999999999991"/>
    <x v="1"/>
    <n v="0"/>
    <n v="4"/>
    <n v="4"/>
    <m/>
    <x v="1"/>
  </r>
  <r>
    <n v="951"/>
    <x v="41"/>
    <x v="5"/>
    <b v="0"/>
    <n v="5"/>
    <n v="1"/>
    <x v="0"/>
    <n v="12"/>
    <x v="0"/>
    <n v="0.16669999999999999"/>
    <n v="0.74"/>
    <n v="8.9599999999999991"/>
    <x v="1"/>
    <n v="0"/>
    <n v="1"/>
    <n v="1"/>
    <m/>
    <x v="1"/>
  </r>
  <r>
    <n v="952"/>
    <x v="41"/>
    <x v="6"/>
    <b v="0"/>
    <n v="5"/>
    <n v="1"/>
    <x v="0"/>
    <n v="12"/>
    <x v="0"/>
    <n v="0.13639999999999999"/>
    <n v="0.93"/>
    <n v="19.400000000000002"/>
    <x v="1"/>
    <n v="1"/>
    <n v="1"/>
    <n v="2"/>
    <m/>
    <x v="1"/>
  </r>
  <r>
    <n v="953"/>
    <x v="41"/>
    <x v="7"/>
    <b v="0"/>
    <n v="5"/>
    <n v="1"/>
    <x v="0"/>
    <n v="12"/>
    <x v="0"/>
    <n v="0.1515"/>
    <n v="0.8"/>
    <n v="10.45"/>
    <x v="1"/>
    <n v="2"/>
    <n v="9"/>
    <n v="11"/>
    <m/>
    <x v="1"/>
  </r>
  <r>
    <n v="954"/>
    <x v="41"/>
    <x v="8"/>
    <b v="0"/>
    <n v="5"/>
    <n v="1"/>
    <x v="0"/>
    <n v="14.000000000000002"/>
    <x v="0"/>
    <n v="0.1515"/>
    <n v="0.86"/>
    <n v="13.43"/>
    <x v="1"/>
    <n v="2"/>
    <n v="28"/>
    <n v="30"/>
    <m/>
    <x v="1"/>
  </r>
  <r>
    <n v="955"/>
    <x v="41"/>
    <x v="9"/>
    <b v="0"/>
    <n v="5"/>
    <n v="1"/>
    <x v="0"/>
    <n v="16"/>
    <x v="0"/>
    <n v="0.18179999999999999"/>
    <n v="0.64"/>
    <n v="13.43"/>
    <x v="1"/>
    <n v="5"/>
    <n v="38"/>
    <n v="43"/>
    <m/>
    <x v="1"/>
  </r>
  <r>
    <n v="956"/>
    <x v="41"/>
    <x v="10"/>
    <b v="0"/>
    <n v="5"/>
    <n v="1"/>
    <x v="0"/>
    <n v="22"/>
    <x v="0"/>
    <n v="0.21210000000000001"/>
    <n v="0.41"/>
    <n v="25.369999999999997"/>
    <x v="0"/>
    <n v="13"/>
    <n v="71"/>
    <n v="84"/>
    <m/>
    <x v="1"/>
  </r>
  <r>
    <n v="957"/>
    <x v="41"/>
    <x v="11"/>
    <b v="0"/>
    <n v="5"/>
    <n v="1"/>
    <x v="0"/>
    <n v="30"/>
    <x v="1"/>
    <n v="0.2727"/>
    <n v="0.28000000000000003"/>
    <n v="32.840000000000003"/>
    <x v="2"/>
    <n v="30"/>
    <n v="84"/>
    <n v="114"/>
    <m/>
    <x v="1"/>
  </r>
  <r>
    <n v="958"/>
    <x v="41"/>
    <x v="12"/>
    <b v="0"/>
    <n v="5"/>
    <n v="1"/>
    <x v="0"/>
    <n v="30"/>
    <x v="1"/>
    <n v="0.2727"/>
    <n v="0.39"/>
    <n v="46.27"/>
    <x v="2"/>
    <n v="27"/>
    <n v="93"/>
    <n v="120"/>
    <m/>
    <x v="1"/>
  </r>
  <r>
    <n v="959"/>
    <x v="41"/>
    <x v="13"/>
    <b v="0"/>
    <n v="5"/>
    <n v="1"/>
    <x v="0"/>
    <n v="30"/>
    <x v="1"/>
    <n v="0.2727"/>
    <n v="0.39"/>
    <n v="41.79"/>
    <x v="2"/>
    <n v="32"/>
    <n v="103"/>
    <n v="135"/>
    <m/>
    <x v="1"/>
  </r>
  <r>
    <n v="960"/>
    <x v="41"/>
    <x v="14"/>
    <b v="0"/>
    <n v="5"/>
    <n v="1"/>
    <x v="0"/>
    <n v="34"/>
    <x v="1"/>
    <n v="0.31819999999999998"/>
    <n v="0.31"/>
    <n v="28.360000000000003"/>
    <x v="0"/>
    <n v="30"/>
    <n v="90"/>
    <n v="120"/>
    <m/>
    <x v="1"/>
  </r>
  <r>
    <n v="961"/>
    <x v="41"/>
    <x v="15"/>
    <b v="0"/>
    <n v="5"/>
    <n v="1"/>
    <x v="0"/>
    <n v="34"/>
    <x v="1"/>
    <n v="0.30299999999999999"/>
    <n v="0.28999999999999998"/>
    <n v="41.79"/>
    <x v="2"/>
    <n v="47"/>
    <n v="127"/>
    <n v="174"/>
    <m/>
    <x v="1"/>
  </r>
  <r>
    <n v="962"/>
    <x v="41"/>
    <x v="16"/>
    <b v="0"/>
    <n v="5"/>
    <n v="1"/>
    <x v="0"/>
    <n v="34"/>
    <x v="1"/>
    <n v="0.30299999999999999"/>
    <n v="0.28999999999999998"/>
    <n v="41.79"/>
    <x v="2"/>
    <n v="42"/>
    <n v="103"/>
    <n v="145"/>
    <m/>
    <x v="1"/>
  </r>
  <r>
    <n v="963"/>
    <x v="41"/>
    <x v="17"/>
    <b v="0"/>
    <n v="5"/>
    <n v="1"/>
    <x v="0"/>
    <n v="32"/>
    <x v="1"/>
    <n v="0.28789999999999999"/>
    <n v="0.31"/>
    <n v="52.239999999999995"/>
    <x v="2"/>
    <n v="24"/>
    <n v="113"/>
    <n v="137"/>
    <m/>
    <x v="1"/>
  </r>
  <r>
    <n v="964"/>
    <x v="41"/>
    <x v="18"/>
    <b v="0"/>
    <n v="5"/>
    <n v="1"/>
    <x v="0"/>
    <n v="28.000000000000004"/>
    <x v="1"/>
    <n v="0.2576"/>
    <n v="0.38"/>
    <n v="32.840000000000003"/>
    <x v="2"/>
    <n v="4"/>
    <n v="60"/>
    <n v="64"/>
    <m/>
    <x v="1"/>
  </r>
  <r>
    <n v="965"/>
    <x v="41"/>
    <x v="19"/>
    <b v="0"/>
    <n v="5"/>
    <n v="1"/>
    <x v="0"/>
    <n v="28.000000000000004"/>
    <x v="1"/>
    <n v="0.2727"/>
    <n v="0.38"/>
    <n v="16.420000000000002"/>
    <x v="1"/>
    <n v="2"/>
    <n v="39"/>
    <n v="41"/>
    <m/>
    <x v="1"/>
  </r>
  <r>
    <n v="966"/>
    <x v="41"/>
    <x v="20"/>
    <b v="0"/>
    <n v="5"/>
    <n v="1"/>
    <x v="0"/>
    <n v="26"/>
    <x v="1"/>
    <n v="0.2576"/>
    <n v="0.41"/>
    <n v="22.39"/>
    <x v="0"/>
    <n v="1"/>
    <n v="39"/>
    <n v="40"/>
    <m/>
    <x v="1"/>
  </r>
  <r>
    <n v="967"/>
    <x v="41"/>
    <x v="21"/>
    <b v="0"/>
    <n v="5"/>
    <n v="1"/>
    <x v="0"/>
    <n v="26"/>
    <x v="1"/>
    <n v="0.30299999999999999"/>
    <n v="0.41"/>
    <n v="17.94158974358977"/>
    <x v="1"/>
    <n v="9"/>
    <n v="42"/>
    <n v="51"/>
    <m/>
    <x v="1"/>
  </r>
  <r>
    <n v="968"/>
    <x v="41"/>
    <x v="22"/>
    <b v="0"/>
    <n v="5"/>
    <n v="1"/>
    <x v="0"/>
    <n v="24"/>
    <x v="0"/>
    <n v="0.2576"/>
    <n v="0.44"/>
    <n v="8.9599999999999991"/>
    <x v="1"/>
    <n v="6"/>
    <n v="39"/>
    <n v="45"/>
    <m/>
    <x v="1"/>
  </r>
  <r>
    <n v="969"/>
    <x v="41"/>
    <x v="23"/>
    <b v="0"/>
    <n v="5"/>
    <n v="1"/>
    <x v="0"/>
    <n v="22"/>
    <x v="0"/>
    <n v="0.2273"/>
    <n v="0.51"/>
    <n v="13.43"/>
    <x v="1"/>
    <n v="1"/>
    <n v="31"/>
    <n v="32"/>
    <m/>
    <x v="1"/>
  </r>
  <r>
    <n v="970"/>
    <x v="42"/>
    <x v="0"/>
    <b v="0"/>
    <n v="6"/>
    <n v="1"/>
    <x v="0"/>
    <n v="20"/>
    <x v="0"/>
    <n v="0.2273"/>
    <n v="0.64"/>
    <n v="10.45"/>
    <x v="1"/>
    <n v="5"/>
    <n v="34"/>
    <n v="39"/>
    <m/>
    <x v="1"/>
  </r>
  <r>
    <n v="971"/>
    <x v="42"/>
    <x v="1"/>
    <b v="0"/>
    <n v="6"/>
    <n v="1"/>
    <x v="0"/>
    <n v="20"/>
    <x v="0"/>
    <n v="0.2273"/>
    <n v="0.59"/>
    <n v="8.9599999999999991"/>
    <x v="1"/>
    <n v="1"/>
    <n v="23"/>
    <n v="24"/>
    <m/>
    <x v="1"/>
  </r>
  <r>
    <n v="972"/>
    <x v="42"/>
    <x v="2"/>
    <b v="0"/>
    <n v="6"/>
    <n v="2"/>
    <x v="1"/>
    <n v="20"/>
    <x v="0"/>
    <n v="0.2273"/>
    <n v="0.75"/>
    <n v="8.9599999999999991"/>
    <x v="1"/>
    <n v="1"/>
    <n v="19"/>
    <n v="20"/>
    <m/>
    <x v="1"/>
  </r>
  <r>
    <n v="973"/>
    <x v="42"/>
    <x v="3"/>
    <b v="0"/>
    <n v="6"/>
    <n v="2"/>
    <x v="1"/>
    <n v="20"/>
    <x v="0"/>
    <n v="0.2273"/>
    <n v="0.69"/>
    <n v="10.45"/>
    <x v="1"/>
    <n v="4"/>
    <n v="8"/>
    <n v="12"/>
    <m/>
    <x v="1"/>
  </r>
  <r>
    <n v="974"/>
    <x v="42"/>
    <x v="4"/>
    <b v="0"/>
    <n v="6"/>
    <n v="2"/>
    <x v="1"/>
    <n v="20"/>
    <x v="0"/>
    <n v="0.21210000000000001"/>
    <n v="0.69"/>
    <n v="16.420000000000002"/>
    <x v="1"/>
    <n v="0"/>
    <n v="2"/>
    <n v="2"/>
    <m/>
    <x v="1"/>
  </r>
  <r>
    <n v="975"/>
    <x v="42"/>
    <x v="6"/>
    <b v="0"/>
    <n v="6"/>
    <n v="2"/>
    <x v="1"/>
    <n v="20"/>
    <x v="0"/>
    <n v="0.21210000000000001"/>
    <n v="0.69"/>
    <n v="13.43"/>
    <x v="1"/>
    <n v="2"/>
    <n v="3"/>
    <n v="5"/>
    <m/>
    <x v="1"/>
  </r>
  <r>
    <n v="976"/>
    <x v="42"/>
    <x v="7"/>
    <b v="0"/>
    <n v="6"/>
    <n v="2"/>
    <x v="1"/>
    <n v="22"/>
    <x v="0"/>
    <n v="0.2727"/>
    <n v="0.55000000000000004"/>
    <n v="17.94158974358977"/>
    <x v="1"/>
    <n v="0"/>
    <n v="3"/>
    <n v="3"/>
    <m/>
    <x v="1"/>
  </r>
  <r>
    <n v="977"/>
    <x v="42"/>
    <x v="8"/>
    <b v="0"/>
    <n v="6"/>
    <n v="2"/>
    <x v="1"/>
    <n v="22"/>
    <x v="0"/>
    <n v="0.2273"/>
    <n v="0.64"/>
    <n v="19.400000000000002"/>
    <x v="1"/>
    <n v="1"/>
    <n v="11"/>
    <n v="12"/>
    <m/>
    <x v="1"/>
  </r>
  <r>
    <n v="978"/>
    <x v="42"/>
    <x v="9"/>
    <b v="0"/>
    <n v="6"/>
    <n v="2"/>
    <x v="1"/>
    <n v="24"/>
    <x v="0"/>
    <n v="0.2273"/>
    <n v="0.6"/>
    <n v="22.39"/>
    <x v="0"/>
    <n v="12"/>
    <n v="35"/>
    <n v="47"/>
    <m/>
    <x v="1"/>
  </r>
  <r>
    <n v="979"/>
    <x v="42"/>
    <x v="10"/>
    <b v="0"/>
    <n v="6"/>
    <n v="1"/>
    <x v="0"/>
    <n v="30"/>
    <x v="1"/>
    <n v="0.2727"/>
    <n v="0.45"/>
    <n v="32.840000000000003"/>
    <x v="2"/>
    <n v="19"/>
    <n v="86"/>
    <n v="105"/>
    <m/>
    <x v="1"/>
  </r>
  <r>
    <n v="980"/>
    <x v="42"/>
    <x v="11"/>
    <b v="0"/>
    <n v="6"/>
    <n v="1"/>
    <x v="0"/>
    <n v="32"/>
    <x v="1"/>
    <n v="0.28789999999999999"/>
    <n v="0.39"/>
    <n v="44.78"/>
    <x v="2"/>
    <n v="26"/>
    <n v="86"/>
    <n v="112"/>
    <m/>
    <x v="1"/>
  </r>
  <r>
    <n v="981"/>
    <x v="42"/>
    <x v="12"/>
    <b v="0"/>
    <n v="6"/>
    <n v="1"/>
    <x v="0"/>
    <n v="36"/>
    <x v="1"/>
    <n v="0.31819999999999998"/>
    <n v="0.32"/>
    <n v="46.27"/>
    <x v="2"/>
    <n v="58"/>
    <n v="94"/>
    <n v="152"/>
    <m/>
    <x v="1"/>
  </r>
  <r>
    <n v="982"/>
    <x v="42"/>
    <x v="13"/>
    <b v="0"/>
    <n v="6"/>
    <n v="1"/>
    <x v="0"/>
    <n v="38"/>
    <x v="1"/>
    <n v="0.39389999999999997"/>
    <n v="0.28999999999999998"/>
    <n v="35.82"/>
    <x v="2"/>
    <n v="62"/>
    <n v="92"/>
    <n v="154"/>
    <m/>
    <x v="1"/>
  </r>
  <r>
    <n v="983"/>
    <x v="42"/>
    <x v="14"/>
    <b v="0"/>
    <n v="6"/>
    <n v="2"/>
    <x v="1"/>
    <n v="40"/>
    <x v="1"/>
    <n v="0.40910000000000002"/>
    <n v="0.3"/>
    <n v="41.79"/>
    <x v="2"/>
    <n v="51"/>
    <n v="110"/>
    <n v="161"/>
    <m/>
    <x v="1"/>
  </r>
  <r>
    <n v="984"/>
    <x v="42"/>
    <x v="15"/>
    <b v="0"/>
    <n v="6"/>
    <n v="2"/>
    <x v="1"/>
    <n v="40"/>
    <x v="1"/>
    <n v="0.40910000000000002"/>
    <n v="0.3"/>
    <n v="29.849999999999998"/>
    <x v="0"/>
    <n v="40"/>
    <n v="122"/>
    <n v="162"/>
    <m/>
    <x v="1"/>
  </r>
  <r>
    <n v="985"/>
    <x v="42"/>
    <x v="16"/>
    <b v="0"/>
    <n v="6"/>
    <n v="2"/>
    <x v="1"/>
    <n v="42"/>
    <x v="1"/>
    <n v="0.42420000000000002"/>
    <n v="0.28000000000000003"/>
    <n v="32.840000000000003"/>
    <x v="2"/>
    <n v="28"/>
    <n v="106"/>
    <n v="134"/>
    <m/>
    <x v="1"/>
  </r>
  <r>
    <n v="986"/>
    <x v="42"/>
    <x v="17"/>
    <b v="0"/>
    <n v="6"/>
    <n v="1"/>
    <x v="0"/>
    <n v="42"/>
    <x v="1"/>
    <n v="0.42420000000000002"/>
    <n v="0.28000000000000003"/>
    <n v="32.840000000000003"/>
    <x v="2"/>
    <n v="30"/>
    <n v="95"/>
    <n v="125"/>
    <m/>
    <x v="1"/>
  </r>
  <r>
    <n v="987"/>
    <x v="42"/>
    <x v="18"/>
    <b v="0"/>
    <n v="6"/>
    <n v="1"/>
    <x v="0"/>
    <n v="40"/>
    <x v="1"/>
    <n v="0.40910000000000002"/>
    <n v="0.32"/>
    <n v="29.849999999999998"/>
    <x v="0"/>
    <n v="17"/>
    <n v="78"/>
    <n v="95"/>
    <m/>
    <x v="1"/>
  </r>
  <r>
    <n v="988"/>
    <x v="42"/>
    <x v="19"/>
    <b v="0"/>
    <n v="6"/>
    <n v="1"/>
    <x v="0"/>
    <n v="40"/>
    <x v="1"/>
    <n v="0.40910000000000002"/>
    <n v="0.35"/>
    <n v="28.360000000000003"/>
    <x v="0"/>
    <n v="11"/>
    <n v="50"/>
    <n v="61"/>
    <m/>
    <x v="1"/>
  </r>
  <r>
    <n v="989"/>
    <x v="42"/>
    <x v="20"/>
    <b v="0"/>
    <n v="6"/>
    <n v="1"/>
    <x v="0"/>
    <n v="40"/>
    <x v="1"/>
    <n v="0.40910000000000002"/>
    <n v="0.35"/>
    <n v="32.840000000000003"/>
    <x v="2"/>
    <n v="15"/>
    <n v="32"/>
    <n v="47"/>
    <m/>
    <x v="1"/>
  </r>
  <r>
    <n v="990"/>
    <x v="42"/>
    <x v="21"/>
    <b v="0"/>
    <n v="6"/>
    <n v="1"/>
    <x v="0"/>
    <n v="40"/>
    <x v="1"/>
    <n v="0.40910000000000002"/>
    <n v="0.35"/>
    <n v="35.82"/>
    <x v="2"/>
    <n v="6"/>
    <n v="45"/>
    <n v="51"/>
    <m/>
    <x v="1"/>
  </r>
  <r>
    <n v="991"/>
    <x v="42"/>
    <x v="22"/>
    <b v="0"/>
    <n v="6"/>
    <n v="1"/>
    <x v="0"/>
    <n v="40"/>
    <x v="1"/>
    <n v="0.40910000000000002"/>
    <n v="0.35"/>
    <n v="29.849999999999998"/>
    <x v="0"/>
    <n v="5"/>
    <n v="31"/>
    <n v="36"/>
    <m/>
    <x v="1"/>
  </r>
  <r>
    <n v="992"/>
    <x v="42"/>
    <x v="23"/>
    <b v="0"/>
    <n v="6"/>
    <n v="1"/>
    <x v="0"/>
    <n v="40"/>
    <x v="1"/>
    <n v="0.40910000000000002"/>
    <n v="0.35"/>
    <n v="35.82"/>
    <x v="2"/>
    <n v="3"/>
    <n v="27"/>
    <n v="30"/>
    <m/>
    <x v="1"/>
  </r>
  <r>
    <n v="993"/>
    <x v="43"/>
    <x v="0"/>
    <b v="0"/>
    <n v="7"/>
    <n v="1"/>
    <x v="0"/>
    <n v="38"/>
    <x v="1"/>
    <n v="0.39389999999999997"/>
    <n v="0.37"/>
    <n v="35.82"/>
    <x v="2"/>
    <n v="3"/>
    <n v="8"/>
    <n v="11"/>
    <m/>
    <x v="1"/>
  </r>
  <r>
    <n v="994"/>
    <x v="43"/>
    <x v="1"/>
    <b v="0"/>
    <n v="7"/>
    <n v="1"/>
    <x v="0"/>
    <n v="38"/>
    <x v="1"/>
    <n v="0.39389999999999997"/>
    <n v="0.37"/>
    <n v="35.82"/>
    <x v="2"/>
    <n v="1"/>
    <n v="6"/>
    <n v="7"/>
    <m/>
    <x v="1"/>
  </r>
  <r>
    <n v="995"/>
    <x v="43"/>
    <x v="2"/>
    <b v="0"/>
    <n v="7"/>
    <n v="1"/>
    <x v="0"/>
    <n v="36"/>
    <x v="1"/>
    <n v="0.33329999999999999"/>
    <n v="0.4"/>
    <n v="29.849999999999998"/>
    <x v="0"/>
    <n v="0"/>
    <n v="2"/>
    <n v="2"/>
    <m/>
    <x v="1"/>
  </r>
  <r>
    <n v="996"/>
    <x v="43"/>
    <x v="3"/>
    <b v="0"/>
    <n v="7"/>
    <n v="1"/>
    <x v="0"/>
    <n v="34"/>
    <x v="1"/>
    <n v="0.31819999999999998"/>
    <n v="0.46"/>
    <n v="22.39"/>
    <x v="0"/>
    <n v="1"/>
    <n v="1"/>
    <n v="2"/>
    <m/>
    <x v="1"/>
  </r>
  <r>
    <n v="997"/>
    <x v="43"/>
    <x v="4"/>
    <b v="0"/>
    <n v="7"/>
    <n v="1"/>
    <x v="0"/>
    <n v="32"/>
    <x v="1"/>
    <n v="0.30299999999999999"/>
    <n v="0.53"/>
    <n v="28.360000000000003"/>
    <x v="0"/>
    <n v="0"/>
    <n v="2"/>
    <n v="2"/>
    <m/>
    <x v="1"/>
  </r>
  <r>
    <n v="998"/>
    <x v="43"/>
    <x v="5"/>
    <b v="0"/>
    <n v="7"/>
    <n v="1"/>
    <x v="0"/>
    <n v="32"/>
    <x v="1"/>
    <n v="0.30299999999999999"/>
    <n v="0.53"/>
    <n v="28.360000000000003"/>
    <x v="0"/>
    <n v="0"/>
    <n v="3"/>
    <n v="3"/>
    <m/>
    <x v="1"/>
  </r>
  <r>
    <n v="999"/>
    <x v="43"/>
    <x v="6"/>
    <b v="0"/>
    <n v="7"/>
    <n v="1"/>
    <x v="0"/>
    <n v="34"/>
    <x v="1"/>
    <n v="0.30299999999999999"/>
    <n v="0.46"/>
    <n v="29.849999999999998"/>
    <x v="0"/>
    <n v="1"/>
    <n v="25"/>
    <n v="26"/>
    <m/>
    <x v="1"/>
  </r>
  <r>
    <n v="1000"/>
    <x v="43"/>
    <x v="7"/>
    <b v="0"/>
    <n v="7"/>
    <n v="1"/>
    <x v="0"/>
    <n v="34"/>
    <x v="1"/>
    <n v="0.30299999999999999"/>
    <n v="0.46"/>
    <n v="29.849999999999998"/>
    <x v="0"/>
    <n v="2"/>
    <n v="96"/>
    <n v="98"/>
    <m/>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n v="0"/>
    <x v="0"/>
    <n v="6"/>
    <n v="1"/>
    <x v="0"/>
    <x v="0"/>
    <s v="COMFORTABLE"/>
    <n v="0.28789999999999999"/>
    <n v="0.81"/>
    <n v="20.485098360655737"/>
    <x v="0"/>
    <n v="3"/>
    <n v="13"/>
    <x v="0"/>
    <m/>
    <s v="Week 1"/>
    <x v="0"/>
  </r>
  <r>
    <n v="2"/>
    <x v="0"/>
    <n v="1"/>
    <x v="0"/>
    <n v="6"/>
    <n v="1"/>
    <x v="0"/>
    <x v="1"/>
    <s v="COMFORTABLE"/>
    <n v="0.2727"/>
    <n v="0.8"/>
    <n v="20.485098360655737"/>
    <x v="0"/>
    <n v="8"/>
    <n v="32"/>
    <x v="1"/>
    <m/>
    <s v="Week 1"/>
    <x v="0"/>
  </r>
  <r>
    <n v="3"/>
    <x v="0"/>
    <n v="2"/>
    <x v="0"/>
    <n v="6"/>
    <n v="1"/>
    <x v="0"/>
    <x v="1"/>
    <s v="COMFORTABLE"/>
    <n v="0.2727"/>
    <n v="0.8"/>
    <n v="20.485098360655737"/>
    <x v="0"/>
    <n v="5"/>
    <n v="27"/>
    <x v="2"/>
    <m/>
    <s v="Week 1"/>
    <x v="0"/>
  </r>
  <r>
    <n v="4"/>
    <x v="0"/>
    <n v="3"/>
    <x v="0"/>
    <n v="6"/>
    <n v="1"/>
    <x v="0"/>
    <x v="0"/>
    <s v="COMFORTABLE"/>
    <n v="0.28789999999999999"/>
    <n v="0.75"/>
    <n v="20.485098360655737"/>
    <x v="0"/>
    <n v="3"/>
    <n v="10"/>
    <x v="3"/>
    <m/>
    <s v="Week 1"/>
    <x v="0"/>
  </r>
  <r>
    <n v="5"/>
    <x v="0"/>
    <n v="4"/>
    <x v="0"/>
    <n v="6"/>
    <n v="1"/>
    <x v="0"/>
    <x v="0"/>
    <s v="COMFORTABLE"/>
    <n v="0.28789999999999999"/>
    <n v="0.75"/>
    <n v="20.485098360655737"/>
    <x v="0"/>
    <n v="0"/>
    <n v="1"/>
    <x v="4"/>
    <m/>
    <s v="Week 1"/>
    <x v="0"/>
  </r>
  <r>
    <n v="6"/>
    <x v="0"/>
    <n v="5"/>
    <x v="0"/>
    <n v="6"/>
    <n v="2"/>
    <x v="1"/>
    <x v="0"/>
    <s v="COMFORTABLE"/>
    <n v="0.2576"/>
    <n v="0.75"/>
    <n v="8.9599999999999991"/>
    <x v="1"/>
    <n v="0"/>
    <n v="1"/>
    <x v="4"/>
    <m/>
    <s v="Week 1"/>
    <x v="0"/>
  </r>
  <r>
    <n v="7"/>
    <x v="0"/>
    <n v="6"/>
    <x v="0"/>
    <n v="6"/>
    <n v="1"/>
    <x v="0"/>
    <x v="1"/>
    <s v="COMFORTABLE"/>
    <n v="0.2727"/>
    <n v="0.8"/>
    <n v="20.485098360655737"/>
    <x v="0"/>
    <n v="2"/>
    <n v="0"/>
    <x v="5"/>
    <m/>
    <s v="Week 1"/>
    <x v="0"/>
  </r>
  <r>
    <n v="8"/>
    <x v="0"/>
    <n v="7"/>
    <x v="0"/>
    <n v="6"/>
    <n v="1"/>
    <x v="0"/>
    <x v="2"/>
    <s v="COMFORTABLE"/>
    <n v="0.2576"/>
    <n v="0.86"/>
    <n v="20.485098360655737"/>
    <x v="0"/>
    <n v="1"/>
    <n v="2"/>
    <x v="6"/>
    <m/>
    <s v="Week 1"/>
    <x v="0"/>
  </r>
  <r>
    <n v="9"/>
    <x v="0"/>
    <n v="8"/>
    <x v="0"/>
    <n v="6"/>
    <n v="1"/>
    <x v="0"/>
    <x v="0"/>
    <s v="COMFORTABLE"/>
    <n v="0.19993489148580987"/>
    <n v="0.75"/>
    <n v="20.485098360655737"/>
    <x v="0"/>
    <n v="1"/>
    <n v="7"/>
    <x v="7"/>
    <m/>
    <s v="Week 1"/>
    <x v="0"/>
  </r>
  <r>
    <n v="10"/>
    <x v="0"/>
    <n v="9"/>
    <x v="0"/>
    <n v="6"/>
    <n v="1"/>
    <x v="0"/>
    <x v="3"/>
    <s v="WARM"/>
    <n v="0.34849999999999998"/>
    <n v="0.76"/>
    <n v="20.485098360655737"/>
    <x v="0"/>
    <n v="8"/>
    <n v="6"/>
    <x v="8"/>
    <m/>
    <s v="Week 1"/>
    <x v="0"/>
  </r>
  <r>
    <n v="11"/>
    <x v="0"/>
    <n v="10"/>
    <x v="0"/>
    <n v="6"/>
    <n v="1"/>
    <x v="0"/>
    <x v="4"/>
    <s v="WARM"/>
    <n v="0.39389999999999997"/>
    <n v="0.76"/>
    <n v="25.369999999999997"/>
    <x v="0"/>
    <n v="12"/>
    <n v="24"/>
    <x v="9"/>
    <m/>
    <s v="Week 1"/>
    <x v="0"/>
  </r>
  <r>
    <n v="12"/>
    <x v="0"/>
    <n v="11"/>
    <x v="0"/>
    <n v="6"/>
    <n v="1"/>
    <x v="0"/>
    <x v="5"/>
    <s v="WARM"/>
    <n v="0.33329999999999999"/>
    <n v="0.81"/>
    <n v="28.360000000000003"/>
    <x v="0"/>
    <n v="26"/>
    <n v="30"/>
    <x v="10"/>
    <m/>
    <s v="Week 1"/>
    <x v="0"/>
  </r>
  <r>
    <n v="13"/>
    <x v="0"/>
    <n v="12"/>
    <x v="0"/>
    <n v="6"/>
    <n v="1"/>
    <x v="0"/>
    <x v="6"/>
    <s v="WARM"/>
    <n v="0.42420000000000002"/>
    <n v="0.77"/>
    <n v="28.360000000000003"/>
    <x v="0"/>
    <n v="29"/>
    <n v="55"/>
    <x v="11"/>
    <m/>
    <s v="Week 1"/>
    <x v="0"/>
  </r>
  <r>
    <n v="14"/>
    <x v="0"/>
    <n v="13"/>
    <x v="0"/>
    <n v="6"/>
    <n v="2"/>
    <x v="1"/>
    <x v="7"/>
    <s v="WARM"/>
    <n v="0.45450000000000002"/>
    <n v="0.72"/>
    <n v="29.849999999999998"/>
    <x v="0"/>
    <n v="47"/>
    <n v="47"/>
    <x v="12"/>
    <m/>
    <s v="Week 1"/>
    <x v="0"/>
  </r>
  <r>
    <n v="15"/>
    <x v="0"/>
    <n v="14"/>
    <x v="0"/>
    <n v="6"/>
    <n v="2"/>
    <x v="1"/>
    <x v="7"/>
    <s v="WARM"/>
    <n v="0.45450000000000002"/>
    <n v="0.72"/>
    <n v="28.360000000000003"/>
    <x v="0"/>
    <n v="35"/>
    <n v="71"/>
    <x v="13"/>
    <m/>
    <s v="Week 1"/>
    <x v="0"/>
  </r>
  <r>
    <n v="16"/>
    <x v="0"/>
    <n v="15"/>
    <x v="0"/>
    <n v="6"/>
    <n v="2"/>
    <x v="1"/>
    <x v="8"/>
    <s v="WARM"/>
    <n v="0.43940000000000001"/>
    <n v="0.77"/>
    <n v="29.849999999999998"/>
    <x v="0"/>
    <n v="40"/>
    <n v="70"/>
    <x v="14"/>
    <m/>
    <s v="Week 1"/>
    <x v="0"/>
  </r>
  <r>
    <n v="17"/>
    <x v="0"/>
    <n v="16"/>
    <x v="0"/>
    <n v="6"/>
    <n v="2"/>
    <x v="1"/>
    <x v="6"/>
    <s v="WARM"/>
    <n v="0.42420000000000002"/>
    <n v="0.82"/>
    <n v="29.849999999999998"/>
    <x v="0"/>
    <n v="41"/>
    <n v="52"/>
    <x v="15"/>
    <m/>
    <s v="Week 1"/>
    <x v="0"/>
  </r>
  <r>
    <n v="18"/>
    <x v="0"/>
    <n v="17"/>
    <x v="0"/>
    <n v="6"/>
    <n v="2"/>
    <x v="1"/>
    <x v="8"/>
    <s v="WARM"/>
    <n v="0.19993489148580987"/>
    <n v="0.82"/>
    <n v="28.360000000000003"/>
    <x v="0"/>
    <n v="15"/>
    <n v="52"/>
    <x v="16"/>
    <m/>
    <s v="Week 1"/>
    <x v="0"/>
  </r>
  <r>
    <n v="19"/>
    <x v="0"/>
    <n v="18"/>
    <x v="0"/>
    <n v="6"/>
    <n v="3"/>
    <x v="2"/>
    <x v="6"/>
    <s v="WARM"/>
    <n v="0.42420000000000002"/>
    <n v="0.88"/>
    <n v="25.369999999999997"/>
    <x v="0"/>
    <n v="9"/>
    <n v="26"/>
    <x v="17"/>
    <m/>
    <s v="Week 1"/>
    <x v="0"/>
  </r>
  <r>
    <n v="20"/>
    <x v="0"/>
    <n v="19"/>
    <x v="0"/>
    <n v="6"/>
    <n v="3"/>
    <x v="2"/>
    <x v="6"/>
    <s v="WARM"/>
    <n v="0.42420000000000002"/>
    <n v="0.88"/>
    <n v="25.369999999999997"/>
    <x v="0"/>
    <n v="6"/>
    <n v="31"/>
    <x v="18"/>
    <m/>
    <s v="Week 1"/>
    <x v="0"/>
  </r>
  <r>
    <n v="21"/>
    <x v="0"/>
    <n v="20"/>
    <x v="0"/>
    <n v="6"/>
    <n v="2"/>
    <x v="1"/>
    <x v="9"/>
    <s v="WARM"/>
    <n v="0.40910000000000002"/>
    <n v="0.87"/>
    <n v="25.369999999999997"/>
    <x v="0"/>
    <n v="11"/>
    <n v="25"/>
    <x v="9"/>
    <m/>
    <s v="Week 1"/>
    <x v="0"/>
  </r>
  <r>
    <n v="22"/>
    <x v="0"/>
    <n v="21"/>
    <x v="0"/>
    <n v="6"/>
    <n v="2"/>
    <x v="1"/>
    <x v="9"/>
    <s v="WARM"/>
    <n v="0.40910000000000002"/>
    <n v="0.87"/>
    <n v="19.400000000000002"/>
    <x v="1"/>
    <n v="3"/>
    <n v="31"/>
    <x v="19"/>
    <m/>
    <s v="Week 1"/>
    <x v="0"/>
  </r>
  <r>
    <n v="23"/>
    <x v="0"/>
    <n v="22"/>
    <x v="0"/>
    <n v="6"/>
    <n v="2"/>
    <x v="1"/>
    <x v="9"/>
    <s v="WARM"/>
    <n v="0.40910000000000002"/>
    <n v="0.94"/>
    <n v="22.39"/>
    <x v="0"/>
    <n v="11"/>
    <n v="17"/>
    <x v="20"/>
    <m/>
    <s v="Week 1"/>
    <x v="0"/>
  </r>
  <r>
    <n v="24"/>
    <x v="0"/>
    <n v="23"/>
    <x v="0"/>
    <n v="6"/>
    <n v="2"/>
    <x v="1"/>
    <x v="7"/>
    <s v="WARM"/>
    <n v="0.19993489148580987"/>
    <n v="0.88"/>
    <n v="29.849999999999998"/>
    <x v="0"/>
    <n v="15"/>
    <n v="24"/>
    <x v="21"/>
    <m/>
    <s v="Week 1"/>
    <x v="0"/>
  </r>
  <r>
    <n v="25"/>
    <x v="1"/>
    <n v="0"/>
    <x v="1"/>
    <n v="7"/>
    <n v="2"/>
    <x v="1"/>
    <x v="7"/>
    <s v="WARM"/>
    <n v="0.45450000000000002"/>
    <n v="0.88"/>
    <n v="29.849999999999998"/>
    <x v="0"/>
    <n v="4"/>
    <n v="13"/>
    <x v="22"/>
    <m/>
    <s v="Week 1"/>
    <x v="0"/>
  </r>
  <r>
    <n v="26"/>
    <x v="1"/>
    <n v="1"/>
    <x v="1"/>
    <n v="7"/>
    <n v="2"/>
    <x v="1"/>
    <x v="8"/>
    <s v="WARM"/>
    <n v="0.43940000000000001"/>
    <n v="0.94"/>
    <n v="25.369999999999997"/>
    <x v="0"/>
    <n v="1"/>
    <n v="16"/>
    <x v="22"/>
    <m/>
    <s v="Week 1"/>
    <x v="0"/>
  </r>
  <r>
    <n v="27"/>
    <x v="1"/>
    <n v="2"/>
    <x v="1"/>
    <n v="7"/>
    <n v="2"/>
    <x v="1"/>
    <x v="6"/>
    <s v="WARM"/>
    <n v="0.42420000000000002"/>
    <n v="1"/>
    <n v="28.360000000000003"/>
    <x v="0"/>
    <n v="1"/>
    <n v="8"/>
    <x v="23"/>
    <m/>
    <s v="Week 1"/>
    <x v="0"/>
  </r>
  <r>
    <n v="28"/>
    <x v="1"/>
    <n v="3"/>
    <x v="1"/>
    <n v="7"/>
    <n v="2"/>
    <x v="1"/>
    <x v="7"/>
    <s v="WARM"/>
    <n v="0.45450000000000002"/>
    <n v="0.94"/>
    <n v="19.400000000000002"/>
    <x v="1"/>
    <n v="2"/>
    <n v="4"/>
    <x v="24"/>
    <m/>
    <s v="Week 1"/>
    <x v="0"/>
  </r>
  <r>
    <n v="29"/>
    <x v="1"/>
    <n v="4"/>
    <x v="1"/>
    <n v="7"/>
    <n v="2"/>
    <x v="1"/>
    <x v="7"/>
    <s v="WARM"/>
    <n v="0.19993489148580987"/>
    <n v="0.94"/>
    <n v="19.400000000000002"/>
    <x v="1"/>
    <n v="2"/>
    <n v="1"/>
    <x v="6"/>
    <m/>
    <s v="Week 1"/>
    <x v="0"/>
  </r>
  <r>
    <n v="30"/>
    <x v="1"/>
    <n v="6"/>
    <x v="1"/>
    <n v="7"/>
    <n v="3"/>
    <x v="2"/>
    <x v="6"/>
    <s v="WARM"/>
    <n v="0.42420000000000002"/>
    <n v="0.77"/>
    <n v="29.849999999999998"/>
    <x v="0"/>
    <n v="0"/>
    <n v="2"/>
    <x v="5"/>
    <m/>
    <s v="Week 1"/>
    <x v="0"/>
  </r>
  <r>
    <n v="31"/>
    <x v="1"/>
    <n v="7"/>
    <x v="1"/>
    <n v="7"/>
    <n v="2"/>
    <x v="1"/>
    <x v="9"/>
    <s v="WARM"/>
    <n v="0.40910000000000002"/>
    <n v="0.76"/>
    <n v="19.400000000000002"/>
    <x v="1"/>
    <n v="0"/>
    <n v="1"/>
    <x v="4"/>
    <m/>
    <s v="Week 1"/>
    <x v="0"/>
  </r>
  <r>
    <n v="32"/>
    <x v="1"/>
    <n v="8"/>
    <x v="1"/>
    <n v="7"/>
    <n v="3"/>
    <x v="2"/>
    <x v="9"/>
    <s v="WARM"/>
    <n v="0.40910000000000002"/>
    <n v="0.71"/>
    <n v="22.39"/>
    <x v="0"/>
    <n v="0"/>
    <n v="8"/>
    <x v="7"/>
    <m/>
    <s v="Week 1"/>
    <x v="0"/>
  </r>
  <r>
    <n v="33"/>
    <x v="1"/>
    <n v="9"/>
    <x v="1"/>
    <n v="7"/>
    <n v="2"/>
    <x v="1"/>
    <x v="4"/>
    <s v="WARM"/>
    <n v="0.19993489148580987"/>
    <n v="0.76"/>
    <n v="22.39"/>
    <x v="0"/>
    <n v="1"/>
    <n v="19"/>
    <x v="25"/>
    <m/>
    <s v="Week 1"/>
    <x v="0"/>
  </r>
  <r>
    <n v="34"/>
    <x v="1"/>
    <n v="10"/>
    <x v="1"/>
    <n v="7"/>
    <n v="2"/>
    <x v="1"/>
    <x v="5"/>
    <s v="WARM"/>
    <n v="0.34849999999999998"/>
    <n v="0.81"/>
    <n v="22.39"/>
    <x v="0"/>
    <n v="7"/>
    <n v="46"/>
    <x v="26"/>
    <m/>
    <s v="Week 1"/>
    <x v="0"/>
  </r>
  <r>
    <n v="35"/>
    <x v="1"/>
    <n v="11"/>
    <x v="1"/>
    <n v="7"/>
    <n v="2"/>
    <x v="1"/>
    <x v="5"/>
    <s v="WARM"/>
    <n v="0.33329999999999999"/>
    <n v="0.71"/>
    <n v="25.369999999999997"/>
    <x v="0"/>
    <n v="16"/>
    <n v="54"/>
    <x v="27"/>
    <m/>
    <s v="Week 1"/>
    <x v="0"/>
  </r>
  <r>
    <n v="36"/>
    <x v="1"/>
    <n v="12"/>
    <x v="1"/>
    <n v="7"/>
    <n v="2"/>
    <x v="1"/>
    <x v="5"/>
    <s v="WARM"/>
    <n v="0.33329999999999999"/>
    <n v="0.66"/>
    <n v="29.849999999999998"/>
    <x v="0"/>
    <n v="20"/>
    <n v="73"/>
    <x v="15"/>
    <m/>
    <s v="Week 1"/>
    <x v="0"/>
  </r>
  <r>
    <n v="37"/>
    <x v="1"/>
    <n v="13"/>
    <x v="1"/>
    <n v="7"/>
    <n v="2"/>
    <x v="1"/>
    <x v="5"/>
    <s v="WARM"/>
    <n v="0.34849999999999998"/>
    <n v="0.66"/>
    <n v="13.43"/>
    <x v="1"/>
    <n v="11"/>
    <n v="64"/>
    <x v="28"/>
    <m/>
    <s v="Week 1"/>
    <x v="0"/>
  </r>
  <r>
    <n v="38"/>
    <x v="1"/>
    <n v="14"/>
    <x v="1"/>
    <n v="7"/>
    <n v="3"/>
    <x v="2"/>
    <x v="5"/>
    <s v="WARM"/>
    <n v="0.19993489148580987"/>
    <n v="0.76"/>
    <n v="19.400000000000002"/>
    <x v="1"/>
    <n v="4"/>
    <n v="55"/>
    <x v="29"/>
    <m/>
    <s v="Week 1"/>
    <x v="0"/>
  </r>
  <r>
    <n v="39"/>
    <x v="1"/>
    <n v="15"/>
    <x v="1"/>
    <n v="7"/>
    <n v="3"/>
    <x v="2"/>
    <x v="10"/>
    <s v="WARM"/>
    <n v="0.33329999999999999"/>
    <n v="0.81"/>
    <n v="16.420000000000002"/>
    <x v="1"/>
    <n v="19"/>
    <n v="55"/>
    <x v="30"/>
    <m/>
    <s v="Week 1"/>
    <x v="0"/>
  </r>
  <r>
    <n v="40"/>
    <x v="1"/>
    <n v="16"/>
    <x v="1"/>
    <n v="7"/>
    <n v="3"/>
    <x v="2"/>
    <x v="10"/>
    <s v="WARM"/>
    <n v="0.33329999999999999"/>
    <n v="0.71"/>
    <n v="16.420000000000002"/>
    <x v="1"/>
    <n v="9"/>
    <n v="67"/>
    <x v="31"/>
    <m/>
    <s v="Week 1"/>
    <x v="0"/>
  </r>
  <r>
    <n v="41"/>
    <x v="1"/>
    <n v="17"/>
    <x v="1"/>
    <n v="7"/>
    <n v="1"/>
    <x v="0"/>
    <x v="10"/>
    <s v="WARM"/>
    <n v="0.33329999999999999"/>
    <n v="0.56999999999999995"/>
    <n v="19.400000000000002"/>
    <x v="1"/>
    <n v="7"/>
    <n v="58"/>
    <x v="32"/>
    <m/>
    <s v="Week 1"/>
    <x v="0"/>
  </r>
  <r>
    <n v="42"/>
    <x v="1"/>
    <n v="18"/>
    <x v="1"/>
    <n v="7"/>
    <n v="2"/>
    <x v="1"/>
    <x v="5"/>
    <s v="WARM"/>
    <n v="0.33329999999999999"/>
    <n v="0.46"/>
    <n v="32.840000000000003"/>
    <x v="2"/>
    <n v="10"/>
    <n v="43"/>
    <x v="26"/>
    <m/>
    <s v="Week 1"/>
    <x v="0"/>
  </r>
  <r>
    <n v="43"/>
    <x v="1"/>
    <n v="19"/>
    <x v="1"/>
    <n v="7"/>
    <n v="1"/>
    <x v="0"/>
    <x v="3"/>
    <s v="WARM"/>
    <n v="0.28789999999999999"/>
    <n v="0.42"/>
    <n v="44.78"/>
    <x v="2"/>
    <n v="1"/>
    <n v="29"/>
    <x v="33"/>
    <m/>
    <s v="Week 1"/>
    <x v="0"/>
  </r>
  <r>
    <n v="44"/>
    <x v="1"/>
    <n v="20"/>
    <x v="1"/>
    <n v="7"/>
    <n v="1"/>
    <x v="0"/>
    <x v="11"/>
    <s v="WARM"/>
    <n v="0.19993489148580987"/>
    <n v="0.39"/>
    <n v="35.82"/>
    <x v="2"/>
    <n v="5"/>
    <n v="17"/>
    <x v="34"/>
    <m/>
    <s v="Week 1"/>
    <x v="0"/>
  </r>
  <r>
    <n v="45"/>
    <x v="1"/>
    <n v="21"/>
    <x v="1"/>
    <n v="7"/>
    <n v="1"/>
    <x v="0"/>
    <x v="12"/>
    <s v="WARM"/>
    <n v="0.2273"/>
    <n v="0.44"/>
    <n v="32.840000000000003"/>
    <x v="2"/>
    <n v="11"/>
    <n v="20"/>
    <x v="35"/>
    <m/>
    <s v="Week 1"/>
    <x v="0"/>
  </r>
  <r>
    <n v="46"/>
    <x v="1"/>
    <n v="22"/>
    <x v="1"/>
    <n v="7"/>
    <n v="1"/>
    <x v="0"/>
    <x v="0"/>
    <s v="COMFORTABLE"/>
    <n v="0.21210000000000001"/>
    <n v="0.44"/>
    <n v="29.849999999999998"/>
    <x v="0"/>
    <n v="0"/>
    <n v="9"/>
    <x v="23"/>
    <m/>
    <s v="Week 1"/>
    <x v="0"/>
  </r>
  <r>
    <n v="47"/>
    <x v="1"/>
    <n v="23"/>
    <x v="1"/>
    <n v="7"/>
    <n v="1"/>
    <x v="0"/>
    <x v="1"/>
    <s v="COMFORTABLE"/>
    <n v="0.2273"/>
    <n v="0.47"/>
    <n v="16.420000000000002"/>
    <x v="1"/>
    <n v="0"/>
    <n v="8"/>
    <x v="7"/>
    <m/>
    <s v="Week 1"/>
    <x v="0"/>
  </r>
  <r>
    <n v="48"/>
    <x v="2"/>
    <n v="0"/>
    <x v="1"/>
    <n v="1"/>
    <n v="1"/>
    <x v="0"/>
    <x v="1"/>
    <s v="COMFORTABLE"/>
    <n v="0.19700000000000001"/>
    <n v="0.44"/>
    <n v="35.82"/>
    <x v="2"/>
    <n v="0"/>
    <n v="5"/>
    <x v="36"/>
    <m/>
    <s v="Week 1"/>
    <x v="0"/>
  </r>
  <r>
    <n v="49"/>
    <x v="2"/>
    <n v="1"/>
    <x v="1"/>
    <n v="1"/>
    <n v="1"/>
    <x v="0"/>
    <x v="2"/>
    <s v="COMFORTABLE"/>
    <n v="0.19993489148580987"/>
    <n v="0.44"/>
    <n v="41.79"/>
    <x v="2"/>
    <n v="0"/>
    <n v="2"/>
    <x v="5"/>
    <m/>
    <s v="Week 1"/>
    <x v="0"/>
  </r>
  <r>
    <n v="50"/>
    <x v="2"/>
    <n v="4"/>
    <x v="1"/>
    <n v="1"/>
    <n v="1"/>
    <x v="0"/>
    <x v="13"/>
    <s v="COMFORTABLE"/>
    <n v="0.13639999999999999"/>
    <n v="0.47"/>
    <n v="38.81"/>
    <x v="2"/>
    <n v="0"/>
    <n v="1"/>
    <x v="4"/>
    <m/>
    <s v="Week 1"/>
    <x v="0"/>
  </r>
  <r>
    <n v="51"/>
    <x v="2"/>
    <n v="5"/>
    <x v="1"/>
    <n v="1"/>
    <n v="1"/>
    <x v="0"/>
    <x v="13"/>
    <s v="COMFORTABLE"/>
    <n v="0.13639999999999999"/>
    <n v="0.47"/>
    <n v="28.360000000000003"/>
    <x v="0"/>
    <n v="0"/>
    <n v="3"/>
    <x v="6"/>
    <m/>
    <s v="Week 1"/>
    <x v="0"/>
  </r>
  <r>
    <n v="52"/>
    <x v="2"/>
    <n v="6"/>
    <x v="1"/>
    <n v="1"/>
    <n v="1"/>
    <x v="0"/>
    <x v="14"/>
    <s v="COMFORTABLE"/>
    <n v="0.1061"/>
    <n v="0.5"/>
    <n v="38.81"/>
    <x v="2"/>
    <n v="0"/>
    <n v="30"/>
    <x v="33"/>
    <m/>
    <s v="Week 1"/>
    <x v="0"/>
  </r>
  <r>
    <n v="53"/>
    <x v="2"/>
    <n v="7"/>
    <x v="1"/>
    <n v="1"/>
    <n v="1"/>
    <x v="0"/>
    <x v="14"/>
    <s v="COMFORTABLE"/>
    <n v="0.13639999999999999"/>
    <n v="0.5"/>
    <n v="19.400000000000002"/>
    <x v="1"/>
    <n v="1"/>
    <n v="63"/>
    <x v="37"/>
    <m/>
    <s v="Week 1"/>
    <x v="0"/>
  </r>
  <r>
    <n v="54"/>
    <x v="2"/>
    <n v="8"/>
    <x v="1"/>
    <n v="1"/>
    <n v="1"/>
    <x v="0"/>
    <x v="14"/>
    <s v="COMFORTABLE"/>
    <n v="0.1212"/>
    <n v="0.5"/>
    <n v="28.360000000000003"/>
    <x v="0"/>
    <n v="1"/>
    <n v="153"/>
    <x v="38"/>
    <m/>
    <s v="Week 1"/>
    <x v="0"/>
  </r>
  <r>
    <n v="55"/>
    <x v="2"/>
    <n v="9"/>
    <x v="1"/>
    <n v="1"/>
    <n v="1"/>
    <x v="0"/>
    <x v="13"/>
    <s v="COMFORTABLE"/>
    <n v="0.13639999999999999"/>
    <n v="0.43"/>
    <n v="38.81"/>
    <x v="2"/>
    <n v="7"/>
    <n v="81"/>
    <x v="39"/>
    <m/>
    <s v="Week 1"/>
    <x v="0"/>
  </r>
  <r>
    <n v="56"/>
    <x v="2"/>
    <n v="10"/>
    <x v="1"/>
    <n v="1"/>
    <n v="1"/>
    <x v="0"/>
    <x v="15"/>
    <s v="COMFORTABLE"/>
    <n v="0.16669999999999999"/>
    <n v="0.43"/>
    <n v="25.369999999999997"/>
    <x v="0"/>
    <n v="11"/>
    <n v="33"/>
    <x v="40"/>
    <m/>
    <s v="Week 1"/>
    <x v="0"/>
  </r>
  <r>
    <n v="57"/>
    <x v="2"/>
    <n v="11"/>
    <x v="1"/>
    <n v="1"/>
    <n v="1"/>
    <x v="0"/>
    <x v="2"/>
    <s v="COMFORTABLE"/>
    <n v="0.18179999999999999"/>
    <n v="0.4"/>
    <n v="32.840000000000003"/>
    <x v="2"/>
    <n v="10"/>
    <n v="41"/>
    <x v="41"/>
    <m/>
    <s v="Week 1"/>
    <x v="0"/>
  </r>
  <r>
    <n v="58"/>
    <x v="2"/>
    <n v="12"/>
    <x v="1"/>
    <n v="1"/>
    <n v="1"/>
    <x v="0"/>
    <x v="1"/>
    <s v="COMFORTABLE"/>
    <n v="0.21210000000000001"/>
    <n v="0.35"/>
    <n v="29.849999999999998"/>
    <x v="0"/>
    <n v="13"/>
    <n v="48"/>
    <x v="42"/>
    <m/>
    <s v="Week 1"/>
    <x v="0"/>
  </r>
  <r>
    <n v="59"/>
    <x v="2"/>
    <n v="13"/>
    <x v="1"/>
    <n v="1"/>
    <n v="1"/>
    <x v="0"/>
    <x v="0"/>
    <s v="COMFORTABLE"/>
    <n v="0.19993489148580987"/>
    <n v="0.35"/>
    <n v="28.360000000000003"/>
    <x v="0"/>
    <n v="8"/>
    <n v="53"/>
    <x v="42"/>
    <m/>
    <s v="Week 1"/>
    <x v="0"/>
  </r>
  <r>
    <n v="60"/>
    <x v="2"/>
    <n v="14"/>
    <x v="1"/>
    <n v="1"/>
    <n v="1"/>
    <x v="0"/>
    <x v="12"/>
    <s v="WARM"/>
    <n v="0.2424"/>
    <n v="0.3"/>
    <n v="28.360000000000003"/>
    <x v="0"/>
    <n v="11"/>
    <n v="66"/>
    <x v="43"/>
    <m/>
    <s v="Week 1"/>
    <x v="0"/>
  </r>
  <r>
    <n v="61"/>
    <x v="2"/>
    <n v="15"/>
    <x v="1"/>
    <n v="1"/>
    <n v="1"/>
    <x v="0"/>
    <x v="12"/>
    <s v="WARM"/>
    <n v="0.2424"/>
    <n v="0.3"/>
    <n v="25.369999999999997"/>
    <x v="0"/>
    <n v="14"/>
    <n v="58"/>
    <x v="44"/>
    <m/>
    <s v="Week 1"/>
    <x v="0"/>
  </r>
  <r>
    <n v="62"/>
    <x v="2"/>
    <n v="16"/>
    <x v="1"/>
    <n v="1"/>
    <n v="1"/>
    <x v="0"/>
    <x v="12"/>
    <s v="WARM"/>
    <n v="0.2424"/>
    <n v="0.3"/>
    <n v="25.369999999999997"/>
    <x v="0"/>
    <n v="9"/>
    <n v="67"/>
    <x v="31"/>
    <m/>
    <s v="Week 1"/>
    <x v="0"/>
  </r>
  <r>
    <n v="63"/>
    <x v="2"/>
    <n v="17"/>
    <x v="1"/>
    <n v="1"/>
    <n v="1"/>
    <x v="0"/>
    <x v="0"/>
    <s v="COMFORTABLE"/>
    <n v="0.2273"/>
    <n v="0.3"/>
    <n v="22.39"/>
    <x v="0"/>
    <n v="11"/>
    <n v="146"/>
    <x v="45"/>
    <m/>
    <s v="Week 1"/>
    <x v="0"/>
  </r>
  <r>
    <n v="64"/>
    <x v="2"/>
    <n v="18"/>
    <x v="1"/>
    <n v="1"/>
    <n v="1"/>
    <x v="0"/>
    <x v="0"/>
    <s v="COMFORTABLE"/>
    <n v="0.2576"/>
    <n v="0.32"/>
    <n v="10.45"/>
    <x v="1"/>
    <n v="9"/>
    <n v="148"/>
    <x v="45"/>
    <m/>
    <s v="Week 1"/>
    <x v="0"/>
  </r>
  <r>
    <n v="65"/>
    <x v="2"/>
    <n v="19"/>
    <x v="1"/>
    <n v="1"/>
    <n v="1"/>
    <x v="0"/>
    <x v="2"/>
    <s v="COMFORTABLE"/>
    <n v="0.2576"/>
    <n v="0.47"/>
    <n v="20.485098360655737"/>
    <x v="0"/>
    <n v="8"/>
    <n v="102"/>
    <x v="14"/>
    <m/>
    <s v="Week 1"/>
    <x v="0"/>
  </r>
  <r>
    <n v="66"/>
    <x v="2"/>
    <n v="20"/>
    <x v="1"/>
    <n v="1"/>
    <n v="1"/>
    <x v="0"/>
    <x v="2"/>
    <s v="COMFORTABLE"/>
    <n v="0.19993489148580987"/>
    <n v="0.47"/>
    <n v="10.45"/>
    <x v="1"/>
    <n v="3"/>
    <n v="49"/>
    <x v="46"/>
    <m/>
    <s v="Week 1"/>
    <x v="0"/>
  </r>
  <r>
    <n v="67"/>
    <x v="2"/>
    <n v="21"/>
    <x v="1"/>
    <n v="1"/>
    <n v="1"/>
    <x v="0"/>
    <x v="15"/>
    <s v="COMFORTABLE"/>
    <n v="0.19700000000000001"/>
    <n v="0.64"/>
    <n v="13.43"/>
    <x v="1"/>
    <n v="3"/>
    <n v="49"/>
    <x v="46"/>
    <m/>
    <s v="Week 1"/>
    <x v="0"/>
  </r>
  <r>
    <n v="68"/>
    <x v="2"/>
    <n v="22"/>
    <x v="1"/>
    <n v="1"/>
    <n v="1"/>
    <x v="0"/>
    <x v="14"/>
    <s v="COMFORTABLE"/>
    <n v="0.1515"/>
    <n v="0.69"/>
    <n v="13.43"/>
    <x v="1"/>
    <n v="0"/>
    <n v="20"/>
    <x v="25"/>
    <m/>
    <s v="Week 1"/>
    <x v="0"/>
  </r>
  <r>
    <n v="69"/>
    <x v="2"/>
    <n v="23"/>
    <x v="1"/>
    <n v="1"/>
    <n v="1"/>
    <x v="0"/>
    <x v="15"/>
    <s v="COMFORTABLE"/>
    <n v="0.21210000000000001"/>
    <n v="0.55000000000000004"/>
    <n v="10.45"/>
    <x v="1"/>
    <n v="1"/>
    <n v="11"/>
    <x v="47"/>
    <m/>
    <s v="Week 1"/>
    <x v="0"/>
  </r>
  <r>
    <n v="70"/>
    <x v="3"/>
    <n v="0"/>
    <x v="1"/>
    <n v="2"/>
    <n v="1"/>
    <x v="0"/>
    <x v="13"/>
    <s v="COMFORTABLE"/>
    <n v="0.19993489148580987"/>
    <n v="0.55000000000000004"/>
    <n v="10.45"/>
    <x v="1"/>
    <n v="0"/>
    <n v="5"/>
    <x v="36"/>
    <m/>
    <s v="Week 1"/>
    <x v="0"/>
  </r>
  <r>
    <n v="71"/>
    <x v="3"/>
    <n v="1"/>
    <x v="1"/>
    <n v="2"/>
    <n v="1"/>
    <x v="0"/>
    <x v="13"/>
    <s v="COMFORTABLE"/>
    <n v="0.18179999999999999"/>
    <n v="0.59"/>
    <n v="10.45"/>
    <x v="1"/>
    <n v="0"/>
    <n v="2"/>
    <x v="5"/>
    <m/>
    <s v="Week 1"/>
    <x v="0"/>
  </r>
  <r>
    <n v="72"/>
    <x v="3"/>
    <n v="2"/>
    <x v="1"/>
    <n v="2"/>
    <n v="1"/>
    <x v="0"/>
    <x v="14"/>
    <s v="COMFORTABLE"/>
    <n v="0.1515"/>
    <n v="0.63"/>
    <n v="13.43"/>
    <x v="1"/>
    <n v="0"/>
    <n v="1"/>
    <x v="4"/>
    <m/>
    <s v="Week 1"/>
    <x v="0"/>
  </r>
  <r>
    <n v="73"/>
    <x v="3"/>
    <n v="4"/>
    <x v="1"/>
    <n v="2"/>
    <n v="1"/>
    <x v="0"/>
    <x v="14"/>
    <s v="COMFORTABLE"/>
    <n v="0.18179999999999999"/>
    <n v="0.63"/>
    <n v="8.9599999999999991"/>
    <x v="1"/>
    <n v="0"/>
    <n v="2"/>
    <x v="5"/>
    <m/>
    <s v="Week 1"/>
    <x v="0"/>
  </r>
  <r>
    <n v="74"/>
    <x v="3"/>
    <n v="5"/>
    <x v="1"/>
    <n v="2"/>
    <n v="1"/>
    <x v="0"/>
    <x v="16"/>
    <s v="COMFORTABLE"/>
    <n v="0.1515"/>
    <n v="0.68"/>
    <n v="10.45"/>
    <x v="1"/>
    <n v="0"/>
    <n v="4"/>
    <x v="48"/>
    <m/>
    <s v="Week 1"/>
    <x v="0"/>
  </r>
  <r>
    <n v="75"/>
    <x v="3"/>
    <n v="6"/>
    <x v="1"/>
    <n v="2"/>
    <n v="1"/>
    <x v="0"/>
    <x v="16"/>
    <s v="COMFORTABLE"/>
    <n v="0.1515"/>
    <n v="0.74"/>
    <n v="10.45"/>
    <x v="1"/>
    <n v="0"/>
    <n v="36"/>
    <x v="9"/>
    <m/>
    <s v="Week 1"/>
    <x v="0"/>
  </r>
  <r>
    <n v="76"/>
    <x v="3"/>
    <n v="7"/>
    <x v="1"/>
    <n v="2"/>
    <n v="1"/>
    <x v="0"/>
    <x v="16"/>
    <s v="COMFORTABLE"/>
    <n v="0.1515"/>
    <n v="0.74"/>
    <n v="13.43"/>
    <x v="1"/>
    <n v="2"/>
    <n v="92"/>
    <x v="12"/>
    <m/>
    <s v="Week 1"/>
    <x v="0"/>
  </r>
  <r>
    <n v="77"/>
    <x v="3"/>
    <n v="8"/>
    <x v="1"/>
    <n v="2"/>
    <n v="1"/>
    <x v="0"/>
    <x v="14"/>
    <s v="COMFORTABLE"/>
    <n v="0.1515"/>
    <n v="0.69"/>
    <n v="16.420000000000002"/>
    <x v="1"/>
    <n v="2"/>
    <n v="177"/>
    <x v="49"/>
    <m/>
    <s v="Week 1"/>
    <x v="0"/>
  </r>
  <r>
    <n v="78"/>
    <x v="3"/>
    <n v="9"/>
    <x v="1"/>
    <n v="2"/>
    <n v="1"/>
    <x v="0"/>
    <x v="13"/>
    <s v="COMFORTABLE"/>
    <n v="0.1515"/>
    <n v="0.64"/>
    <n v="22.39"/>
    <x v="0"/>
    <n v="2"/>
    <n v="98"/>
    <x v="50"/>
    <m/>
    <s v="Week 1"/>
    <x v="0"/>
  </r>
  <r>
    <n v="79"/>
    <x v="3"/>
    <n v="10"/>
    <x v="1"/>
    <n v="2"/>
    <n v="2"/>
    <x v="1"/>
    <x v="13"/>
    <s v="COMFORTABLE"/>
    <n v="0.13639999999999999"/>
    <n v="0.69"/>
    <n v="32.840000000000003"/>
    <x v="2"/>
    <n v="5"/>
    <n v="37"/>
    <x v="51"/>
    <m/>
    <s v="Week 1"/>
    <x v="0"/>
  </r>
  <r>
    <n v="80"/>
    <x v="3"/>
    <n v="11"/>
    <x v="1"/>
    <n v="2"/>
    <n v="1"/>
    <x v="0"/>
    <x v="1"/>
    <s v="COMFORTABLE"/>
    <n v="0.21210000000000001"/>
    <n v="0.51"/>
    <n v="29.849999999999998"/>
    <x v="0"/>
    <n v="7"/>
    <n v="50"/>
    <x v="52"/>
    <m/>
    <s v="Week 1"/>
    <x v="0"/>
  </r>
  <r>
    <n v="81"/>
    <x v="3"/>
    <n v="12"/>
    <x v="1"/>
    <n v="2"/>
    <n v="1"/>
    <x v="0"/>
    <x v="1"/>
    <s v="COMFORTABLE"/>
    <n v="0.2273"/>
    <n v="0.51"/>
    <n v="16.420000000000002"/>
    <x v="1"/>
    <n v="12"/>
    <n v="66"/>
    <x v="53"/>
    <m/>
    <s v="Week 1"/>
    <x v="0"/>
  </r>
  <r>
    <n v="82"/>
    <x v="3"/>
    <n v="13"/>
    <x v="1"/>
    <n v="2"/>
    <n v="1"/>
    <x v="0"/>
    <x v="0"/>
    <s v="COMFORTABLE"/>
    <n v="0.2273"/>
    <n v="0.56000000000000005"/>
    <n v="19.400000000000002"/>
    <x v="1"/>
    <n v="18"/>
    <n v="79"/>
    <x v="54"/>
    <m/>
    <s v="Week 1"/>
    <x v="0"/>
  </r>
  <r>
    <n v="83"/>
    <x v="3"/>
    <n v="14"/>
    <x v="1"/>
    <n v="2"/>
    <n v="1"/>
    <x v="0"/>
    <x v="12"/>
    <s v="WARM"/>
    <n v="0.2576"/>
    <n v="0.52"/>
    <n v="22.39"/>
    <x v="0"/>
    <n v="9"/>
    <n v="54"/>
    <x v="55"/>
    <m/>
    <s v="Week 1"/>
    <x v="0"/>
  </r>
  <r>
    <n v="84"/>
    <x v="3"/>
    <n v="15"/>
    <x v="1"/>
    <n v="2"/>
    <n v="1"/>
    <x v="0"/>
    <x v="17"/>
    <s v="WARM"/>
    <n v="0.2727"/>
    <n v="0.52"/>
    <n v="25.369999999999997"/>
    <x v="0"/>
    <n v="17"/>
    <n v="48"/>
    <x v="32"/>
    <m/>
    <s v="Week 1"/>
    <x v="0"/>
  </r>
  <r>
    <n v="85"/>
    <x v="3"/>
    <n v="16"/>
    <x v="1"/>
    <n v="2"/>
    <n v="1"/>
    <x v="0"/>
    <x v="11"/>
    <s v="WARM"/>
    <n v="0.28789999999999999"/>
    <n v="0.49"/>
    <n v="25.369999999999997"/>
    <x v="0"/>
    <n v="15"/>
    <n v="68"/>
    <x v="56"/>
    <m/>
    <s v="Week 1"/>
    <x v="0"/>
  </r>
  <r>
    <n v="86"/>
    <x v="3"/>
    <n v="17"/>
    <x v="1"/>
    <n v="2"/>
    <n v="1"/>
    <x v="0"/>
    <x v="17"/>
    <s v="WARM"/>
    <n v="0.2727"/>
    <n v="0.48"/>
    <n v="22.39"/>
    <x v="0"/>
    <n v="10"/>
    <n v="202"/>
    <x v="57"/>
    <m/>
    <s v="Week 1"/>
    <x v="0"/>
  </r>
  <r>
    <n v="87"/>
    <x v="3"/>
    <n v="18"/>
    <x v="1"/>
    <n v="2"/>
    <n v="1"/>
    <x v="0"/>
    <x v="12"/>
    <s v="WARM"/>
    <n v="0.2576"/>
    <n v="0.48"/>
    <n v="19.400000000000002"/>
    <x v="1"/>
    <n v="3"/>
    <n v="179"/>
    <x v="58"/>
    <m/>
    <s v="Week 1"/>
    <x v="0"/>
  </r>
  <r>
    <n v="88"/>
    <x v="3"/>
    <n v="19"/>
    <x v="1"/>
    <n v="2"/>
    <n v="1"/>
    <x v="0"/>
    <x v="0"/>
    <s v="COMFORTABLE"/>
    <n v="0.2576"/>
    <n v="0.48"/>
    <n v="10.45"/>
    <x v="1"/>
    <n v="2"/>
    <n v="110"/>
    <x v="59"/>
    <m/>
    <s v="Week 1"/>
    <x v="0"/>
  </r>
  <r>
    <n v="89"/>
    <x v="3"/>
    <n v="20"/>
    <x v="1"/>
    <n v="2"/>
    <n v="1"/>
    <x v="0"/>
    <x v="0"/>
    <s v="COMFORTABLE"/>
    <n v="0.2576"/>
    <n v="0.48"/>
    <n v="10.45"/>
    <x v="1"/>
    <n v="1"/>
    <n v="53"/>
    <x v="60"/>
    <m/>
    <s v="Week 1"/>
    <x v="0"/>
  </r>
  <r>
    <n v="90"/>
    <x v="3"/>
    <n v="21"/>
    <x v="1"/>
    <n v="2"/>
    <n v="1"/>
    <x v="0"/>
    <x v="1"/>
    <s v="COMFORTABLE"/>
    <n v="0.2727"/>
    <n v="0.64"/>
    <n v="20.485098360655737"/>
    <x v="0"/>
    <n v="0"/>
    <n v="48"/>
    <x v="61"/>
    <m/>
    <s v="Week 1"/>
    <x v="0"/>
  </r>
  <r>
    <n v="91"/>
    <x v="3"/>
    <n v="22"/>
    <x v="1"/>
    <n v="2"/>
    <n v="1"/>
    <x v="0"/>
    <x v="1"/>
    <s v="COMFORTABLE"/>
    <n v="0.2576"/>
    <n v="0.64"/>
    <n v="8.9599999999999991"/>
    <x v="1"/>
    <n v="1"/>
    <n v="34"/>
    <x v="17"/>
    <m/>
    <s v="Week 1"/>
    <x v="0"/>
  </r>
  <r>
    <n v="92"/>
    <x v="3"/>
    <n v="23"/>
    <x v="1"/>
    <n v="2"/>
    <n v="1"/>
    <x v="0"/>
    <x v="2"/>
    <s v="COMFORTABLE"/>
    <n v="0.2273"/>
    <n v="0.69"/>
    <n v="8.9599999999999991"/>
    <x v="1"/>
    <n v="2"/>
    <n v="9"/>
    <x v="62"/>
    <m/>
    <s v="Week 1"/>
    <x v="0"/>
  </r>
  <r>
    <n v="93"/>
    <x v="4"/>
    <n v="0"/>
    <x v="1"/>
    <n v="3"/>
    <n v="1"/>
    <x v="0"/>
    <x v="2"/>
    <s v="COMFORTABLE"/>
    <n v="0.2576"/>
    <n v="0.64"/>
    <n v="20.485098360655737"/>
    <x v="0"/>
    <n v="0"/>
    <n v="6"/>
    <x v="24"/>
    <m/>
    <s v="Week 1"/>
    <x v="0"/>
  </r>
  <r>
    <n v="94"/>
    <x v="4"/>
    <n v="1"/>
    <x v="1"/>
    <n v="3"/>
    <n v="1"/>
    <x v="0"/>
    <x v="13"/>
    <s v="COMFORTABLE"/>
    <n v="0.19700000000000001"/>
    <n v="0.74"/>
    <n v="8.9599999999999991"/>
    <x v="1"/>
    <n v="0"/>
    <n v="6"/>
    <x v="24"/>
    <m/>
    <s v="Week 1"/>
    <x v="0"/>
  </r>
  <r>
    <n v="95"/>
    <x v="4"/>
    <n v="2"/>
    <x v="1"/>
    <n v="3"/>
    <n v="1"/>
    <x v="0"/>
    <x v="13"/>
    <s v="COMFORTABLE"/>
    <n v="0.19700000000000001"/>
    <n v="0.74"/>
    <n v="8.9599999999999991"/>
    <x v="1"/>
    <n v="0"/>
    <n v="2"/>
    <x v="5"/>
    <m/>
    <s v="Week 1"/>
    <x v="0"/>
  </r>
  <r>
    <n v="96"/>
    <x v="4"/>
    <n v="4"/>
    <x v="1"/>
    <n v="3"/>
    <n v="1"/>
    <x v="0"/>
    <x v="0"/>
    <s v="COMFORTABLE"/>
    <n v="0.2273"/>
    <n v="0.48"/>
    <n v="22.39"/>
    <x v="0"/>
    <n v="0"/>
    <n v="2"/>
    <x v="5"/>
    <m/>
    <s v="Week 1"/>
    <x v="0"/>
  </r>
  <r>
    <n v="97"/>
    <x v="4"/>
    <n v="5"/>
    <x v="1"/>
    <n v="3"/>
    <n v="1"/>
    <x v="0"/>
    <x v="1"/>
    <s v="COMFORTABLE"/>
    <n v="0.2273"/>
    <n v="0.47"/>
    <n v="16.420000000000002"/>
    <x v="1"/>
    <n v="0"/>
    <n v="3"/>
    <x v="6"/>
    <m/>
    <s v="Week 1"/>
    <x v="0"/>
  </r>
  <r>
    <n v="98"/>
    <x v="4"/>
    <n v="6"/>
    <x v="1"/>
    <n v="3"/>
    <n v="1"/>
    <x v="0"/>
    <x v="2"/>
    <s v="COMFORTABLE"/>
    <n v="0.19700000000000001"/>
    <n v="0.47"/>
    <n v="22.39"/>
    <x v="0"/>
    <n v="0"/>
    <n v="33"/>
    <x v="63"/>
    <m/>
    <s v="Week 1"/>
    <x v="0"/>
  </r>
  <r>
    <n v="99"/>
    <x v="4"/>
    <n v="7"/>
    <x v="1"/>
    <n v="3"/>
    <n v="1"/>
    <x v="0"/>
    <x v="15"/>
    <s v="COMFORTABLE"/>
    <n v="0.18179999999999999"/>
    <n v="0.43"/>
    <n v="19.400000000000002"/>
    <x v="1"/>
    <n v="1"/>
    <n v="87"/>
    <x v="39"/>
    <m/>
    <s v="Week 1"/>
    <x v="0"/>
  </r>
  <r>
    <n v="100"/>
    <x v="4"/>
    <n v="8"/>
    <x v="1"/>
    <n v="3"/>
    <n v="1"/>
    <x v="0"/>
    <x v="2"/>
    <s v="COMFORTABLE"/>
    <n v="0.18179999999999999"/>
    <n v="0.4"/>
    <n v="29.849999999999998"/>
    <x v="0"/>
    <n v="3"/>
    <n v="192"/>
    <x v="64"/>
    <m/>
    <s v="Week 1"/>
    <x v="0"/>
  </r>
  <r>
    <n v="101"/>
    <x v="4"/>
    <n v="9"/>
    <x v="1"/>
    <n v="3"/>
    <n v="1"/>
    <x v="0"/>
    <x v="1"/>
    <s v="COMFORTABLE"/>
    <n v="0.19700000000000001"/>
    <n v="0.37"/>
    <n v="32.840000000000003"/>
    <x v="2"/>
    <n v="6"/>
    <n v="109"/>
    <x v="65"/>
    <m/>
    <s v="Week 1"/>
    <x v="0"/>
  </r>
  <r>
    <n v="102"/>
    <x v="4"/>
    <n v="10"/>
    <x v="1"/>
    <n v="3"/>
    <n v="1"/>
    <x v="0"/>
    <x v="1"/>
    <s v="COMFORTABLE"/>
    <n v="0.19700000000000001"/>
    <n v="0.37"/>
    <n v="32.840000000000003"/>
    <x v="2"/>
    <n v="4"/>
    <n v="53"/>
    <x v="52"/>
    <m/>
    <s v="Week 1"/>
    <x v="0"/>
  </r>
  <r>
    <n v="103"/>
    <x v="4"/>
    <n v="11"/>
    <x v="1"/>
    <n v="3"/>
    <n v="1"/>
    <x v="0"/>
    <x v="12"/>
    <s v="WARM"/>
    <n v="0.2273"/>
    <n v="0.33"/>
    <n v="32.840000000000003"/>
    <x v="2"/>
    <n v="12"/>
    <n v="34"/>
    <x v="66"/>
    <m/>
    <s v="Week 1"/>
    <x v="0"/>
  </r>
  <r>
    <n v="104"/>
    <x v="4"/>
    <n v="12"/>
    <x v="1"/>
    <n v="3"/>
    <n v="1"/>
    <x v="0"/>
    <x v="12"/>
    <s v="WARM"/>
    <n v="0.2273"/>
    <n v="0.33"/>
    <n v="32.840000000000003"/>
    <x v="2"/>
    <n v="5"/>
    <n v="74"/>
    <x v="67"/>
    <m/>
    <s v="Week 1"/>
    <x v="0"/>
  </r>
  <r>
    <n v="105"/>
    <x v="4"/>
    <n v="13"/>
    <x v="1"/>
    <n v="3"/>
    <n v="1"/>
    <x v="0"/>
    <x v="17"/>
    <s v="WARM"/>
    <n v="0.2576"/>
    <n v="0.3"/>
    <n v="29.849999999999998"/>
    <x v="0"/>
    <n v="6"/>
    <n v="65"/>
    <x v="68"/>
    <m/>
    <s v="Week 1"/>
    <x v="0"/>
  </r>
  <r>
    <n v="106"/>
    <x v="4"/>
    <n v="14"/>
    <x v="1"/>
    <n v="3"/>
    <n v="1"/>
    <x v="0"/>
    <x v="11"/>
    <s v="WARM"/>
    <n v="0.28789999999999999"/>
    <n v="0.28000000000000003"/>
    <n v="19.400000000000002"/>
    <x v="1"/>
    <n v="10"/>
    <n v="52"/>
    <x v="69"/>
    <m/>
    <s v="Week 1"/>
    <x v="0"/>
  </r>
  <r>
    <n v="107"/>
    <x v="4"/>
    <n v="15"/>
    <x v="1"/>
    <n v="3"/>
    <n v="1"/>
    <x v="0"/>
    <x v="11"/>
    <s v="WARM"/>
    <n v="0.28789999999999999"/>
    <n v="0.28000000000000003"/>
    <n v="19.400000000000002"/>
    <x v="1"/>
    <n v="7"/>
    <n v="55"/>
    <x v="69"/>
    <m/>
    <s v="Week 1"/>
    <x v="0"/>
  </r>
  <r>
    <n v="108"/>
    <x v="4"/>
    <n v="16"/>
    <x v="1"/>
    <n v="3"/>
    <n v="1"/>
    <x v="0"/>
    <x v="11"/>
    <s v="WARM"/>
    <n v="0.31819999999999998"/>
    <n v="0.28000000000000003"/>
    <n v="8.9599999999999991"/>
    <x v="1"/>
    <n v="4"/>
    <n v="85"/>
    <x v="70"/>
    <m/>
    <s v="Week 1"/>
    <x v="0"/>
  </r>
  <r>
    <n v="109"/>
    <x v="4"/>
    <n v="17"/>
    <x v="1"/>
    <n v="3"/>
    <n v="1"/>
    <x v="0"/>
    <x v="0"/>
    <s v="COMFORTABLE"/>
    <n v="0.2273"/>
    <n v="0.38"/>
    <n v="19.400000000000002"/>
    <x v="1"/>
    <n v="4"/>
    <n v="186"/>
    <x v="71"/>
    <m/>
    <s v="Week 1"/>
    <x v="0"/>
  </r>
  <r>
    <n v="110"/>
    <x v="4"/>
    <n v="18"/>
    <x v="1"/>
    <n v="3"/>
    <n v="1"/>
    <x v="0"/>
    <x v="0"/>
    <s v="COMFORTABLE"/>
    <n v="0.2424"/>
    <n v="0.38"/>
    <n v="13.43"/>
    <x v="1"/>
    <n v="3"/>
    <n v="166"/>
    <x v="72"/>
    <m/>
    <s v="Week 1"/>
    <x v="0"/>
  </r>
  <r>
    <n v="111"/>
    <x v="4"/>
    <n v="19"/>
    <x v="1"/>
    <n v="3"/>
    <n v="1"/>
    <x v="0"/>
    <x v="0"/>
    <s v="COMFORTABLE"/>
    <n v="0.2576"/>
    <n v="0.38"/>
    <n v="10.45"/>
    <x v="1"/>
    <n v="5"/>
    <n v="127"/>
    <x v="73"/>
    <m/>
    <s v="Week 1"/>
    <x v="0"/>
  </r>
  <r>
    <n v="112"/>
    <x v="4"/>
    <n v="20"/>
    <x v="1"/>
    <n v="3"/>
    <n v="1"/>
    <x v="0"/>
    <x v="1"/>
    <s v="COMFORTABLE"/>
    <n v="0.2273"/>
    <n v="0.47"/>
    <n v="16.420000000000002"/>
    <x v="1"/>
    <n v="7"/>
    <n v="82"/>
    <x v="70"/>
    <m/>
    <s v="Week 1"/>
    <x v="0"/>
  </r>
  <r>
    <n v="113"/>
    <x v="4"/>
    <n v="21"/>
    <x v="1"/>
    <n v="3"/>
    <n v="1"/>
    <x v="0"/>
    <x v="2"/>
    <s v="COMFORTABLE"/>
    <n v="0.19700000000000001"/>
    <n v="0.51"/>
    <n v="19.400000000000002"/>
    <x v="1"/>
    <n v="3"/>
    <n v="40"/>
    <x v="74"/>
    <m/>
    <s v="Week 1"/>
    <x v="0"/>
  </r>
  <r>
    <n v="114"/>
    <x v="4"/>
    <n v="22"/>
    <x v="1"/>
    <n v="3"/>
    <n v="1"/>
    <x v="0"/>
    <x v="15"/>
    <s v="COMFORTABLE"/>
    <n v="0.19700000000000001"/>
    <n v="0.55000000000000004"/>
    <n v="13.43"/>
    <x v="1"/>
    <n v="1"/>
    <n v="41"/>
    <x v="51"/>
    <m/>
    <s v="Week 1"/>
    <x v="0"/>
  </r>
  <r>
    <n v="115"/>
    <x v="4"/>
    <n v="23"/>
    <x v="1"/>
    <n v="3"/>
    <n v="1"/>
    <x v="0"/>
    <x v="2"/>
    <s v="COMFORTABLE"/>
    <n v="0.2576"/>
    <n v="0.47"/>
    <n v="20.485098360655737"/>
    <x v="0"/>
    <n v="1"/>
    <n v="18"/>
    <x v="75"/>
    <m/>
    <s v="Week 1"/>
    <x v="0"/>
  </r>
  <r>
    <n v="116"/>
    <x v="5"/>
    <n v="0"/>
    <x v="1"/>
    <n v="4"/>
    <n v="1"/>
    <x v="0"/>
    <x v="15"/>
    <s v="COMFORTABLE"/>
    <n v="0.2424"/>
    <n v="0.55000000000000004"/>
    <n v="20.485098360655737"/>
    <x v="0"/>
    <n v="0"/>
    <n v="11"/>
    <x v="62"/>
    <m/>
    <s v="Week 1"/>
    <x v="0"/>
  </r>
  <r>
    <n v="117"/>
    <x v="5"/>
    <n v="1"/>
    <x v="1"/>
    <n v="4"/>
    <n v="1"/>
    <x v="0"/>
    <x v="13"/>
    <s v="COMFORTABLE"/>
    <n v="0.2273"/>
    <n v="0.64"/>
    <n v="20.485098360655737"/>
    <x v="0"/>
    <n v="0"/>
    <n v="4"/>
    <x v="48"/>
    <m/>
    <s v="Week 1"/>
    <x v="0"/>
  </r>
  <r>
    <n v="118"/>
    <x v="5"/>
    <n v="2"/>
    <x v="1"/>
    <n v="4"/>
    <n v="1"/>
    <x v="0"/>
    <x v="13"/>
    <s v="COMFORTABLE"/>
    <n v="0.2273"/>
    <n v="0.64"/>
    <n v="20.485098360655737"/>
    <x v="0"/>
    <n v="0"/>
    <n v="2"/>
    <x v="5"/>
    <m/>
    <s v="Week 1"/>
    <x v="0"/>
  </r>
  <r>
    <n v="119"/>
    <x v="5"/>
    <n v="4"/>
    <x v="1"/>
    <n v="4"/>
    <n v="2"/>
    <x v="1"/>
    <x v="13"/>
    <s v="COMFORTABLE"/>
    <n v="0.19700000000000001"/>
    <n v="0.64"/>
    <n v="8.9599999999999991"/>
    <x v="1"/>
    <n v="0"/>
    <n v="1"/>
    <x v="4"/>
    <m/>
    <s v="Week 1"/>
    <x v="0"/>
  </r>
  <r>
    <n v="120"/>
    <x v="5"/>
    <n v="5"/>
    <x v="1"/>
    <n v="4"/>
    <n v="2"/>
    <x v="1"/>
    <x v="14"/>
    <s v="COMFORTABLE"/>
    <n v="0.18179999999999999"/>
    <n v="0.69"/>
    <n v="8.9599999999999991"/>
    <x v="1"/>
    <n v="0"/>
    <n v="4"/>
    <x v="48"/>
    <m/>
    <s v="Week 1"/>
    <x v="0"/>
  </r>
  <r>
    <n v="121"/>
    <x v="5"/>
    <n v="6"/>
    <x v="1"/>
    <n v="4"/>
    <n v="2"/>
    <x v="1"/>
    <x v="14"/>
    <s v="COMFORTABLE"/>
    <n v="0.16669999999999999"/>
    <n v="0.63"/>
    <n v="10.45"/>
    <x v="1"/>
    <n v="0"/>
    <n v="36"/>
    <x v="9"/>
    <m/>
    <s v="Week 1"/>
    <x v="0"/>
  </r>
  <r>
    <n v="122"/>
    <x v="5"/>
    <n v="7"/>
    <x v="1"/>
    <n v="4"/>
    <n v="2"/>
    <x v="1"/>
    <x v="13"/>
    <s v="COMFORTABLE"/>
    <n v="0.2273"/>
    <n v="0.59"/>
    <n v="20.485098360655737"/>
    <x v="0"/>
    <n v="0"/>
    <n v="95"/>
    <x v="76"/>
    <m/>
    <s v="Week 1"/>
    <x v="0"/>
  </r>
  <r>
    <n v="123"/>
    <x v="5"/>
    <n v="8"/>
    <x v="1"/>
    <n v="4"/>
    <n v="1"/>
    <x v="0"/>
    <x v="13"/>
    <s v="COMFORTABLE"/>
    <n v="0.2273"/>
    <n v="0.59"/>
    <n v="20.485098360655737"/>
    <x v="0"/>
    <n v="3"/>
    <n v="216"/>
    <x v="77"/>
    <m/>
    <s v="Week 1"/>
    <x v="0"/>
  </r>
  <r>
    <n v="124"/>
    <x v="5"/>
    <n v="9"/>
    <x v="1"/>
    <n v="4"/>
    <n v="2"/>
    <x v="1"/>
    <x v="15"/>
    <s v="COMFORTABLE"/>
    <n v="0.2424"/>
    <n v="0.51"/>
    <n v="20.485098360655737"/>
    <x v="0"/>
    <n v="6"/>
    <n v="116"/>
    <x v="78"/>
    <m/>
    <s v="Week 1"/>
    <x v="0"/>
  </r>
  <r>
    <n v="125"/>
    <x v="5"/>
    <n v="10"/>
    <x v="1"/>
    <n v="4"/>
    <n v="1"/>
    <x v="0"/>
    <x v="2"/>
    <s v="COMFORTABLE"/>
    <n v="0.2576"/>
    <n v="0.47"/>
    <n v="20.485098360655737"/>
    <x v="0"/>
    <n v="3"/>
    <n v="42"/>
    <x v="79"/>
    <m/>
    <s v="Week 1"/>
    <x v="0"/>
  </r>
  <r>
    <n v="126"/>
    <x v="5"/>
    <n v="11"/>
    <x v="1"/>
    <n v="4"/>
    <n v="1"/>
    <x v="0"/>
    <x v="1"/>
    <s v="COMFORTABLE"/>
    <n v="0.2576"/>
    <n v="0.44"/>
    <n v="8.9599999999999991"/>
    <x v="1"/>
    <n v="2"/>
    <n v="57"/>
    <x v="29"/>
    <m/>
    <s v="Week 1"/>
    <x v="0"/>
  </r>
  <r>
    <n v="127"/>
    <x v="5"/>
    <n v="12"/>
    <x v="1"/>
    <n v="4"/>
    <n v="1"/>
    <x v="0"/>
    <x v="12"/>
    <s v="WARM"/>
    <n v="0.28789999999999999"/>
    <n v="0.35"/>
    <n v="20.485098360655737"/>
    <x v="0"/>
    <n v="6"/>
    <n v="78"/>
    <x v="11"/>
    <m/>
    <s v="Week 1"/>
    <x v="0"/>
  </r>
  <r>
    <n v="128"/>
    <x v="5"/>
    <n v="13"/>
    <x v="1"/>
    <n v="4"/>
    <n v="1"/>
    <x v="0"/>
    <x v="12"/>
    <s v="WARM"/>
    <n v="0.2727"/>
    <n v="0.35"/>
    <n v="10.45"/>
    <x v="1"/>
    <n v="12"/>
    <n v="55"/>
    <x v="16"/>
    <m/>
    <s v="Week 1"/>
    <x v="0"/>
  </r>
  <r>
    <n v="129"/>
    <x v="5"/>
    <n v="14"/>
    <x v="1"/>
    <n v="4"/>
    <n v="1"/>
    <x v="0"/>
    <x v="17"/>
    <s v="WARM"/>
    <n v="0.2727"/>
    <n v="0.36"/>
    <n v="16.420000000000002"/>
    <x v="1"/>
    <n v="11"/>
    <n v="59"/>
    <x v="27"/>
    <m/>
    <s v="Week 1"/>
    <x v="0"/>
  </r>
  <r>
    <n v="130"/>
    <x v="5"/>
    <n v="15"/>
    <x v="1"/>
    <n v="4"/>
    <n v="1"/>
    <x v="0"/>
    <x v="17"/>
    <s v="WARM"/>
    <n v="0.2727"/>
    <n v="0.36"/>
    <n v="20.485098360655737"/>
    <x v="0"/>
    <n v="8"/>
    <n v="54"/>
    <x v="69"/>
    <m/>
    <s v="Week 1"/>
    <x v="0"/>
  </r>
  <r>
    <n v="131"/>
    <x v="5"/>
    <n v="16"/>
    <x v="1"/>
    <n v="4"/>
    <n v="1"/>
    <x v="0"/>
    <x v="12"/>
    <s v="WARM"/>
    <n v="0.2576"/>
    <n v="0.38"/>
    <n v="16.420000000000002"/>
    <x v="1"/>
    <n v="12"/>
    <n v="74"/>
    <x v="80"/>
    <m/>
    <s v="Week 1"/>
    <x v="0"/>
  </r>
  <r>
    <n v="132"/>
    <x v="5"/>
    <n v="17"/>
    <x v="1"/>
    <n v="4"/>
    <n v="1"/>
    <x v="0"/>
    <x v="1"/>
    <s v="COMFORTABLE"/>
    <n v="0.2273"/>
    <n v="0.51"/>
    <n v="16.420000000000002"/>
    <x v="1"/>
    <n v="9"/>
    <n v="163"/>
    <x v="81"/>
    <m/>
    <s v="Week 1"/>
    <x v="0"/>
  </r>
  <r>
    <n v="133"/>
    <x v="5"/>
    <n v="18"/>
    <x v="1"/>
    <n v="4"/>
    <n v="1"/>
    <x v="0"/>
    <x v="1"/>
    <s v="COMFORTABLE"/>
    <n v="0.2273"/>
    <n v="0.51"/>
    <n v="13.43"/>
    <x v="1"/>
    <n v="5"/>
    <n v="158"/>
    <x v="82"/>
    <m/>
    <s v="Week 1"/>
    <x v="0"/>
  </r>
  <r>
    <n v="134"/>
    <x v="5"/>
    <n v="19"/>
    <x v="1"/>
    <n v="4"/>
    <n v="1"/>
    <x v="0"/>
    <x v="1"/>
    <s v="COMFORTABLE"/>
    <n v="0.2576"/>
    <n v="0.55000000000000004"/>
    <n v="8.9599999999999991"/>
    <x v="1"/>
    <n v="3"/>
    <n v="109"/>
    <x v="59"/>
    <m/>
    <s v="Week 1"/>
    <x v="0"/>
  </r>
  <r>
    <n v="135"/>
    <x v="5"/>
    <n v="20"/>
    <x v="1"/>
    <n v="4"/>
    <n v="1"/>
    <x v="0"/>
    <x v="2"/>
    <s v="COMFORTABLE"/>
    <n v="0.21210000000000001"/>
    <n v="0.51"/>
    <n v="16.420000000000002"/>
    <x v="1"/>
    <n v="3"/>
    <n v="66"/>
    <x v="83"/>
    <m/>
    <s v="Week 1"/>
    <x v="0"/>
  </r>
  <r>
    <n v="136"/>
    <x v="5"/>
    <n v="21"/>
    <x v="1"/>
    <n v="4"/>
    <n v="2"/>
    <x v="1"/>
    <x v="1"/>
    <s v="COMFORTABLE"/>
    <n v="0.21210000000000001"/>
    <n v="0.55000000000000004"/>
    <n v="22.39"/>
    <x v="0"/>
    <n v="0"/>
    <n v="48"/>
    <x v="61"/>
    <m/>
    <s v="Week 1"/>
    <x v="0"/>
  </r>
  <r>
    <n v="137"/>
    <x v="5"/>
    <n v="22"/>
    <x v="1"/>
    <n v="4"/>
    <n v="2"/>
    <x v="1"/>
    <x v="1"/>
    <s v="COMFORTABLE"/>
    <n v="0.21210000000000001"/>
    <n v="0.51"/>
    <n v="28.360000000000003"/>
    <x v="0"/>
    <n v="1"/>
    <n v="51"/>
    <x v="46"/>
    <m/>
    <s v="Week 1"/>
    <x v="0"/>
  </r>
  <r>
    <n v="138"/>
    <x v="5"/>
    <n v="23"/>
    <x v="1"/>
    <n v="4"/>
    <n v="2"/>
    <x v="1"/>
    <x v="2"/>
    <s v="COMFORTABLE"/>
    <n v="0.19700000000000001"/>
    <n v="0.59"/>
    <n v="19.400000000000002"/>
    <x v="1"/>
    <n v="4"/>
    <n v="19"/>
    <x v="84"/>
    <m/>
    <s v="Week 1"/>
    <x v="0"/>
  </r>
  <r>
    <n v="139"/>
    <x v="6"/>
    <n v="0"/>
    <x v="1"/>
    <n v="5"/>
    <n v="2"/>
    <x v="1"/>
    <x v="2"/>
    <s v="COMFORTABLE"/>
    <n v="0.19700000000000001"/>
    <n v="0.64"/>
    <n v="19.400000000000002"/>
    <x v="1"/>
    <n v="4"/>
    <n v="13"/>
    <x v="22"/>
    <m/>
    <s v="Week 1"/>
    <x v="0"/>
  </r>
  <r>
    <n v="140"/>
    <x v="6"/>
    <n v="1"/>
    <x v="1"/>
    <n v="5"/>
    <n v="2"/>
    <x v="1"/>
    <x v="2"/>
    <s v="COMFORTABLE"/>
    <n v="0.19700000000000001"/>
    <n v="0.69"/>
    <n v="22.39"/>
    <x v="0"/>
    <n v="2"/>
    <n v="5"/>
    <x v="85"/>
    <m/>
    <s v="Week 1"/>
    <x v="0"/>
  </r>
  <r>
    <n v="141"/>
    <x v="6"/>
    <n v="2"/>
    <x v="1"/>
    <n v="5"/>
    <n v="2"/>
    <x v="1"/>
    <x v="2"/>
    <s v="COMFORTABLE"/>
    <n v="0.19700000000000001"/>
    <n v="0.69"/>
    <n v="22.39"/>
    <x v="0"/>
    <n v="0"/>
    <n v="1"/>
    <x v="4"/>
    <m/>
    <s v="Week 1"/>
    <x v="0"/>
  </r>
  <r>
    <n v="142"/>
    <x v="6"/>
    <n v="4"/>
    <x v="1"/>
    <n v="5"/>
    <n v="2"/>
    <x v="1"/>
    <x v="2"/>
    <s v="COMFORTABLE"/>
    <n v="0.21210000000000001"/>
    <n v="0.69"/>
    <n v="13.43"/>
    <x v="1"/>
    <n v="0"/>
    <n v="1"/>
    <x v="4"/>
    <m/>
    <s v="Week 1"/>
    <x v="0"/>
  </r>
  <r>
    <n v="143"/>
    <x v="6"/>
    <n v="5"/>
    <x v="1"/>
    <n v="5"/>
    <n v="3"/>
    <x v="2"/>
    <x v="1"/>
    <s v="COMFORTABLE"/>
    <n v="0.2727"/>
    <n v="0.55000000000000004"/>
    <n v="20.485098360655737"/>
    <x v="0"/>
    <n v="0"/>
    <n v="5"/>
    <x v="36"/>
    <m/>
    <s v="Week 1"/>
    <x v="0"/>
  </r>
  <r>
    <n v="144"/>
    <x v="6"/>
    <n v="6"/>
    <x v="1"/>
    <n v="5"/>
    <n v="2"/>
    <x v="1"/>
    <x v="2"/>
    <s v="COMFORTABLE"/>
    <n v="0.2576"/>
    <n v="0.69"/>
    <n v="20.485098360655737"/>
    <x v="0"/>
    <n v="8"/>
    <n v="26"/>
    <x v="19"/>
    <m/>
    <s v="Week 1"/>
    <x v="0"/>
  </r>
  <r>
    <n v="145"/>
    <x v="6"/>
    <n v="7"/>
    <x v="1"/>
    <n v="5"/>
    <n v="1"/>
    <x v="0"/>
    <x v="2"/>
    <s v="COMFORTABLE"/>
    <n v="0.21210000000000001"/>
    <n v="0.69"/>
    <n v="13.43"/>
    <x v="1"/>
    <n v="8"/>
    <n v="76"/>
    <x v="11"/>
    <m/>
    <s v="Week 1"/>
    <x v="0"/>
  </r>
  <r>
    <n v="146"/>
    <x v="6"/>
    <n v="8"/>
    <x v="1"/>
    <n v="5"/>
    <n v="1"/>
    <x v="0"/>
    <x v="2"/>
    <s v="COMFORTABLE"/>
    <n v="0.19700000000000001"/>
    <n v="0.51"/>
    <n v="25.369999999999997"/>
    <x v="0"/>
    <n v="20"/>
    <n v="190"/>
    <x v="86"/>
    <m/>
    <s v="Week 1"/>
    <x v="0"/>
  </r>
  <r>
    <n v="147"/>
    <x v="6"/>
    <n v="9"/>
    <x v="1"/>
    <n v="5"/>
    <n v="1"/>
    <x v="0"/>
    <x v="2"/>
    <s v="COMFORTABLE"/>
    <n v="0.18179999999999999"/>
    <n v="0.47"/>
    <n v="29.849999999999998"/>
    <x v="0"/>
    <n v="9"/>
    <n v="125"/>
    <x v="87"/>
    <m/>
    <s v="Week 1"/>
    <x v="0"/>
  </r>
  <r>
    <n v="148"/>
    <x v="6"/>
    <n v="10"/>
    <x v="1"/>
    <n v="5"/>
    <n v="1"/>
    <x v="0"/>
    <x v="1"/>
    <s v="COMFORTABLE"/>
    <n v="0.19700000000000001"/>
    <n v="0.37"/>
    <n v="32.840000000000003"/>
    <x v="2"/>
    <n v="16"/>
    <n v="47"/>
    <x v="55"/>
    <m/>
    <s v="Week 1"/>
    <x v="0"/>
  </r>
  <r>
    <n v="149"/>
    <x v="6"/>
    <n v="11"/>
    <x v="1"/>
    <n v="5"/>
    <n v="2"/>
    <x v="1"/>
    <x v="2"/>
    <s v="COMFORTABLE"/>
    <n v="0.19700000000000001"/>
    <n v="0.4"/>
    <n v="22.39"/>
    <x v="0"/>
    <n v="19"/>
    <n v="48"/>
    <x v="16"/>
    <m/>
    <s v="Week 1"/>
    <x v="0"/>
  </r>
  <r>
    <n v="150"/>
    <x v="6"/>
    <n v="12"/>
    <x v="1"/>
    <n v="5"/>
    <n v="2"/>
    <x v="1"/>
    <x v="2"/>
    <s v="COMFORTABLE"/>
    <n v="0.19700000000000001"/>
    <n v="0.37"/>
    <n v="25.369999999999997"/>
    <x v="0"/>
    <n v="9"/>
    <n v="50"/>
    <x v="29"/>
    <m/>
    <s v="Week 1"/>
    <x v="0"/>
  </r>
  <r>
    <n v="151"/>
    <x v="6"/>
    <n v="13"/>
    <x v="1"/>
    <n v="5"/>
    <n v="2"/>
    <x v="1"/>
    <x v="2"/>
    <s v="COMFORTABLE"/>
    <n v="0.18179999999999999"/>
    <n v="0.37"/>
    <n v="28.360000000000003"/>
    <x v="0"/>
    <n v="9"/>
    <n v="64"/>
    <x v="88"/>
    <m/>
    <s v="Week 1"/>
    <x v="0"/>
  </r>
  <r>
    <n v="152"/>
    <x v="6"/>
    <n v="14"/>
    <x v="1"/>
    <n v="5"/>
    <n v="2"/>
    <x v="1"/>
    <x v="2"/>
    <s v="COMFORTABLE"/>
    <n v="0.19700000000000001"/>
    <n v="0.4"/>
    <n v="25.369999999999997"/>
    <x v="0"/>
    <n v="7"/>
    <n v="43"/>
    <x v="89"/>
    <m/>
    <s v="Week 1"/>
    <x v="0"/>
  </r>
  <r>
    <n v="153"/>
    <x v="6"/>
    <n v="15"/>
    <x v="1"/>
    <n v="5"/>
    <n v="2"/>
    <x v="1"/>
    <x v="2"/>
    <s v="COMFORTABLE"/>
    <n v="0.21210000000000001"/>
    <n v="0.37"/>
    <n v="16.420000000000002"/>
    <x v="1"/>
    <n v="9"/>
    <n v="63"/>
    <x v="44"/>
    <m/>
    <s v="Week 1"/>
    <x v="0"/>
  </r>
  <r>
    <n v="154"/>
    <x v="6"/>
    <n v="16"/>
    <x v="1"/>
    <n v="5"/>
    <n v="2"/>
    <x v="1"/>
    <x v="2"/>
    <s v="COMFORTABLE"/>
    <n v="0.21210000000000001"/>
    <n v="0.37"/>
    <n v="16.420000000000002"/>
    <x v="1"/>
    <n v="5"/>
    <n v="82"/>
    <x v="90"/>
    <m/>
    <s v="Week 1"/>
    <x v="0"/>
  </r>
  <r>
    <n v="155"/>
    <x v="6"/>
    <n v="17"/>
    <x v="1"/>
    <n v="5"/>
    <n v="2"/>
    <x v="1"/>
    <x v="2"/>
    <s v="COMFORTABLE"/>
    <n v="0.2576"/>
    <n v="0.37"/>
    <n v="20.485098360655737"/>
    <x v="0"/>
    <n v="9"/>
    <n v="178"/>
    <x v="91"/>
    <m/>
    <s v="Week 1"/>
    <x v="0"/>
  </r>
  <r>
    <n v="156"/>
    <x v="6"/>
    <n v="18"/>
    <x v="1"/>
    <n v="5"/>
    <n v="1"/>
    <x v="0"/>
    <x v="2"/>
    <s v="COMFORTABLE"/>
    <n v="0.2273"/>
    <n v="0.4"/>
    <n v="8.9599999999999991"/>
    <x v="1"/>
    <n v="7"/>
    <n v="116"/>
    <x v="92"/>
    <m/>
    <s v="Week 1"/>
    <x v="0"/>
  </r>
  <r>
    <n v="157"/>
    <x v="6"/>
    <n v="19"/>
    <x v="1"/>
    <n v="5"/>
    <n v="1"/>
    <x v="0"/>
    <x v="13"/>
    <s v="COMFORTABLE"/>
    <n v="0.19700000000000001"/>
    <n v="0.55000000000000004"/>
    <n v="8.9599999999999991"/>
    <x v="1"/>
    <n v="3"/>
    <n v="92"/>
    <x v="76"/>
    <m/>
    <s v="Week 1"/>
    <x v="0"/>
  </r>
  <r>
    <n v="158"/>
    <x v="6"/>
    <n v="20"/>
    <x v="1"/>
    <n v="5"/>
    <n v="1"/>
    <x v="0"/>
    <x v="15"/>
    <s v="COMFORTABLE"/>
    <n v="0.21210000000000001"/>
    <n v="0.47"/>
    <n v="10.45"/>
    <x v="1"/>
    <n v="1"/>
    <n v="50"/>
    <x v="41"/>
    <m/>
    <s v="Week 1"/>
    <x v="0"/>
  </r>
  <r>
    <n v="159"/>
    <x v="6"/>
    <n v="21"/>
    <x v="1"/>
    <n v="5"/>
    <n v="1"/>
    <x v="0"/>
    <x v="15"/>
    <s v="COMFORTABLE"/>
    <n v="0.19700000000000001"/>
    <n v="0.47"/>
    <n v="13.43"/>
    <x v="1"/>
    <n v="0"/>
    <n v="39"/>
    <x v="21"/>
    <m/>
    <s v="Week 1"/>
    <x v="0"/>
  </r>
  <r>
    <n v="160"/>
    <x v="6"/>
    <n v="22"/>
    <x v="1"/>
    <n v="5"/>
    <n v="2"/>
    <x v="1"/>
    <x v="15"/>
    <s v="COMFORTABLE"/>
    <n v="0.19700000000000001"/>
    <n v="0.43"/>
    <n v="16.420000000000002"/>
    <x v="1"/>
    <n v="2"/>
    <n v="34"/>
    <x v="9"/>
    <m/>
    <s v="Week 1"/>
    <x v="0"/>
  </r>
  <r>
    <n v="161"/>
    <x v="6"/>
    <n v="23"/>
    <x v="1"/>
    <n v="5"/>
    <n v="2"/>
    <x v="1"/>
    <x v="15"/>
    <s v="COMFORTABLE"/>
    <n v="0.19700000000000001"/>
    <n v="0.51"/>
    <n v="16.420000000000002"/>
    <x v="1"/>
    <n v="1"/>
    <n v="14"/>
    <x v="93"/>
    <m/>
    <s v="Week 1"/>
    <x v="0"/>
  </r>
  <r>
    <n v="162"/>
    <x v="7"/>
    <n v="0"/>
    <x v="1"/>
    <n v="6"/>
    <n v="2"/>
    <x v="1"/>
    <x v="15"/>
    <s v="COMFORTABLE"/>
    <n v="0.19700000000000001"/>
    <n v="0.51"/>
    <n v="16.420000000000002"/>
    <x v="1"/>
    <n v="1"/>
    <n v="24"/>
    <x v="94"/>
    <m/>
    <s v="Week 2"/>
    <x v="0"/>
  </r>
  <r>
    <n v="163"/>
    <x v="7"/>
    <n v="1"/>
    <x v="1"/>
    <n v="6"/>
    <n v="2"/>
    <x v="1"/>
    <x v="15"/>
    <s v="COMFORTABLE"/>
    <n v="0.21210000000000001"/>
    <n v="0.55000000000000004"/>
    <n v="8.9599999999999991"/>
    <x v="1"/>
    <n v="1"/>
    <n v="15"/>
    <x v="0"/>
    <m/>
    <s v="Week 2"/>
    <x v="0"/>
  </r>
  <r>
    <n v="164"/>
    <x v="7"/>
    <n v="2"/>
    <x v="1"/>
    <n v="6"/>
    <n v="2"/>
    <x v="1"/>
    <x v="15"/>
    <s v="COMFORTABLE"/>
    <n v="0.2424"/>
    <n v="0.55000000000000004"/>
    <n v="20.485098360655737"/>
    <x v="0"/>
    <n v="3"/>
    <n v="13"/>
    <x v="0"/>
    <m/>
    <s v="Week 2"/>
    <x v="0"/>
  </r>
  <r>
    <n v="165"/>
    <x v="7"/>
    <n v="3"/>
    <x v="1"/>
    <n v="6"/>
    <n v="3"/>
    <x v="2"/>
    <x v="15"/>
    <s v="COMFORTABLE"/>
    <n v="0.19700000000000001"/>
    <n v="0.55000000000000004"/>
    <n v="16.420000000000002"/>
    <x v="1"/>
    <n v="0"/>
    <n v="7"/>
    <x v="85"/>
    <m/>
    <s v="Week 2"/>
    <x v="0"/>
  </r>
  <r>
    <n v="166"/>
    <x v="7"/>
    <n v="4"/>
    <x v="1"/>
    <n v="6"/>
    <n v="3"/>
    <x v="2"/>
    <x v="15"/>
    <s v="COMFORTABLE"/>
    <n v="0.19700000000000001"/>
    <n v="0.55000000000000004"/>
    <n v="16.420000000000002"/>
    <x v="1"/>
    <n v="0"/>
    <n v="1"/>
    <x v="4"/>
    <m/>
    <s v="Week 2"/>
    <x v="0"/>
  </r>
  <r>
    <n v="167"/>
    <x v="7"/>
    <n v="5"/>
    <x v="1"/>
    <n v="6"/>
    <n v="2"/>
    <x v="1"/>
    <x v="13"/>
    <s v="COMFORTABLE"/>
    <n v="0.16669999999999999"/>
    <n v="0.74"/>
    <n v="16.420000000000002"/>
    <x v="1"/>
    <n v="0"/>
    <n v="5"/>
    <x v="36"/>
    <m/>
    <s v="Week 2"/>
    <x v="0"/>
  </r>
  <r>
    <n v="168"/>
    <x v="7"/>
    <n v="6"/>
    <x v="1"/>
    <n v="6"/>
    <n v="2"/>
    <x v="1"/>
    <x v="13"/>
    <s v="COMFORTABLE"/>
    <n v="0.16669999999999999"/>
    <n v="0.74"/>
    <n v="16.420000000000002"/>
    <x v="1"/>
    <n v="0"/>
    <n v="2"/>
    <x v="5"/>
    <m/>
    <s v="Week 2"/>
    <x v="0"/>
  </r>
  <r>
    <n v="169"/>
    <x v="7"/>
    <n v="7"/>
    <x v="1"/>
    <n v="6"/>
    <n v="2"/>
    <x v="1"/>
    <x v="13"/>
    <s v="COMFORTABLE"/>
    <n v="0.18179999999999999"/>
    <n v="0.74"/>
    <n v="10.45"/>
    <x v="1"/>
    <n v="1"/>
    <n v="8"/>
    <x v="23"/>
    <m/>
    <s v="Week 2"/>
    <x v="0"/>
  </r>
  <r>
    <n v="170"/>
    <x v="7"/>
    <n v="8"/>
    <x v="1"/>
    <n v="6"/>
    <n v="3"/>
    <x v="2"/>
    <x v="13"/>
    <s v="COMFORTABLE"/>
    <n v="0.18179999999999999"/>
    <n v="0.93"/>
    <n v="10.45"/>
    <x v="1"/>
    <n v="0"/>
    <n v="15"/>
    <x v="93"/>
    <m/>
    <s v="Week 2"/>
    <x v="0"/>
  </r>
  <r>
    <n v="171"/>
    <x v="7"/>
    <n v="9"/>
    <x v="1"/>
    <n v="6"/>
    <n v="3"/>
    <x v="2"/>
    <x v="13"/>
    <s v="COMFORTABLE"/>
    <n v="0.18179999999999999"/>
    <n v="0.93"/>
    <n v="10.45"/>
    <x v="1"/>
    <n v="0"/>
    <n v="20"/>
    <x v="25"/>
    <m/>
    <s v="Week 2"/>
    <x v="0"/>
  </r>
  <r>
    <n v="172"/>
    <x v="7"/>
    <n v="10"/>
    <x v="1"/>
    <n v="6"/>
    <n v="2"/>
    <x v="1"/>
    <x v="15"/>
    <s v="COMFORTABLE"/>
    <n v="0.19700000000000001"/>
    <n v="0.8"/>
    <n v="16.420000000000002"/>
    <x v="1"/>
    <n v="5"/>
    <n v="56"/>
    <x v="42"/>
    <m/>
    <s v="Week 2"/>
    <x v="0"/>
  </r>
  <r>
    <n v="173"/>
    <x v="7"/>
    <n v="11"/>
    <x v="1"/>
    <n v="6"/>
    <n v="2"/>
    <x v="1"/>
    <x v="2"/>
    <s v="COMFORTABLE"/>
    <n v="0.18179999999999999"/>
    <n v="0.69"/>
    <n v="38.81"/>
    <x v="2"/>
    <n v="2"/>
    <n v="60"/>
    <x v="69"/>
    <m/>
    <s v="Week 2"/>
    <x v="0"/>
  </r>
  <r>
    <n v="174"/>
    <x v="7"/>
    <n v="12"/>
    <x v="1"/>
    <n v="6"/>
    <n v="2"/>
    <x v="1"/>
    <x v="2"/>
    <s v="COMFORTABLE"/>
    <n v="0.18179999999999999"/>
    <n v="0.59"/>
    <n v="35.82"/>
    <x v="2"/>
    <n v="8"/>
    <n v="90"/>
    <x v="95"/>
    <m/>
    <s v="Week 2"/>
    <x v="0"/>
  </r>
  <r>
    <n v="175"/>
    <x v="7"/>
    <n v="13"/>
    <x v="1"/>
    <n v="6"/>
    <n v="1"/>
    <x v="0"/>
    <x v="2"/>
    <s v="COMFORTABLE"/>
    <n v="0.18179999999999999"/>
    <n v="0.44"/>
    <n v="32.840000000000003"/>
    <x v="2"/>
    <n v="7"/>
    <n v="95"/>
    <x v="96"/>
    <m/>
    <s v="Week 2"/>
    <x v="0"/>
  </r>
  <r>
    <n v="176"/>
    <x v="7"/>
    <n v="14"/>
    <x v="1"/>
    <n v="6"/>
    <n v="1"/>
    <x v="0"/>
    <x v="2"/>
    <s v="COMFORTABLE"/>
    <n v="0.16669999999999999"/>
    <n v="0.32"/>
    <n v="49.25"/>
    <x v="2"/>
    <n v="12"/>
    <n v="83"/>
    <x v="76"/>
    <m/>
    <s v="Week 2"/>
    <x v="0"/>
  </r>
  <r>
    <n v="177"/>
    <x v="7"/>
    <n v="15"/>
    <x v="1"/>
    <n v="6"/>
    <n v="1"/>
    <x v="0"/>
    <x v="2"/>
    <s v="COMFORTABLE"/>
    <n v="0.16669999999999999"/>
    <n v="0.32"/>
    <n v="44.78"/>
    <x v="2"/>
    <n v="5"/>
    <n v="69"/>
    <x v="30"/>
    <m/>
    <s v="Week 2"/>
    <x v="0"/>
  </r>
  <r>
    <n v="178"/>
    <x v="7"/>
    <n v="16"/>
    <x v="1"/>
    <n v="6"/>
    <n v="1"/>
    <x v="0"/>
    <x v="15"/>
    <s v="COMFORTABLE"/>
    <n v="0.13639999999999999"/>
    <n v="0.28999999999999998"/>
    <n v="44.78"/>
    <x v="2"/>
    <n v="8"/>
    <n v="68"/>
    <x v="31"/>
    <m/>
    <s v="Week 2"/>
    <x v="0"/>
  </r>
  <r>
    <n v="179"/>
    <x v="7"/>
    <n v="17"/>
    <x v="1"/>
    <n v="6"/>
    <n v="1"/>
    <x v="0"/>
    <x v="13"/>
    <s v="COMFORTABLE"/>
    <n v="0.1212"/>
    <n v="0.37"/>
    <n v="55.22"/>
    <x v="2"/>
    <n v="5"/>
    <n v="64"/>
    <x v="83"/>
    <m/>
    <s v="Week 2"/>
    <x v="0"/>
  </r>
  <r>
    <n v="180"/>
    <x v="7"/>
    <n v="18"/>
    <x v="1"/>
    <n v="6"/>
    <n v="1"/>
    <x v="0"/>
    <x v="14"/>
    <s v="COMFORTABLE"/>
    <n v="0.1212"/>
    <n v="0.39"/>
    <n v="29.849999999999998"/>
    <x v="0"/>
    <n v="3"/>
    <n v="52"/>
    <x v="97"/>
    <m/>
    <s v="Week 2"/>
    <x v="0"/>
  </r>
  <r>
    <n v="181"/>
    <x v="7"/>
    <n v="19"/>
    <x v="1"/>
    <n v="6"/>
    <n v="1"/>
    <x v="0"/>
    <x v="14"/>
    <s v="COMFORTABLE"/>
    <n v="0.1212"/>
    <n v="0.36"/>
    <n v="25.369999999999997"/>
    <x v="0"/>
    <n v="4"/>
    <n v="26"/>
    <x v="33"/>
    <m/>
    <s v="Week 2"/>
    <x v="0"/>
  </r>
  <r>
    <n v="182"/>
    <x v="7"/>
    <n v="20"/>
    <x v="1"/>
    <n v="6"/>
    <n v="1"/>
    <x v="0"/>
    <x v="16"/>
    <s v="COMFORTABLE"/>
    <n v="0.1212"/>
    <n v="0.36"/>
    <n v="25.369999999999997"/>
    <x v="0"/>
    <n v="0"/>
    <n v="28"/>
    <x v="20"/>
    <m/>
    <s v="Week 2"/>
    <x v="0"/>
  </r>
  <r>
    <n v="183"/>
    <x v="7"/>
    <n v="21"/>
    <x v="1"/>
    <n v="6"/>
    <n v="1"/>
    <x v="0"/>
    <x v="16"/>
    <s v="COMFORTABLE"/>
    <n v="0.1061"/>
    <n v="0.39"/>
    <n v="35.82"/>
    <x v="2"/>
    <n v="2"/>
    <n v="35"/>
    <x v="18"/>
    <m/>
    <s v="Week 2"/>
    <x v="0"/>
  </r>
  <r>
    <n v="184"/>
    <x v="7"/>
    <n v="22"/>
    <x v="1"/>
    <n v="6"/>
    <n v="1"/>
    <x v="0"/>
    <x v="16"/>
    <s v="COMFORTABLE"/>
    <n v="0.1061"/>
    <n v="0.36"/>
    <n v="38.81"/>
    <x v="2"/>
    <n v="1"/>
    <n v="33"/>
    <x v="19"/>
    <m/>
    <s v="Week 2"/>
    <x v="0"/>
  </r>
  <r>
    <n v="185"/>
    <x v="7"/>
    <n v="23"/>
    <x v="1"/>
    <n v="6"/>
    <n v="1"/>
    <x v="0"/>
    <x v="18"/>
    <s v="COLD"/>
    <n v="6.0600000000000001E-2"/>
    <n v="0.39"/>
    <n v="44.78"/>
    <x v="2"/>
    <n v="0"/>
    <n v="22"/>
    <x v="34"/>
    <m/>
    <s v="Week 2"/>
    <x v="0"/>
  </r>
  <r>
    <n v="186"/>
    <x v="8"/>
    <n v="0"/>
    <x v="1"/>
    <n v="7"/>
    <n v="1"/>
    <x v="0"/>
    <x v="18"/>
    <s v="COLD"/>
    <n v="7.5800000000000006E-2"/>
    <n v="0.42"/>
    <n v="38.81"/>
    <x v="2"/>
    <n v="1"/>
    <n v="24"/>
    <x v="94"/>
    <m/>
    <s v="Week 2"/>
    <x v="0"/>
  </r>
  <r>
    <n v="187"/>
    <x v="8"/>
    <n v="1"/>
    <x v="1"/>
    <n v="7"/>
    <n v="1"/>
    <x v="0"/>
    <x v="18"/>
    <s v="COLD"/>
    <n v="6.0600000000000001E-2"/>
    <n v="0.42"/>
    <n v="46.27"/>
    <x v="2"/>
    <n v="0"/>
    <n v="12"/>
    <x v="47"/>
    <m/>
    <s v="Week 2"/>
    <x v="0"/>
  </r>
  <r>
    <n v="188"/>
    <x v="8"/>
    <n v="2"/>
    <x v="1"/>
    <n v="7"/>
    <n v="1"/>
    <x v="0"/>
    <x v="18"/>
    <s v="COLD"/>
    <n v="6.0600000000000001E-2"/>
    <n v="0.46"/>
    <n v="46.27"/>
    <x v="2"/>
    <n v="0"/>
    <n v="11"/>
    <x v="62"/>
    <m/>
    <s v="Week 2"/>
    <x v="0"/>
  </r>
  <r>
    <n v="189"/>
    <x v="8"/>
    <n v="3"/>
    <x v="1"/>
    <n v="7"/>
    <n v="1"/>
    <x v="0"/>
    <x v="18"/>
    <s v="COLD"/>
    <n v="7.5800000000000006E-2"/>
    <n v="0.46"/>
    <n v="41.79"/>
    <x v="2"/>
    <n v="0"/>
    <n v="4"/>
    <x v="48"/>
    <m/>
    <s v="Week 2"/>
    <x v="0"/>
  </r>
  <r>
    <n v="190"/>
    <x v="8"/>
    <n v="4"/>
    <x v="1"/>
    <n v="7"/>
    <n v="1"/>
    <x v="0"/>
    <x v="19"/>
    <s v="COLD"/>
    <n v="9.0899999999999995E-2"/>
    <n v="0.53"/>
    <n v="19.400000000000002"/>
    <x v="1"/>
    <n v="0"/>
    <n v="1"/>
    <x v="4"/>
    <m/>
    <s v="Week 2"/>
    <x v="0"/>
  </r>
  <r>
    <n v="191"/>
    <x v="8"/>
    <n v="5"/>
    <x v="1"/>
    <n v="7"/>
    <n v="1"/>
    <x v="0"/>
    <x v="19"/>
    <s v="COLD"/>
    <n v="9.0899999999999995E-2"/>
    <n v="0.53"/>
    <n v="19.400000000000002"/>
    <x v="1"/>
    <n v="0"/>
    <n v="1"/>
    <x v="4"/>
    <m/>
    <s v="Week 2"/>
    <x v="0"/>
  </r>
  <r>
    <n v="192"/>
    <x v="8"/>
    <n v="6"/>
    <x v="1"/>
    <n v="7"/>
    <n v="1"/>
    <x v="0"/>
    <x v="18"/>
    <s v="COLD"/>
    <n v="9.0899999999999995E-2"/>
    <n v="0.49"/>
    <n v="28.360000000000003"/>
    <x v="0"/>
    <n v="0"/>
    <n v="1"/>
    <x v="4"/>
    <m/>
    <s v="Week 2"/>
    <x v="0"/>
  </r>
  <r>
    <n v="193"/>
    <x v="8"/>
    <n v="7"/>
    <x v="1"/>
    <n v="7"/>
    <n v="1"/>
    <x v="0"/>
    <x v="19"/>
    <s v="COLD"/>
    <n v="9.0899999999999995E-2"/>
    <n v="0.53"/>
    <n v="19.400000000000002"/>
    <x v="1"/>
    <n v="1"/>
    <n v="5"/>
    <x v="24"/>
    <m/>
    <s v="Week 2"/>
    <x v="0"/>
  </r>
  <r>
    <n v="194"/>
    <x v="8"/>
    <n v="8"/>
    <x v="1"/>
    <n v="7"/>
    <n v="1"/>
    <x v="0"/>
    <x v="18"/>
    <s v="COLD"/>
    <n v="9.0899999999999995E-2"/>
    <n v="0.49"/>
    <n v="28.360000000000003"/>
    <x v="0"/>
    <n v="0"/>
    <n v="10"/>
    <x v="98"/>
    <m/>
    <s v="Week 2"/>
    <x v="0"/>
  </r>
  <r>
    <n v="195"/>
    <x v="8"/>
    <n v="9"/>
    <x v="1"/>
    <n v="7"/>
    <n v="1"/>
    <x v="0"/>
    <x v="16"/>
    <s v="COMFORTABLE"/>
    <n v="7.5800000000000006E-2"/>
    <n v="0.46"/>
    <n v="52.239999999999995"/>
    <x v="2"/>
    <n v="0"/>
    <n v="19"/>
    <x v="75"/>
    <m/>
    <s v="Week 2"/>
    <x v="0"/>
  </r>
  <r>
    <n v="196"/>
    <x v="8"/>
    <n v="10"/>
    <x v="1"/>
    <n v="7"/>
    <n v="1"/>
    <x v="0"/>
    <x v="14"/>
    <s v="COMFORTABLE"/>
    <n v="0.1061"/>
    <n v="0.43"/>
    <n v="38.81"/>
    <x v="2"/>
    <n v="0"/>
    <n v="49"/>
    <x v="99"/>
    <m/>
    <s v="Week 2"/>
    <x v="0"/>
  </r>
  <r>
    <n v="197"/>
    <x v="8"/>
    <n v="11"/>
    <x v="1"/>
    <n v="7"/>
    <n v="1"/>
    <x v="0"/>
    <x v="13"/>
    <s v="COMFORTABLE"/>
    <n v="0.1212"/>
    <n v="0.4"/>
    <n v="52.239999999999995"/>
    <x v="2"/>
    <n v="2"/>
    <n v="47"/>
    <x v="99"/>
    <m/>
    <s v="Week 2"/>
    <x v="0"/>
  </r>
  <r>
    <n v="198"/>
    <x v="8"/>
    <n v="12"/>
    <x v="1"/>
    <n v="7"/>
    <n v="1"/>
    <x v="0"/>
    <x v="15"/>
    <s v="COMFORTABLE"/>
    <n v="0.13639999999999999"/>
    <n v="0.37"/>
    <n v="44.78"/>
    <x v="2"/>
    <n v="4"/>
    <n v="79"/>
    <x v="56"/>
    <m/>
    <s v="Week 2"/>
    <x v="0"/>
  </r>
  <r>
    <n v="199"/>
    <x v="8"/>
    <n v="13"/>
    <x v="1"/>
    <n v="7"/>
    <n v="1"/>
    <x v="0"/>
    <x v="2"/>
    <s v="COMFORTABLE"/>
    <n v="0.16669999999999999"/>
    <n v="0.34"/>
    <n v="44.78"/>
    <x v="2"/>
    <n v="6"/>
    <n v="69"/>
    <x v="28"/>
    <m/>
    <s v="Week 2"/>
    <x v="0"/>
  </r>
  <r>
    <n v="200"/>
    <x v="8"/>
    <n v="14"/>
    <x v="1"/>
    <n v="7"/>
    <n v="1"/>
    <x v="0"/>
    <x v="1"/>
    <s v="COMFORTABLE"/>
    <n v="0.18179999999999999"/>
    <n v="0.32"/>
    <n v="46.27"/>
    <x v="2"/>
    <n v="8"/>
    <n v="64"/>
    <x v="44"/>
    <m/>
    <s v="Week 2"/>
    <x v="0"/>
  </r>
  <r>
    <n v="201"/>
    <x v="8"/>
    <n v="15"/>
    <x v="1"/>
    <n v="7"/>
    <n v="1"/>
    <x v="0"/>
    <x v="1"/>
    <s v="COMFORTABLE"/>
    <n v="0.19700000000000001"/>
    <n v="0.35"/>
    <n v="35.82"/>
    <x v="2"/>
    <n v="5"/>
    <n v="77"/>
    <x v="100"/>
    <m/>
    <s v="Week 2"/>
    <x v="0"/>
  </r>
  <r>
    <n v="202"/>
    <x v="8"/>
    <n v="16"/>
    <x v="1"/>
    <n v="7"/>
    <n v="1"/>
    <x v="0"/>
    <x v="2"/>
    <s v="COMFORTABLE"/>
    <n v="0.16669999999999999"/>
    <n v="0.34"/>
    <n v="44.78"/>
    <x v="2"/>
    <n v="13"/>
    <n v="79"/>
    <x v="101"/>
    <m/>
    <s v="Week 2"/>
    <x v="0"/>
  </r>
  <r>
    <n v="203"/>
    <x v="8"/>
    <n v="17"/>
    <x v="1"/>
    <n v="7"/>
    <n v="1"/>
    <x v="0"/>
    <x v="15"/>
    <s v="COMFORTABLE"/>
    <n v="0.1515"/>
    <n v="0.37"/>
    <n v="38.81"/>
    <x v="2"/>
    <n v="3"/>
    <n v="59"/>
    <x v="69"/>
    <m/>
    <s v="Week 2"/>
    <x v="0"/>
  </r>
  <r>
    <n v="204"/>
    <x v="8"/>
    <n v="18"/>
    <x v="1"/>
    <n v="7"/>
    <n v="1"/>
    <x v="0"/>
    <x v="13"/>
    <s v="COMFORTABLE"/>
    <n v="0.13639999999999999"/>
    <n v="0.4"/>
    <n v="32.840000000000003"/>
    <x v="2"/>
    <n v="4"/>
    <n v="44"/>
    <x v="61"/>
    <m/>
    <s v="Week 2"/>
    <x v="0"/>
  </r>
  <r>
    <n v="205"/>
    <x v="8"/>
    <n v="19"/>
    <x v="1"/>
    <n v="7"/>
    <n v="1"/>
    <x v="0"/>
    <x v="13"/>
    <s v="COMFORTABLE"/>
    <n v="0.13639999999999999"/>
    <n v="0.43"/>
    <n v="32.840000000000003"/>
    <x v="2"/>
    <n v="1"/>
    <n v="40"/>
    <x v="102"/>
    <m/>
    <s v="Week 2"/>
    <x v="0"/>
  </r>
  <r>
    <n v="206"/>
    <x v="8"/>
    <n v="20"/>
    <x v="1"/>
    <n v="7"/>
    <n v="1"/>
    <x v="0"/>
    <x v="14"/>
    <s v="COMFORTABLE"/>
    <n v="0.1212"/>
    <n v="0.46"/>
    <n v="25.369999999999997"/>
    <x v="0"/>
    <n v="0"/>
    <n v="38"/>
    <x v="103"/>
    <m/>
    <s v="Week 2"/>
    <x v="0"/>
  </r>
  <r>
    <n v="207"/>
    <x v="8"/>
    <n v="21"/>
    <x v="1"/>
    <n v="7"/>
    <n v="1"/>
    <x v="0"/>
    <x v="14"/>
    <s v="COMFORTABLE"/>
    <n v="0.1061"/>
    <n v="0.46"/>
    <n v="41.79"/>
    <x v="2"/>
    <n v="1"/>
    <n v="19"/>
    <x v="25"/>
    <m/>
    <s v="Week 2"/>
    <x v="0"/>
  </r>
  <r>
    <n v="208"/>
    <x v="8"/>
    <n v="22"/>
    <x v="1"/>
    <n v="7"/>
    <n v="1"/>
    <x v="0"/>
    <x v="14"/>
    <s v="COMFORTABLE"/>
    <n v="0.1212"/>
    <n v="0.46"/>
    <n v="29.849999999999998"/>
    <x v="0"/>
    <n v="5"/>
    <n v="10"/>
    <x v="93"/>
    <m/>
    <s v="Week 2"/>
    <x v="0"/>
  </r>
  <r>
    <n v="209"/>
    <x v="8"/>
    <n v="23"/>
    <x v="1"/>
    <n v="7"/>
    <n v="1"/>
    <x v="0"/>
    <x v="16"/>
    <s v="COMFORTABLE"/>
    <n v="0.13639999999999999"/>
    <n v="0.5"/>
    <n v="19.400000000000002"/>
    <x v="1"/>
    <n v="0"/>
    <n v="6"/>
    <x v="24"/>
    <m/>
    <s v="Week 2"/>
    <x v="0"/>
  </r>
  <r>
    <n v="210"/>
    <x v="9"/>
    <n v="0"/>
    <x v="1"/>
    <n v="1"/>
    <n v="1"/>
    <x v="0"/>
    <x v="16"/>
    <s v="COMFORTABLE"/>
    <n v="0.1212"/>
    <n v="0.5"/>
    <n v="28.360000000000003"/>
    <x v="0"/>
    <n v="2"/>
    <n v="3"/>
    <x v="36"/>
    <m/>
    <s v="Week 2"/>
    <x v="0"/>
  </r>
  <r>
    <n v="211"/>
    <x v="9"/>
    <n v="1"/>
    <x v="1"/>
    <n v="1"/>
    <n v="1"/>
    <x v="0"/>
    <x v="16"/>
    <s v="COMFORTABLE"/>
    <n v="0.1212"/>
    <n v="0.5"/>
    <n v="28.360000000000003"/>
    <x v="0"/>
    <n v="1"/>
    <n v="0"/>
    <x v="4"/>
    <m/>
    <s v="Week 2"/>
    <x v="0"/>
  </r>
  <r>
    <n v="212"/>
    <x v="9"/>
    <n v="2"/>
    <x v="1"/>
    <n v="1"/>
    <n v="1"/>
    <x v="0"/>
    <x v="16"/>
    <s v="COMFORTABLE"/>
    <n v="0.1212"/>
    <n v="0.5"/>
    <n v="22.39"/>
    <x v="0"/>
    <n v="0"/>
    <n v="3"/>
    <x v="6"/>
    <m/>
    <s v="Week 2"/>
    <x v="0"/>
  </r>
  <r>
    <n v="213"/>
    <x v="9"/>
    <n v="3"/>
    <x v="1"/>
    <n v="1"/>
    <n v="1"/>
    <x v="0"/>
    <x v="16"/>
    <s v="COMFORTABLE"/>
    <n v="0.1212"/>
    <n v="0.5"/>
    <n v="22.39"/>
    <x v="0"/>
    <n v="0"/>
    <n v="1"/>
    <x v="4"/>
    <m/>
    <s v="Week 2"/>
    <x v="0"/>
  </r>
  <r>
    <n v="214"/>
    <x v="9"/>
    <n v="4"/>
    <x v="1"/>
    <n v="1"/>
    <n v="1"/>
    <x v="0"/>
    <x v="18"/>
    <s v="COLD"/>
    <n v="0.1212"/>
    <n v="0.54"/>
    <n v="13.43"/>
    <x v="1"/>
    <n v="1"/>
    <n v="2"/>
    <x v="6"/>
    <m/>
    <s v="Week 2"/>
    <x v="0"/>
  </r>
  <r>
    <n v="215"/>
    <x v="9"/>
    <n v="5"/>
    <x v="1"/>
    <n v="1"/>
    <n v="1"/>
    <x v="0"/>
    <x v="18"/>
    <s v="COLD"/>
    <n v="0.1061"/>
    <n v="0.54"/>
    <n v="25.369999999999997"/>
    <x v="0"/>
    <n v="0"/>
    <n v="3"/>
    <x v="6"/>
    <m/>
    <s v="Week 2"/>
    <x v="0"/>
  </r>
  <r>
    <n v="216"/>
    <x v="9"/>
    <n v="6"/>
    <x v="1"/>
    <n v="1"/>
    <n v="1"/>
    <x v="0"/>
    <x v="16"/>
    <s v="COMFORTABLE"/>
    <n v="0.1212"/>
    <n v="0.5"/>
    <n v="28.360000000000003"/>
    <x v="0"/>
    <n v="0"/>
    <n v="31"/>
    <x v="35"/>
    <m/>
    <s v="Week 2"/>
    <x v="0"/>
  </r>
  <r>
    <n v="217"/>
    <x v="9"/>
    <n v="7"/>
    <x v="1"/>
    <n v="1"/>
    <n v="1"/>
    <x v="0"/>
    <x v="16"/>
    <s v="COMFORTABLE"/>
    <n v="0.1212"/>
    <n v="0.5"/>
    <n v="22.39"/>
    <x v="0"/>
    <n v="2"/>
    <n v="75"/>
    <x v="43"/>
    <m/>
    <s v="Week 2"/>
    <x v="0"/>
  </r>
  <r>
    <n v="218"/>
    <x v="9"/>
    <n v="8"/>
    <x v="1"/>
    <n v="1"/>
    <n v="2"/>
    <x v="1"/>
    <x v="16"/>
    <s v="COMFORTABLE"/>
    <n v="0.1212"/>
    <n v="0.5"/>
    <n v="28.360000000000003"/>
    <x v="0"/>
    <n v="4"/>
    <n v="184"/>
    <x v="104"/>
    <m/>
    <s v="Week 2"/>
    <x v="0"/>
  </r>
  <r>
    <n v="219"/>
    <x v="9"/>
    <n v="9"/>
    <x v="1"/>
    <n v="1"/>
    <n v="2"/>
    <x v="1"/>
    <x v="14"/>
    <s v="COMFORTABLE"/>
    <n v="0.1212"/>
    <n v="0.5"/>
    <n v="25.369999999999997"/>
    <x v="0"/>
    <n v="2"/>
    <n v="92"/>
    <x v="12"/>
    <m/>
    <s v="Week 2"/>
    <x v="0"/>
  </r>
  <r>
    <n v="220"/>
    <x v="9"/>
    <n v="10"/>
    <x v="1"/>
    <n v="1"/>
    <n v="2"/>
    <x v="1"/>
    <x v="14"/>
    <s v="COMFORTABLE"/>
    <n v="0.1212"/>
    <n v="0.5"/>
    <n v="29.849999999999998"/>
    <x v="0"/>
    <n v="0"/>
    <n v="31"/>
    <x v="35"/>
    <m/>
    <s v="Week 2"/>
    <x v="0"/>
  </r>
  <r>
    <n v="221"/>
    <x v="9"/>
    <n v="11"/>
    <x v="1"/>
    <n v="1"/>
    <n v="2"/>
    <x v="1"/>
    <x v="13"/>
    <s v="COMFORTABLE"/>
    <n v="0.13639999999999999"/>
    <n v="0.47"/>
    <n v="28.360000000000003"/>
    <x v="0"/>
    <n v="2"/>
    <n v="28"/>
    <x v="33"/>
    <m/>
    <s v="Week 2"/>
    <x v="0"/>
  </r>
  <r>
    <n v="222"/>
    <x v="9"/>
    <n v="12"/>
    <x v="1"/>
    <n v="1"/>
    <n v="2"/>
    <x v="1"/>
    <x v="2"/>
    <s v="COMFORTABLE"/>
    <n v="0.18179999999999999"/>
    <n v="0.4"/>
    <n v="28.360000000000003"/>
    <x v="0"/>
    <n v="5"/>
    <n v="47"/>
    <x v="46"/>
    <m/>
    <s v="Week 2"/>
    <x v="0"/>
  </r>
  <r>
    <n v="223"/>
    <x v="9"/>
    <n v="13"/>
    <x v="1"/>
    <n v="1"/>
    <n v="2"/>
    <x v="1"/>
    <x v="2"/>
    <s v="COMFORTABLE"/>
    <n v="0.18179999999999999"/>
    <n v="0.4"/>
    <n v="28.360000000000003"/>
    <x v="0"/>
    <n v="4"/>
    <n v="50"/>
    <x v="60"/>
    <m/>
    <s v="Week 2"/>
    <x v="0"/>
  </r>
  <r>
    <n v="224"/>
    <x v="9"/>
    <n v="14"/>
    <x v="1"/>
    <n v="1"/>
    <n v="2"/>
    <x v="1"/>
    <x v="2"/>
    <s v="COMFORTABLE"/>
    <n v="0.19700000000000001"/>
    <n v="0.4"/>
    <n v="22.39"/>
    <x v="0"/>
    <n v="0"/>
    <n v="47"/>
    <x v="105"/>
    <m/>
    <s v="Week 2"/>
    <x v="0"/>
  </r>
  <r>
    <n v="225"/>
    <x v="9"/>
    <n v="15"/>
    <x v="1"/>
    <n v="1"/>
    <n v="2"/>
    <x v="1"/>
    <x v="2"/>
    <s v="COMFORTABLE"/>
    <n v="0.19700000000000001"/>
    <n v="0.4"/>
    <n v="22.39"/>
    <x v="0"/>
    <n v="2"/>
    <n v="43"/>
    <x v="79"/>
    <m/>
    <s v="Week 2"/>
    <x v="0"/>
  </r>
  <r>
    <n v="226"/>
    <x v="9"/>
    <n v="16"/>
    <x v="1"/>
    <n v="1"/>
    <n v="1"/>
    <x v="0"/>
    <x v="2"/>
    <s v="COMFORTABLE"/>
    <n v="0.21210000000000001"/>
    <n v="0.4"/>
    <n v="13.43"/>
    <x v="1"/>
    <n v="4"/>
    <n v="70"/>
    <x v="30"/>
    <m/>
    <s v="Week 2"/>
    <x v="0"/>
  </r>
  <r>
    <n v="227"/>
    <x v="9"/>
    <n v="17"/>
    <x v="1"/>
    <n v="1"/>
    <n v="1"/>
    <x v="0"/>
    <x v="2"/>
    <s v="COMFORTABLE"/>
    <n v="0.2273"/>
    <n v="0.4"/>
    <n v="10.45"/>
    <x v="1"/>
    <n v="4"/>
    <n v="174"/>
    <x v="106"/>
    <m/>
    <s v="Week 2"/>
    <x v="0"/>
  </r>
  <r>
    <n v="228"/>
    <x v="9"/>
    <n v="18"/>
    <x v="1"/>
    <n v="1"/>
    <n v="1"/>
    <x v="0"/>
    <x v="2"/>
    <s v="COMFORTABLE"/>
    <n v="0.19700000000000001"/>
    <n v="0.4"/>
    <n v="22.39"/>
    <x v="0"/>
    <n v="1"/>
    <n v="154"/>
    <x v="107"/>
    <m/>
    <s v="Week 2"/>
    <x v="0"/>
  </r>
  <r>
    <n v="229"/>
    <x v="9"/>
    <n v="19"/>
    <x v="1"/>
    <n v="1"/>
    <n v="1"/>
    <x v="0"/>
    <x v="13"/>
    <s v="COMFORTABLE"/>
    <n v="0.16669999999999999"/>
    <n v="0.47"/>
    <n v="16.420000000000002"/>
    <x v="1"/>
    <n v="3"/>
    <n v="92"/>
    <x v="76"/>
    <m/>
    <s v="Week 2"/>
    <x v="0"/>
  </r>
  <r>
    <n v="230"/>
    <x v="9"/>
    <n v="20"/>
    <x v="1"/>
    <n v="1"/>
    <n v="1"/>
    <x v="0"/>
    <x v="13"/>
    <s v="COMFORTABLE"/>
    <n v="0.16669999999999999"/>
    <n v="0.5"/>
    <n v="16.420000000000002"/>
    <x v="1"/>
    <n v="1"/>
    <n v="73"/>
    <x v="30"/>
    <m/>
    <s v="Week 2"/>
    <x v="0"/>
  </r>
  <r>
    <n v="231"/>
    <x v="9"/>
    <n v="21"/>
    <x v="1"/>
    <n v="1"/>
    <n v="1"/>
    <x v="0"/>
    <x v="14"/>
    <s v="COMFORTABLE"/>
    <n v="0.13639999999999999"/>
    <n v="0.59"/>
    <n v="19.400000000000002"/>
    <x v="1"/>
    <n v="1"/>
    <n v="37"/>
    <x v="103"/>
    <m/>
    <s v="Week 2"/>
    <x v="0"/>
  </r>
  <r>
    <n v="232"/>
    <x v="9"/>
    <n v="22"/>
    <x v="1"/>
    <n v="1"/>
    <n v="1"/>
    <x v="0"/>
    <x v="14"/>
    <s v="COMFORTABLE"/>
    <n v="0.1515"/>
    <n v="0.59"/>
    <n v="16.420000000000002"/>
    <x v="1"/>
    <n v="2"/>
    <n v="22"/>
    <x v="108"/>
    <m/>
    <s v="Week 2"/>
    <x v="0"/>
  </r>
  <r>
    <n v="233"/>
    <x v="9"/>
    <n v="23"/>
    <x v="1"/>
    <n v="1"/>
    <n v="1"/>
    <x v="0"/>
    <x v="14"/>
    <s v="COMFORTABLE"/>
    <n v="0.1515"/>
    <n v="0.59"/>
    <n v="16.420000000000002"/>
    <x v="1"/>
    <n v="0"/>
    <n v="18"/>
    <x v="109"/>
    <m/>
    <s v="Week 2"/>
    <x v="0"/>
  </r>
  <r>
    <n v="234"/>
    <x v="10"/>
    <n v="0"/>
    <x v="1"/>
    <n v="2"/>
    <n v="1"/>
    <x v="0"/>
    <x v="14"/>
    <s v="COMFORTABLE"/>
    <n v="0.16669999999999999"/>
    <n v="0.59"/>
    <n v="10.45"/>
    <x v="1"/>
    <n v="2"/>
    <n v="10"/>
    <x v="47"/>
    <m/>
    <s v="Week 2"/>
    <x v="0"/>
  </r>
  <r>
    <n v="235"/>
    <x v="10"/>
    <n v="1"/>
    <x v="1"/>
    <n v="2"/>
    <n v="1"/>
    <x v="0"/>
    <x v="14"/>
    <s v="COMFORTABLE"/>
    <n v="0.1515"/>
    <n v="0.59"/>
    <n v="16.420000000000002"/>
    <x v="1"/>
    <n v="0"/>
    <n v="3"/>
    <x v="6"/>
    <m/>
    <s v="Week 2"/>
    <x v="0"/>
  </r>
  <r>
    <n v="236"/>
    <x v="10"/>
    <n v="2"/>
    <x v="1"/>
    <n v="2"/>
    <n v="2"/>
    <x v="1"/>
    <x v="13"/>
    <s v="COMFORTABLE"/>
    <n v="0.1515"/>
    <n v="0.55000000000000004"/>
    <n v="19.400000000000002"/>
    <x v="1"/>
    <n v="0"/>
    <n v="3"/>
    <x v="6"/>
    <m/>
    <s v="Week 2"/>
    <x v="0"/>
  </r>
  <r>
    <n v="237"/>
    <x v="10"/>
    <n v="5"/>
    <x v="1"/>
    <n v="2"/>
    <n v="2"/>
    <x v="1"/>
    <x v="13"/>
    <s v="COMFORTABLE"/>
    <n v="0.18179999999999999"/>
    <n v="0.55000000000000004"/>
    <n v="13.43"/>
    <x v="1"/>
    <n v="0"/>
    <n v="6"/>
    <x v="24"/>
    <m/>
    <s v="Week 2"/>
    <x v="0"/>
  </r>
  <r>
    <n v="238"/>
    <x v="10"/>
    <n v="6"/>
    <x v="1"/>
    <n v="2"/>
    <n v="2"/>
    <x v="1"/>
    <x v="13"/>
    <s v="COMFORTABLE"/>
    <n v="0.18179999999999999"/>
    <n v="0.55000000000000004"/>
    <n v="13.43"/>
    <x v="1"/>
    <n v="0"/>
    <n v="27"/>
    <x v="110"/>
    <m/>
    <s v="Week 2"/>
    <x v="0"/>
  </r>
  <r>
    <n v="239"/>
    <x v="10"/>
    <n v="7"/>
    <x v="1"/>
    <n v="2"/>
    <n v="2"/>
    <x v="1"/>
    <x v="13"/>
    <s v="COMFORTABLE"/>
    <n v="0.2273"/>
    <n v="0.55000000000000004"/>
    <n v="20.485098360655737"/>
    <x v="0"/>
    <n v="2"/>
    <n v="97"/>
    <x v="111"/>
    <m/>
    <s v="Week 2"/>
    <x v="0"/>
  </r>
  <r>
    <n v="240"/>
    <x v="10"/>
    <n v="8"/>
    <x v="1"/>
    <n v="2"/>
    <n v="2"/>
    <x v="1"/>
    <x v="15"/>
    <s v="COMFORTABLE"/>
    <n v="0.21210000000000001"/>
    <n v="0.51"/>
    <n v="8.9599999999999991"/>
    <x v="1"/>
    <n v="3"/>
    <n v="214"/>
    <x v="112"/>
    <m/>
    <s v="Week 2"/>
    <x v="0"/>
  </r>
  <r>
    <n v="241"/>
    <x v="10"/>
    <n v="9"/>
    <x v="1"/>
    <n v="2"/>
    <n v="2"/>
    <x v="1"/>
    <x v="15"/>
    <s v="COMFORTABLE"/>
    <n v="0.19700000000000001"/>
    <n v="0.51"/>
    <n v="16.420000000000002"/>
    <x v="1"/>
    <n v="3"/>
    <n v="127"/>
    <x v="113"/>
    <m/>
    <s v="Week 2"/>
    <x v="0"/>
  </r>
  <r>
    <n v="242"/>
    <x v="10"/>
    <n v="10"/>
    <x v="1"/>
    <n v="2"/>
    <n v="2"/>
    <x v="1"/>
    <x v="2"/>
    <s v="COMFORTABLE"/>
    <n v="0.21210000000000001"/>
    <n v="0.51"/>
    <n v="16.420000000000002"/>
    <x v="1"/>
    <n v="3"/>
    <n v="51"/>
    <x v="60"/>
    <m/>
    <s v="Week 2"/>
    <x v="0"/>
  </r>
  <r>
    <n v="243"/>
    <x v="10"/>
    <n v="11"/>
    <x v="1"/>
    <n v="2"/>
    <n v="2"/>
    <x v="1"/>
    <x v="2"/>
    <s v="COMFORTABLE"/>
    <n v="0.21210000000000001"/>
    <n v="0.47"/>
    <n v="13.43"/>
    <x v="1"/>
    <n v="4"/>
    <n v="31"/>
    <x v="17"/>
    <m/>
    <s v="Week 2"/>
    <x v="0"/>
  </r>
  <r>
    <n v="244"/>
    <x v="10"/>
    <n v="12"/>
    <x v="1"/>
    <n v="2"/>
    <n v="2"/>
    <x v="1"/>
    <x v="2"/>
    <s v="COMFORTABLE"/>
    <n v="0.2273"/>
    <n v="0.51"/>
    <n v="10.45"/>
    <x v="1"/>
    <n v="2"/>
    <n v="55"/>
    <x v="52"/>
    <m/>
    <s v="Week 2"/>
    <x v="0"/>
  </r>
  <r>
    <n v="245"/>
    <x v="10"/>
    <n v="13"/>
    <x v="1"/>
    <n v="2"/>
    <n v="2"/>
    <x v="1"/>
    <x v="2"/>
    <s v="COMFORTABLE"/>
    <n v="0.2273"/>
    <n v="0.59"/>
    <n v="8.9599999999999991"/>
    <x v="1"/>
    <n v="6"/>
    <n v="46"/>
    <x v="46"/>
    <m/>
    <s v="Week 2"/>
    <x v="0"/>
  </r>
  <r>
    <n v="246"/>
    <x v="10"/>
    <n v="14"/>
    <x v="1"/>
    <n v="2"/>
    <n v="2"/>
    <x v="1"/>
    <x v="2"/>
    <s v="COMFORTABLE"/>
    <n v="0.2273"/>
    <n v="0.59"/>
    <n v="8.9599999999999991"/>
    <x v="1"/>
    <n v="3"/>
    <n v="60"/>
    <x v="55"/>
    <m/>
    <s v="Week 2"/>
    <x v="0"/>
  </r>
  <r>
    <n v="247"/>
    <x v="10"/>
    <n v="15"/>
    <x v="1"/>
    <n v="2"/>
    <n v="2"/>
    <x v="1"/>
    <x v="13"/>
    <s v="COMFORTABLE"/>
    <n v="0.19700000000000001"/>
    <n v="0.8"/>
    <n v="8.9599999999999991"/>
    <x v="1"/>
    <n v="2"/>
    <n v="45"/>
    <x v="105"/>
    <m/>
    <s v="Week 2"/>
    <x v="0"/>
  </r>
  <r>
    <n v="248"/>
    <x v="10"/>
    <n v="16"/>
    <x v="1"/>
    <n v="2"/>
    <n v="2"/>
    <x v="1"/>
    <x v="13"/>
    <s v="COMFORTABLE"/>
    <n v="0.1515"/>
    <n v="0.86"/>
    <n v="22.39"/>
    <x v="0"/>
    <n v="4"/>
    <n v="72"/>
    <x v="31"/>
    <m/>
    <s v="Week 2"/>
    <x v="0"/>
  </r>
  <r>
    <n v="249"/>
    <x v="10"/>
    <n v="17"/>
    <x v="1"/>
    <n v="2"/>
    <n v="2"/>
    <x v="1"/>
    <x v="13"/>
    <s v="COMFORTABLE"/>
    <n v="0.1515"/>
    <n v="0.86"/>
    <n v="22.39"/>
    <x v="0"/>
    <n v="6"/>
    <n v="130"/>
    <x v="114"/>
    <m/>
    <s v="Week 2"/>
    <x v="0"/>
  </r>
  <r>
    <n v="250"/>
    <x v="10"/>
    <n v="18"/>
    <x v="1"/>
    <n v="2"/>
    <n v="3"/>
    <x v="2"/>
    <x v="13"/>
    <s v="COMFORTABLE"/>
    <n v="0.18179999999999999"/>
    <n v="0.93"/>
    <n v="10.45"/>
    <x v="1"/>
    <n v="1"/>
    <n v="94"/>
    <x v="76"/>
    <m/>
    <s v="Week 2"/>
    <x v="0"/>
  </r>
  <r>
    <n v="251"/>
    <x v="10"/>
    <n v="19"/>
    <x v="1"/>
    <n v="2"/>
    <n v="3"/>
    <x v="2"/>
    <x v="13"/>
    <s v="COMFORTABLE"/>
    <n v="0.2273"/>
    <n v="0.93"/>
    <n v="20.485098360655737"/>
    <x v="0"/>
    <n v="0"/>
    <n v="51"/>
    <x v="41"/>
    <m/>
    <s v="Week 2"/>
    <x v="0"/>
  </r>
  <r>
    <n v="252"/>
    <x v="10"/>
    <n v="20"/>
    <x v="1"/>
    <n v="2"/>
    <n v="3"/>
    <x v="2"/>
    <x v="13"/>
    <s v="COMFORTABLE"/>
    <n v="0.1515"/>
    <n v="0.93"/>
    <n v="19.400000000000002"/>
    <x v="1"/>
    <n v="0"/>
    <n v="32"/>
    <x v="2"/>
    <m/>
    <s v="Week 2"/>
    <x v="0"/>
  </r>
  <r>
    <n v="253"/>
    <x v="10"/>
    <n v="21"/>
    <x v="1"/>
    <n v="2"/>
    <n v="3"/>
    <x v="2"/>
    <x v="13"/>
    <s v="COMFORTABLE"/>
    <n v="0.19700000000000001"/>
    <n v="0.86"/>
    <n v="8.9599999999999991"/>
    <x v="1"/>
    <n v="0"/>
    <n v="20"/>
    <x v="25"/>
    <m/>
    <s v="Week 2"/>
    <x v="0"/>
  </r>
  <r>
    <n v="254"/>
    <x v="10"/>
    <n v="22"/>
    <x v="1"/>
    <n v="2"/>
    <n v="3"/>
    <x v="2"/>
    <x v="13"/>
    <s v="COMFORTABLE"/>
    <n v="0.18179999999999999"/>
    <n v="0.93"/>
    <n v="10.45"/>
    <x v="1"/>
    <n v="1"/>
    <n v="28"/>
    <x v="115"/>
    <m/>
    <s v="Week 2"/>
    <x v="0"/>
  </r>
  <r>
    <n v="255"/>
    <x v="10"/>
    <n v="23"/>
    <x v="1"/>
    <n v="2"/>
    <n v="3"/>
    <x v="2"/>
    <x v="13"/>
    <s v="COMFORTABLE"/>
    <n v="0.19700000000000001"/>
    <n v="0.93"/>
    <n v="8.9599999999999991"/>
    <x v="1"/>
    <n v="1"/>
    <n v="18"/>
    <x v="75"/>
    <m/>
    <s v="Week 2"/>
    <x v="0"/>
  </r>
  <r>
    <n v="256"/>
    <x v="11"/>
    <n v="0"/>
    <x v="1"/>
    <n v="3"/>
    <n v="2"/>
    <x v="1"/>
    <x v="13"/>
    <s v="COMFORTABLE"/>
    <n v="0.19700000000000001"/>
    <n v="0.86"/>
    <n v="8.9599999999999991"/>
    <x v="1"/>
    <n v="0"/>
    <n v="7"/>
    <x v="85"/>
    <m/>
    <s v="Week 2"/>
    <x v="0"/>
  </r>
  <r>
    <n v="257"/>
    <x v="11"/>
    <n v="1"/>
    <x v="1"/>
    <n v="3"/>
    <n v="2"/>
    <x v="1"/>
    <x v="13"/>
    <s v="COMFORTABLE"/>
    <n v="0.18179999999999999"/>
    <n v="0.86"/>
    <n v="10.45"/>
    <x v="1"/>
    <n v="0"/>
    <n v="6"/>
    <x v="24"/>
    <m/>
    <s v="Week 2"/>
    <x v="0"/>
  </r>
  <r>
    <n v="258"/>
    <x v="11"/>
    <n v="2"/>
    <x v="1"/>
    <n v="3"/>
    <n v="1"/>
    <x v="0"/>
    <x v="14"/>
    <s v="COMFORTABLE"/>
    <n v="0.1515"/>
    <n v="0.86"/>
    <n v="13.43"/>
    <x v="1"/>
    <n v="0"/>
    <n v="1"/>
    <x v="4"/>
    <m/>
    <s v="Week 2"/>
    <x v="0"/>
  </r>
  <r>
    <n v="259"/>
    <x v="11"/>
    <n v="5"/>
    <x v="1"/>
    <n v="3"/>
    <n v="1"/>
    <x v="0"/>
    <x v="14"/>
    <s v="COMFORTABLE"/>
    <n v="0.1515"/>
    <n v="0.86"/>
    <n v="16.420000000000002"/>
    <x v="1"/>
    <n v="0"/>
    <n v="5"/>
    <x v="36"/>
    <m/>
    <s v="Week 2"/>
    <x v="0"/>
  </r>
  <r>
    <n v="260"/>
    <x v="11"/>
    <n v="6"/>
    <x v="1"/>
    <n v="3"/>
    <n v="1"/>
    <x v="0"/>
    <x v="16"/>
    <s v="COMFORTABLE"/>
    <n v="0.1515"/>
    <n v="0.93"/>
    <n v="13.43"/>
    <x v="1"/>
    <n v="0"/>
    <n v="16"/>
    <x v="0"/>
    <m/>
    <s v="Week 2"/>
    <x v="0"/>
  </r>
  <r>
    <n v="261"/>
    <x v="11"/>
    <n v="7"/>
    <x v="1"/>
    <n v="3"/>
    <n v="1"/>
    <x v="0"/>
    <x v="14"/>
    <s v="COMFORTABLE"/>
    <n v="0.1515"/>
    <n v="0.69"/>
    <n v="13.43"/>
    <x v="1"/>
    <n v="0"/>
    <n v="54"/>
    <x v="60"/>
    <m/>
    <s v="Week 2"/>
    <x v="0"/>
  </r>
  <r>
    <n v="262"/>
    <x v="11"/>
    <n v="8"/>
    <x v="1"/>
    <n v="3"/>
    <n v="1"/>
    <x v="0"/>
    <x v="13"/>
    <s v="COMFORTABLE"/>
    <n v="0.16669999999999999"/>
    <n v="0.59"/>
    <n v="16.420000000000002"/>
    <x v="1"/>
    <n v="3"/>
    <n v="125"/>
    <x v="116"/>
    <m/>
    <s v="Week 2"/>
    <x v="0"/>
  </r>
  <r>
    <n v="263"/>
    <x v="11"/>
    <n v="9"/>
    <x v="1"/>
    <n v="3"/>
    <n v="1"/>
    <x v="0"/>
    <x v="13"/>
    <s v="COMFORTABLE"/>
    <n v="0.13639999999999999"/>
    <n v="0.59"/>
    <n v="32.840000000000003"/>
    <x v="2"/>
    <n v="3"/>
    <n v="78"/>
    <x v="117"/>
    <m/>
    <s v="Week 2"/>
    <x v="0"/>
  </r>
  <r>
    <n v="264"/>
    <x v="11"/>
    <n v="10"/>
    <x v="1"/>
    <n v="3"/>
    <n v="1"/>
    <x v="0"/>
    <x v="15"/>
    <s v="COMFORTABLE"/>
    <n v="0.18179999999999999"/>
    <n v="0.55000000000000004"/>
    <n v="22.39"/>
    <x v="0"/>
    <n v="0"/>
    <n v="39"/>
    <x v="21"/>
    <m/>
    <s v="Week 2"/>
    <x v="0"/>
  </r>
  <r>
    <n v="265"/>
    <x v="11"/>
    <n v="11"/>
    <x v="1"/>
    <n v="3"/>
    <n v="1"/>
    <x v="0"/>
    <x v="2"/>
    <s v="COMFORTABLE"/>
    <n v="0.18179999999999999"/>
    <n v="0.51"/>
    <n v="38.81"/>
    <x v="2"/>
    <n v="3"/>
    <n v="32"/>
    <x v="17"/>
    <m/>
    <s v="Week 2"/>
    <x v="0"/>
  </r>
  <r>
    <n v="266"/>
    <x v="11"/>
    <n v="12"/>
    <x v="1"/>
    <n v="3"/>
    <n v="1"/>
    <x v="0"/>
    <x v="2"/>
    <s v="COMFORTABLE"/>
    <n v="0.1515"/>
    <n v="0.47"/>
    <n v="58.209999999999994"/>
    <x v="2"/>
    <n v="3"/>
    <n v="52"/>
    <x v="97"/>
    <m/>
    <s v="Week 2"/>
    <x v="0"/>
  </r>
  <r>
    <n v="267"/>
    <x v="11"/>
    <n v="13"/>
    <x v="1"/>
    <n v="3"/>
    <n v="1"/>
    <x v="0"/>
    <x v="1"/>
    <s v="COMFORTABLE"/>
    <n v="0.19700000000000001"/>
    <n v="0.44"/>
    <n v="35.82"/>
    <x v="2"/>
    <n v="0"/>
    <n v="49"/>
    <x v="99"/>
    <m/>
    <s v="Week 2"/>
    <x v="0"/>
  </r>
  <r>
    <n v="268"/>
    <x v="11"/>
    <n v="14"/>
    <x v="1"/>
    <n v="3"/>
    <n v="1"/>
    <x v="0"/>
    <x v="2"/>
    <s v="COMFORTABLE"/>
    <n v="0.18179999999999999"/>
    <n v="0.47"/>
    <n v="32.840000000000003"/>
    <x v="2"/>
    <n v="0"/>
    <n v="44"/>
    <x v="40"/>
    <m/>
    <s v="Week 2"/>
    <x v="0"/>
  </r>
  <r>
    <n v="269"/>
    <x v="11"/>
    <n v="15"/>
    <x v="1"/>
    <n v="3"/>
    <n v="1"/>
    <x v="0"/>
    <x v="2"/>
    <s v="COMFORTABLE"/>
    <n v="0.16669999999999999"/>
    <n v="0.47"/>
    <n v="41.79"/>
    <x v="2"/>
    <n v="1"/>
    <n v="48"/>
    <x v="99"/>
    <m/>
    <s v="Week 2"/>
    <x v="0"/>
  </r>
  <r>
    <n v="270"/>
    <x v="11"/>
    <n v="16"/>
    <x v="1"/>
    <n v="3"/>
    <n v="1"/>
    <x v="0"/>
    <x v="1"/>
    <s v="COMFORTABLE"/>
    <n v="0.19700000000000001"/>
    <n v="0.44"/>
    <n v="32.840000000000003"/>
    <x v="2"/>
    <n v="5"/>
    <n v="63"/>
    <x v="118"/>
    <m/>
    <s v="Week 2"/>
    <x v="0"/>
  </r>
  <r>
    <n v="271"/>
    <x v="11"/>
    <n v="17"/>
    <x v="1"/>
    <n v="3"/>
    <n v="1"/>
    <x v="0"/>
    <x v="2"/>
    <s v="COMFORTABLE"/>
    <n v="0.18179999999999999"/>
    <n v="0.47"/>
    <n v="35.82"/>
    <x v="2"/>
    <n v="0"/>
    <n v="139"/>
    <x v="119"/>
    <m/>
    <s v="Week 2"/>
    <x v="0"/>
  </r>
  <r>
    <n v="272"/>
    <x v="11"/>
    <n v="18"/>
    <x v="1"/>
    <n v="3"/>
    <n v="1"/>
    <x v="0"/>
    <x v="2"/>
    <s v="COMFORTABLE"/>
    <n v="0.1515"/>
    <n v="0.47"/>
    <n v="52.239999999999995"/>
    <x v="2"/>
    <n v="2"/>
    <n v="135"/>
    <x v="120"/>
    <m/>
    <s v="Week 2"/>
    <x v="0"/>
  </r>
  <r>
    <n v="273"/>
    <x v="11"/>
    <n v="19"/>
    <x v="1"/>
    <n v="3"/>
    <n v="1"/>
    <x v="0"/>
    <x v="15"/>
    <s v="COMFORTABLE"/>
    <n v="0.1515"/>
    <n v="0.47"/>
    <n v="41.79"/>
    <x v="2"/>
    <n v="1"/>
    <n v="82"/>
    <x v="56"/>
    <m/>
    <s v="Week 2"/>
    <x v="0"/>
  </r>
  <r>
    <n v="274"/>
    <x v="11"/>
    <n v="20"/>
    <x v="1"/>
    <n v="3"/>
    <n v="1"/>
    <x v="0"/>
    <x v="13"/>
    <s v="COMFORTABLE"/>
    <n v="0.13639999999999999"/>
    <n v="0.5"/>
    <n v="32.840000000000003"/>
    <x v="2"/>
    <n v="2"/>
    <n v="54"/>
    <x v="10"/>
    <m/>
    <s v="Week 2"/>
    <x v="0"/>
  </r>
  <r>
    <n v="275"/>
    <x v="11"/>
    <n v="21"/>
    <x v="1"/>
    <n v="3"/>
    <n v="1"/>
    <x v="0"/>
    <x v="13"/>
    <s v="COMFORTABLE"/>
    <n v="0.13639999999999999"/>
    <n v="0.55000000000000004"/>
    <n v="32.840000000000003"/>
    <x v="2"/>
    <n v="0"/>
    <n v="57"/>
    <x v="52"/>
    <m/>
    <s v="Week 2"/>
    <x v="0"/>
  </r>
  <r>
    <n v="276"/>
    <x v="11"/>
    <n v="22"/>
    <x v="1"/>
    <n v="3"/>
    <n v="1"/>
    <x v="0"/>
    <x v="13"/>
    <s v="COMFORTABLE"/>
    <n v="0.1212"/>
    <n v="0.55000000000000004"/>
    <n v="44.78"/>
    <x v="2"/>
    <n v="1"/>
    <n v="32"/>
    <x v="63"/>
    <m/>
    <s v="Week 2"/>
    <x v="0"/>
  </r>
  <r>
    <n v="277"/>
    <x v="11"/>
    <n v="23"/>
    <x v="1"/>
    <n v="3"/>
    <n v="1"/>
    <x v="0"/>
    <x v="14"/>
    <s v="COMFORTABLE"/>
    <n v="0.1061"/>
    <n v="0.59"/>
    <n v="41.79"/>
    <x v="2"/>
    <n v="1"/>
    <n v="19"/>
    <x v="25"/>
    <m/>
    <s v="Week 2"/>
    <x v="0"/>
  </r>
  <r>
    <n v="278"/>
    <x v="12"/>
    <n v="0"/>
    <x v="1"/>
    <n v="4"/>
    <n v="1"/>
    <x v="0"/>
    <x v="14"/>
    <s v="COMFORTABLE"/>
    <n v="0.1212"/>
    <n v="0.59"/>
    <n v="28.360000000000003"/>
    <x v="0"/>
    <n v="1"/>
    <n v="6"/>
    <x v="85"/>
    <m/>
    <s v="Week 2"/>
    <x v="0"/>
  </r>
  <r>
    <n v="279"/>
    <x v="12"/>
    <n v="1"/>
    <x v="1"/>
    <n v="4"/>
    <n v="1"/>
    <x v="0"/>
    <x v="14"/>
    <s v="COMFORTABLE"/>
    <n v="0.1212"/>
    <n v="0.5"/>
    <n v="28.360000000000003"/>
    <x v="0"/>
    <n v="0"/>
    <n v="2"/>
    <x v="5"/>
    <m/>
    <s v="Week 2"/>
    <x v="0"/>
  </r>
  <r>
    <n v="280"/>
    <x v="12"/>
    <n v="2"/>
    <x v="1"/>
    <n v="4"/>
    <n v="1"/>
    <x v="0"/>
    <x v="14"/>
    <s v="COMFORTABLE"/>
    <n v="0.1212"/>
    <n v="0.5"/>
    <n v="35.82"/>
    <x v="2"/>
    <n v="0"/>
    <n v="2"/>
    <x v="5"/>
    <m/>
    <s v="Week 2"/>
    <x v="0"/>
  </r>
  <r>
    <n v="281"/>
    <x v="12"/>
    <n v="3"/>
    <x v="1"/>
    <n v="4"/>
    <n v="1"/>
    <x v="0"/>
    <x v="14"/>
    <s v="COMFORTABLE"/>
    <n v="0.1212"/>
    <n v="0.5"/>
    <n v="32.840000000000003"/>
    <x v="2"/>
    <n v="0"/>
    <n v="3"/>
    <x v="6"/>
    <m/>
    <s v="Week 2"/>
    <x v="0"/>
  </r>
  <r>
    <n v="282"/>
    <x v="12"/>
    <n v="4"/>
    <x v="1"/>
    <n v="4"/>
    <n v="1"/>
    <x v="0"/>
    <x v="14"/>
    <s v="COMFORTABLE"/>
    <n v="0.1212"/>
    <n v="0.5"/>
    <n v="25.369999999999997"/>
    <x v="0"/>
    <n v="0"/>
    <n v="4"/>
    <x v="48"/>
    <m/>
    <s v="Week 2"/>
    <x v="0"/>
  </r>
  <r>
    <n v="283"/>
    <x v="12"/>
    <n v="5"/>
    <x v="1"/>
    <n v="4"/>
    <n v="1"/>
    <x v="0"/>
    <x v="14"/>
    <s v="COMFORTABLE"/>
    <n v="0.1212"/>
    <n v="0.5"/>
    <n v="29.849999999999998"/>
    <x v="0"/>
    <n v="0"/>
    <n v="3"/>
    <x v="6"/>
    <m/>
    <s v="Week 2"/>
    <x v="0"/>
  </r>
  <r>
    <n v="284"/>
    <x v="12"/>
    <n v="6"/>
    <x v="1"/>
    <n v="4"/>
    <n v="1"/>
    <x v="0"/>
    <x v="16"/>
    <s v="COMFORTABLE"/>
    <n v="0.1515"/>
    <n v="0.54"/>
    <n v="13.43"/>
    <x v="1"/>
    <n v="0"/>
    <n v="28"/>
    <x v="20"/>
    <m/>
    <s v="Week 2"/>
    <x v="0"/>
  </r>
  <r>
    <n v="285"/>
    <x v="12"/>
    <n v="7"/>
    <x v="1"/>
    <n v="4"/>
    <n v="1"/>
    <x v="0"/>
    <x v="16"/>
    <s v="COMFORTABLE"/>
    <n v="0.1515"/>
    <n v="0.54"/>
    <n v="13.43"/>
    <x v="1"/>
    <n v="0"/>
    <n v="72"/>
    <x v="44"/>
    <m/>
    <s v="Week 2"/>
    <x v="0"/>
  </r>
  <r>
    <n v="286"/>
    <x v="12"/>
    <n v="8"/>
    <x v="1"/>
    <n v="4"/>
    <n v="1"/>
    <x v="0"/>
    <x v="14"/>
    <s v="COMFORTABLE"/>
    <n v="0.13639999999999999"/>
    <n v="0.5"/>
    <n v="19.400000000000002"/>
    <x v="1"/>
    <n v="5"/>
    <n v="197"/>
    <x v="121"/>
    <m/>
    <s v="Week 2"/>
    <x v="0"/>
  </r>
  <r>
    <n v="287"/>
    <x v="12"/>
    <n v="9"/>
    <x v="1"/>
    <n v="4"/>
    <n v="1"/>
    <x v="0"/>
    <x v="14"/>
    <s v="COMFORTABLE"/>
    <n v="0.1212"/>
    <n v="0.5"/>
    <n v="32.840000000000003"/>
    <x v="2"/>
    <n v="2"/>
    <n v="137"/>
    <x v="119"/>
    <m/>
    <s v="Week 2"/>
    <x v="0"/>
  </r>
  <r>
    <n v="288"/>
    <x v="12"/>
    <n v="10"/>
    <x v="1"/>
    <n v="4"/>
    <n v="2"/>
    <x v="1"/>
    <x v="13"/>
    <s v="COMFORTABLE"/>
    <n v="0.13639999999999999"/>
    <n v="0.5"/>
    <n v="35.82"/>
    <x v="2"/>
    <n v="2"/>
    <n v="36"/>
    <x v="103"/>
    <m/>
    <s v="Week 2"/>
    <x v="0"/>
  </r>
  <r>
    <n v="289"/>
    <x v="12"/>
    <n v="11"/>
    <x v="1"/>
    <n v="4"/>
    <n v="2"/>
    <x v="1"/>
    <x v="2"/>
    <s v="COMFORTABLE"/>
    <n v="0.16669999999999999"/>
    <n v="0.44"/>
    <n v="44.78"/>
    <x v="2"/>
    <n v="4"/>
    <n v="33"/>
    <x v="18"/>
    <m/>
    <s v="Week 2"/>
    <x v="0"/>
  </r>
  <r>
    <n v="290"/>
    <x v="12"/>
    <n v="12"/>
    <x v="1"/>
    <n v="4"/>
    <n v="1"/>
    <x v="0"/>
    <x v="2"/>
    <s v="COMFORTABLE"/>
    <n v="0.16669999999999999"/>
    <n v="0.44"/>
    <n v="41.79"/>
    <x v="2"/>
    <n v="3"/>
    <n v="49"/>
    <x v="46"/>
    <m/>
    <s v="Week 2"/>
    <x v="0"/>
  </r>
  <r>
    <n v="291"/>
    <x v="12"/>
    <n v="13"/>
    <x v="1"/>
    <n v="4"/>
    <n v="1"/>
    <x v="0"/>
    <x v="1"/>
    <s v="COMFORTABLE"/>
    <n v="0.19700000000000001"/>
    <n v="0.41"/>
    <n v="44.78"/>
    <x v="2"/>
    <n v="2"/>
    <n v="81"/>
    <x v="56"/>
    <m/>
    <s v="Week 2"/>
    <x v="0"/>
  </r>
  <r>
    <n v="292"/>
    <x v="12"/>
    <n v="14"/>
    <x v="1"/>
    <n v="4"/>
    <n v="1"/>
    <x v="0"/>
    <x v="1"/>
    <s v="COMFORTABLE"/>
    <n v="0.19700000000000001"/>
    <n v="0.41"/>
    <n v="38.81"/>
    <x v="2"/>
    <n v="3"/>
    <n v="39"/>
    <x v="51"/>
    <m/>
    <s v="Week 2"/>
    <x v="0"/>
  </r>
  <r>
    <n v="293"/>
    <x v="12"/>
    <n v="15"/>
    <x v="1"/>
    <n v="4"/>
    <n v="1"/>
    <x v="0"/>
    <x v="0"/>
    <s v="COMFORTABLE"/>
    <n v="0.21210000000000001"/>
    <n v="0.38"/>
    <n v="29.849999999999998"/>
    <x v="0"/>
    <n v="5"/>
    <n v="55"/>
    <x v="122"/>
    <m/>
    <s v="Week 2"/>
    <x v="0"/>
  </r>
  <r>
    <n v="294"/>
    <x v="12"/>
    <n v="16"/>
    <x v="1"/>
    <n v="4"/>
    <n v="1"/>
    <x v="0"/>
    <x v="0"/>
    <s v="COMFORTABLE"/>
    <n v="0.21210000000000001"/>
    <n v="0.38"/>
    <n v="35.82"/>
    <x v="2"/>
    <n v="2"/>
    <n v="76"/>
    <x v="53"/>
    <m/>
    <s v="Week 2"/>
    <x v="0"/>
  </r>
  <r>
    <n v="295"/>
    <x v="12"/>
    <n v="17"/>
    <x v="1"/>
    <n v="4"/>
    <n v="1"/>
    <x v="0"/>
    <x v="2"/>
    <s v="COMFORTABLE"/>
    <n v="0.18179999999999999"/>
    <n v="0.4"/>
    <n v="28.360000000000003"/>
    <x v="0"/>
    <n v="4"/>
    <n v="158"/>
    <x v="123"/>
    <m/>
    <s v="Week 2"/>
    <x v="0"/>
  </r>
  <r>
    <n v="296"/>
    <x v="12"/>
    <n v="18"/>
    <x v="1"/>
    <n v="4"/>
    <n v="1"/>
    <x v="0"/>
    <x v="2"/>
    <s v="COMFORTABLE"/>
    <n v="0.18179999999999999"/>
    <n v="0.4"/>
    <n v="32.840000000000003"/>
    <x v="2"/>
    <n v="3"/>
    <n v="141"/>
    <x v="124"/>
    <m/>
    <s v="Week 2"/>
    <x v="0"/>
  </r>
  <r>
    <n v="297"/>
    <x v="12"/>
    <n v="19"/>
    <x v="1"/>
    <n v="4"/>
    <n v="1"/>
    <x v="0"/>
    <x v="13"/>
    <s v="COMFORTABLE"/>
    <n v="0.1515"/>
    <n v="0.47"/>
    <n v="25.369999999999997"/>
    <x v="0"/>
    <n v="1"/>
    <n v="98"/>
    <x v="111"/>
    <m/>
    <s v="Week 2"/>
    <x v="0"/>
  </r>
  <r>
    <n v="298"/>
    <x v="12"/>
    <n v="20"/>
    <x v="1"/>
    <n v="4"/>
    <n v="1"/>
    <x v="0"/>
    <x v="13"/>
    <s v="COMFORTABLE"/>
    <n v="0.1515"/>
    <n v="0.47"/>
    <n v="22.39"/>
    <x v="0"/>
    <n v="0"/>
    <n v="64"/>
    <x v="37"/>
    <m/>
    <s v="Week 2"/>
    <x v="0"/>
  </r>
  <r>
    <n v="299"/>
    <x v="12"/>
    <n v="21"/>
    <x v="1"/>
    <n v="4"/>
    <n v="1"/>
    <x v="0"/>
    <x v="14"/>
    <s v="COMFORTABLE"/>
    <n v="0.1212"/>
    <n v="0.46"/>
    <n v="29.849999999999998"/>
    <x v="0"/>
    <n v="0"/>
    <n v="40"/>
    <x v="1"/>
    <m/>
    <s v="Week 2"/>
    <x v="0"/>
  </r>
  <r>
    <n v="300"/>
    <x v="12"/>
    <n v="22"/>
    <x v="1"/>
    <n v="4"/>
    <n v="1"/>
    <x v="0"/>
    <x v="14"/>
    <s v="COMFORTABLE"/>
    <n v="0.1212"/>
    <n v="0.46"/>
    <n v="32.840000000000003"/>
    <x v="2"/>
    <n v="0"/>
    <n v="30"/>
    <x v="33"/>
    <m/>
    <s v="Week 2"/>
    <x v="0"/>
  </r>
  <r>
    <n v="301"/>
    <x v="12"/>
    <n v="23"/>
    <x v="1"/>
    <n v="4"/>
    <n v="1"/>
    <x v="0"/>
    <x v="16"/>
    <s v="COMFORTABLE"/>
    <n v="0.13639999999999999"/>
    <n v="0.5"/>
    <n v="19.400000000000002"/>
    <x v="1"/>
    <n v="1"/>
    <n v="14"/>
    <x v="93"/>
    <m/>
    <s v="Week 2"/>
    <x v="0"/>
  </r>
  <r>
    <n v="302"/>
    <x v="13"/>
    <n v="0"/>
    <x v="1"/>
    <n v="5"/>
    <n v="1"/>
    <x v="0"/>
    <x v="16"/>
    <s v="COMFORTABLE"/>
    <n v="0.13639999999999999"/>
    <n v="0.5"/>
    <n v="19.400000000000002"/>
    <x v="1"/>
    <n v="0"/>
    <n v="14"/>
    <x v="8"/>
    <m/>
    <s v="Week 2"/>
    <x v="0"/>
  </r>
  <r>
    <n v="303"/>
    <x v="13"/>
    <n v="1"/>
    <x v="1"/>
    <n v="5"/>
    <n v="1"/>
    <x v="0"/>
    <x v="18"/>
    <s v="COLD"/>
    <n v="0.1212"/>
    <n v="0.54"/>
    <n v="16.420000000000002"/>
    <x v="1"/>
    <n v="0"/>
    <n v="5"/>
    <x v="36"/>
    <m/>
    <s v="Week 2"/>
    <x v="0"/>
  </r>
  <r>
    <n v="304"/>
    <x v="13"/>
    <n v="2"/>
    <x v="1"/>
    <n v="5"/>
    <n v="1"/>
    <x v="0"/>
    <x v="18"/>
    <s v="COLD"/>
    <n v="0.1212"/>
    <n v="0.54"/>
    <n v="13.43"/>
    <x v="1"/>
    <n v="0"/>
    <n v="1"/>
    <x v="4"/>
    <m/>
    <s v="Week 2"/>
    <x v="0"/>
  </r>
  <r>
    <n v="305"/>
    <x v="13"/>
    <n v="3"/>
    <x v="1"/>
    <n v="5"/>
    <n v="1"/>
    <x v="0"/>
    <x v="18"/>
    <s v="COLD"/>
    <n v="0.13639999999999999"/>
    <n v="0.54"/>
    <n v="10.45"/>
    <x v="1"/>
    <n v="0"/>
    <n v="1"/>
    <x v="4"/>
    <m/>
    <s v="Week 2"/>
    <x v="0"/>
  </r>
  <r>
    <n v="306"/>
    <x v="13"/>
    <n v="5"/>
    <x v="1"/>
    <n v="5"/>
    <n v="1"/>
    <x v="0"/>
    <x v="18"/>
    <s v="COLD"/>
    <n v="0.13639999999999999"/>
    <n v="0.54"/>
    <n v="8.9599999999999991"/>
    <x v="1"/>
    <n v="0"/>
    <n v="8"/>
    <x v="7"/>
    <m/>
    <s v="Week 2"/>
    <x v="0"/>
  </r>
  <r>
    <n v="307"/>
    <x v="13"/>
    <n v="6"/>
    <x v="1"/>
    <n v="5"/>
    <n v="1"/>
    <x v="0"/>
    <x v="18"/>
    <s v="COLD"/>
    <n v="0.18179999999999999"/>
    <n v="0.54"/>
    <n v="20.485098360655737"/>
    <x v="0"/>
    <n v="0"/>
    <n v="17"/>
    <x v="22"/>
    <m/>
    <s v="Week 2"/>
    <x v="0"/>
  </r>
  <r>
    <n v="308"/>
    <x v="13"/>
    <n v="7"/>
    <x v="1"/>
    <n v="5"/>
    <n v="1"/>
    <x v="0"/>
    <x v="18"/>
    <s v="COLD"/>
    <n v="0.1212"/>
    <n v="0.74"/>
    <n v="16.420000000000002"/>
    <x v="1"/>
    <n v="0"/>
    <n v="70"/>
    <x v="27"/>
    <m/>
    <s v="Week 2"/>
    <x v="0"/>
  </r>
  <r>
    <n v="309"/>
    <x v="13"/>
    <n v="8"/>
    <x v="1"/>
    <n v="5"/>
    <n v="1"/>
    <x v="0"/>
    <x v="16"/>
    <s v="COMFORTABLE"/>
    <n v="0.16669999999999999"/>
    <n v="0.68"/>
    <n v="20.485098360655737"/>
    <x v="0"/>
    <n v="2"/>
    <n v="156"/>
    <x v="125"/>
    <m/>
    <s v="Week 2"/>
    <x v="0"/>
  </r>
  <r>
    <n v="310"/>
    <x v="13"/>
    <n v="9"/>
    <x v="1"/>
    <n v="5"/>
    <n v="1"/>
    <x v="0"/>
    <x v="14"/>
    <s v="COMFORTABLE"/>
    <n v="0.1515"/>
    <n v="0.69"/>
    <n v="13.43"/>
    <x v="1"/>
    <n v="0"/>
    <n v="117"/>
    <x v="126"/>
    <m/>
    <s v="Week 2"/>
    <x v="0"/>
  </r>
  <r>
    <n v="311"/>
    <x v="13"/>
    <n v="10"/>
    <x v="1"/>
    <n v="5"/>
    <n v="1"/>
    <x v="0"/>
    <x v="15"/>
    <s v="COMFORTABLE"/>
    <n v="0.18179999999999999"/>
    <n v="0.55000000000000004"/>
    <n v="19.400000000000002"/>
    <x v="1"/>
    <n v="4"/>
    <n v="40"/>
    <x v="40"/>
    <m/>
    <s v="Week 2"/>
    <x v="0"/>
  </r>
  <r>
    <n v="312"/>
    <x v="13"/>
    <n v="11"/>
    <x v="1"/>
    <n v="5"/>
    <n v="1"/>
    <x v="0"/>
    <x v="15"/>
    <s v="COMFORTABLE"/>
    <n v="0.16669999999999999"/>
    <n v="0.51"/>
    <n v="28.360000000000003"/>
    <x v="0"/>
    <n v="6"/>
    <n v="47"/>
    <x v="26"/>
    <m/>
    <s v="Week 2"/>
    <x v="0"/>
  </r>
  <r>
    <n v="313"/>
    <x v="13"/>
    <n v="12"/>
    <x v="1"/>
    <n v="5"/>
    <n v="1"/>
    <x v="0"/>
    <x v="2"/>
    <s v="COMFORTABLE"/>
    <n v="0.19700000000000001"/>
    <n v="0.44"/>
    <n v="25.369999999999997"/>
    <x v="0"/>
    <n v="2"/>
    <n v="59"/>
    <x v="42"/>
    <m/>
    <s v="Week 2"/>
    <x v="0"/>
  </r>
  <r>
    <n v="314"/>
    <x v="13"/>
    <n v="13"/>
    <x v="1"/>
    <n v="5"/>
    <n v="1"/>
    <x v="0"/>
    <x v="1"/>
    <s v="COMFORTABLE"/>
    <n v="0.19700000000000001"/>
    <n v="0.37"/>
    <n v="38.81"/>
    <x v="2"/>
    <n v="4"/>
    <n v="73"/>
    <x v="43"/>
    <m/>
    <s v="Week 2"/>
    <x v="0"/>
  </r>
  <r>
    <n v="315"/>
    <x v="13"/>
    <n v="14"/>
    <x v="1"/>
    <n v="5"/>
    <n v="1"/>
    <x v="0"/>
    <x v="1"/>
    <s v="COMFORTABLE"/>
    <n v="0.21210000000000001"/>
    <n v="0.41"/>
    <n v="28.360000000000003"/>
    <x v="0"/>
    <n v="5"/>
    <n v="59"/>
    <x v="37"/>
    <m/>
    <s v="Week 2"/>
    <x v="0"/>
  </r>
  <r>
    <n v="316"/>
    <x v="13"/>
    <n v="15"/>
    <x v="1"/>
    <n v="5"/>
    <n v="1"/>
    <x v="0"/>
    <x v="0"/>
    <s v="COMFORTABLE"/>
    <n v="0.2424"/>
    <n v="0.38"/>
    <n v="16.420000000000002"/>
    <x v="1"/>
    <n v="9"/>
    <n v="59"/>
    <x v="118"/>
    <m/>
    <s v="Week 2"/>
    <x v="0"/>
  </r>
  <r>
    <n v="317"/>
    <x v="13"/>
    <n v="16"/>
    <x v="1"/>
    <n v="5"/>
    <n v="1"/>
    <x v="0"/>
    <x v="1"/>
    <s v="COMFORTABLE"/>
    <n v="0.2424"/>
    <n v="0.41"/>
    <n v="10.45"/>
    <x v="1"/>
    <n v="3"/>
    <n v="87"/>
    <x v="127"/>
    <m/>
    <s v="Week 2"/>
    <x v="0"/>
  </r>
  <r>
    <n v="318"/>
    <x v="13"/>
    <n v="17"/>
    <x v="1"/>
    <n v="5"/>
    <n v="1"/>
    <x v="0"/>
    <x v="1"/>
    <s v="COMFORTABLE"/>
    <n v="0.2273"/>
    <n v="0.41"/>
    <n v="16.420000000000002"/>
    <x v="1"/>
    <n v="4"/>
    <n v="155"/>
    <x v="128"/>
    <m/>
    <s v="Week 2"/>
    <x v="0"/>
  </r>
  <r>
    <n v="319"/>
    <x v="13"/>
    <n v="18"/>
    <x v="1"/>
    <n v="5"/>
    <n v="1"/>
    <x v="0"/>
    <x v="2"/>
    <s v="COMFORTABLE"/>
    <n v="0.2576"/>
    <n v="0.47"/>
    <n v="20.485098360655737"/>
    <x v="0"/>
    <n v="5"/>
    <n v="134"/>
    <x v="119"/>
    <m/>
    <s v="Week 2"/>
    <x v="0"/>
  </r>
  <r>
    <n v="320"/>
    <x v="13"/>
    <n v="19"/>
    <x v="1"/>
    <n v="5"/>
    <n v="1"/>
    <x v="0"/>
    <x v="13"/>
    <s v="COMFORTABLE"/>
    <n v="0.19700000000000001"/>
    <n v="0.59"/>
    <n v="8.9599999999999991"/>
    <x v="1"/>
    <n v="3"/>
    <n v="89"/>
    <x v="101"/>
    <m/>
    <s v="Week 2"/>
    <x v="0"/>
  </r>
  <r>
    <n v="321"/>
    <x v="13"/>
    <n v="20"/>
    <x v="1"/>
    <n v="5"/>
    <n v="1"/>
    <x v="0"/>
    <x v="15"/>
    <s v="COMFORTABLE"/>
    <n v="0.2424"/>
    <n v="0.59"/>
    <n v="20.485098360655737"/>
    <x v="0"/>
    <n v="0"/>
    <n v="68"/>
    <x v="118"/>
    <m/>
    <s v="Week 2"/>
    <x v="0"/>
  </r>
  <r>
    <n v="322"/>
    <x v="13"/>
    <n v="21"/>
    <x v="1"/>
    <n v="5"/>
    <n v="1"/>
    <x v="0"/>
    <x v="13"/>
    <s v="COMFORTABLE"/>
    <n v="0.2273"/>
    <n v="0.69"/>
    <n v="20.485098360655737"/>
    <x v="0"/>
    <n v="4"/>
    <n v="48"/>
    <x v="46"/>
    <m/>
    <s v="Week 2"/>
    <x v="0"/>
  </r>
  <r>
    <n v="323"/>
    <x v="13"/>
    <n v="22"/>
    <x v="1"/>
    <n v="5"/>
    <n v="2"/>
    <x v="1"/>
    <x v="13"/>
    <s v="COMFORTABLE"/>
    <n v="0.2273"/>
    <n v="0.69"/>
    <n v="20.485098360655737"/>
    <x v="0"/>
    <n v="2"/>
    <n v="34"/>
    <x v="9"/>
    <m/>
    <s v="Week 2"/>
    <x v="0"/>
  </r>
  <r>
    <n v="324"/>
    <x v="13"/>
    <n v="23"/>
    <x v="1"/>
    <n v="5"/>
    <n v="2"/>
    <x v="1"/>
    <x v="15"/>
    <s v="COMFORTABLE"/>
    <n v="0.2424"/>
    <n v="0.55000000000000004"/>
    <n v="20.485098360655737"/>
    <x v="0"/>
    <n v="1"/>
    <n v="26"/>
    <x v="110"/>
    <m/>
    <s v="Week 2"/>
    <x v="0"/>
  </r>
  <r>
    <n v="325"/>
    <x v="14"/>
    <n v="0"/>
    <x v="1"/>
    <n v="6"/>
    <n v="1"/>
    <x v="0"/>
    <x v="15"/>
    <s v="COMFORTABLE"/>
    <n v="0.2424"/>
    <n v="0.55000000000000004"/>
    <n v="20.485098360655737"/>
    <x v="0"/>
    <n v="3"/>
    <n v="25"/>
    <x v="20"/>
    <m/>
    <s v="Week 3"/>
    <x v="0"/>
  </r>
  <r>
    <n v="326"/>
    <x v="14"/>
    <n v="1"/>
    <x v="1"/>
    <n v="6"/>
    <n v="2"/>
    <x v="1"/>
    <x v="13"/>
    <s v="COMFORTABLE"/>
    <n v="0.19700000000000001"/>
    <n v="0.59"/>
    <n v="8.9599999999999991"/>
    <x v="1"/>
    <n v="2"/>
    <n v="18"/>
    <x v="25"/>
    <m/>
    <s v="Week 3"/>
    <x v="0"/>
  </r>
  <r>
    <n v="327"/>
    <x v="14"/>
    <n v="2"/>
    <x v="1"/>
    <n v="6"/>
    <n v="2"/>
    <x v="1"/>
    <x v="13"/>
    <s v="COMFORTABLE"/>
    <n v="0.19700000000000001"/>
    <n v="0.59"/>
    <n v="8.9599999999999991"/>
    <x v="1"/>
    <n v="0"/>
    <n v="12"/>
    <x v="47"/>
    <m/>
    <s v="Week 3"/>
    <x v="0"/>
  </r>
  <r>
    <n v="328"/>
    <x v="14"/>
    <n v="3"/>
    <x v="1"/>
    <n v="6"/>
    <n v="2"/>
    <x v="1"/>
    <x v="13"/>
    <s v="COMFORTABLE"/>
    <n v="0.2273"/>
    <n v="0.59"/>
    <n v="20.485098360655737"/>
    <x v="0"/>
    <n v="1"/>
    <n v="7"/>
    <x v="7"/>
    <m/>
    <s v="Week 3"/>
    <x v="0"/>
  </r>
  <r>
    <n v="329"/>
    <x v="14"/>
    <n v="4"/>
    <x v="1"/>
    <n v="6"/>
    <n v="2"/>
    <x v="1"/>
    <x v="13"/>
    <s v="COMFORTABLE"/>
    <n v="0.2273"/>
    <n v="0.59"/>
    <n v="20.485098360655737"/>
    <x v="0"/>
    <n v="0"/>
    <n v="5"/>
    <x v="36"/>
    <m/>
    <s v="Week 3"/>
    <x v="0"/>
  </r>
  <r>
    <n v="330"/>
    <x v="14"/>
    <n v="5"/>
    <x v="1"/>
    <n v="6"/>
    <n v="1"/>
    <x v="0"/>
    <x v="13"/>
    <s v="COMFORTABLE"/>
    <n v="0.2273"/>
    <n v="0.59"/>
    <n v="20.485098360655737"/>
    <x v="0"/>
    <n v="0"/>
    <n v="1"/>
    <x v="4"/>
    <m/>
    <s v="Week 3"/>
    <x v="0"/>
  </r>
  <r>
    <n v="331"/>
    <x v="14"/>
    <n v="6"/>
    <x v="1"/>
    <n v="6"/>
    <n v="1"/>
    <x v="0"/>
    <x v="14"/>
    <s v="COMFORTABLE"/>
    <n v="0.16669999999999999"/>
    <n v="0.63"/>
    <n v="10.45"/>
    <x v="1"/>
    <n v="1"/>
    <n v="2"/>
    <x v="6"/>
    <m/>
    <s v="Week 3"/>
    <x v="0"/>
  </r>
  <r>
    <n v="332"/>
    <x v="14"/>
    <n v="7"/>
    <x v="1"/>
    <n v="6"/>
    <n v="1"/>
    <x v="0"/>
    <x v="14"/>
    <s v="COMFORTABLE"/>
    <n v="0.21210000000000001"/>
    <n v="0.63"/>
    <n v="20.485098360655737"/>
    <x v="0"/>
    <n v="1"/>
    <n v="9"/>
    <x v="98"/>
    <m/>
    <s v="Week 3"/>
    <x v="0"/>
  </r>
  <r>
    <n v="333"/>
    <x v="14"/>
    <n v="8"/>
    <x v="1"/>
    <n v="6"/>
    <n v="1"/>
    <x v="0"/>
    <x v="14"/>
    <s v="COMFORTABLE"/>
    <n v="0.1515"/>
    <n v="0.63"/>
    <n v="13.43"/>
    <x v="1"/>
    <n v="1"/>
    <n v="22"/>
    <x v="84"/>
    <m/>
    <s v="Week 3"/>
    <x v="0"/>
  </r>
  <r>
    <n v="334"/>
    <x v="14"/>
    <n v="9"/>
    <x v="1"/>
    <n v="6"/>
    <n v="1"/>
    <x v="0"/>
    <x v="13"/>
    <s v="COMFORTABLE"/>
    <n v="0.18179999999999999"/>
    <n v="0.64"/>
    <n v="13.43"/>
    <x v="1"/>
    <n v="2"/>
    <n v="31"/>
    <x v="63"/>
    <m/>
    <s v="Week 3"/>
    <x v="0"/>
  </r>
  <r>
    <n v="335"/>
    <x v="14"/>
    <n v="10"/>
    <x v="1"/>
    <n v="6"/>
    <n v="1"/>
    <x v="0"/>
    <x v="15"/>
    <s v="COMFORTABLE"/>
    <n v="0.19700000000000001"/>
    <n v="0.59"/>
    <n v="16.420000000000002"/>
    <x v="1"/>
    <n v="2"/>
    <n v="57"/>
    <x v="29"/>
    <m/>
    <s v="Week 3"/>
    <x v="0"/>
  </r>
  <r>
    <n v="336"/>
    <x v="14"/>
    <n v="11"/>
    <x v="1"/>
    <n v="6"/>
    <n v="1"/>
    <x v="0"/>
    <x v="2"/>
    <s v="COMFORTABLE"/>
    <n v="0.19700000000000001"/>
    <n v="0.55000000000000004"/>
    <n v="22.39"/>
    <x v="0"/>
    <n v="18"/>
    <n v="54"/>
    <x v="44"/>
    <m/>
    <s v="Week 3"/>
    <x v="0"/>
  </r>
  <r>
    <n v="337"/>
    <x v="14"/>
    <n v="12"/>
    <x v="1"/>
    <n v="6"/>
    <n v="1"/>
    <x v="0"/>
    <x v="0"/>
    <s v="COMFORTABLE"/>
    <n v="0.2273"/>
    <n v="0.48"/>
    <n v="22.39"/>
    <x v="0"/>
    <n v="15"/>
    <n v="74"/>
    <x v="70"/>
    <m/>
    <s v="Week 3"/>
    <x v="0"/>
  </r>
  <r>
    <n v="338"/>
    <x v="14"/>
    <n v="13"/>
    <x v="1"/>
    <n v="6"/>
    <n v="1"/>
    <x v="0"/>
    <x v="17"/>
    <s v="WARM"/>
    <n v="0.2576"/>
    <n v="0.38"/>
    <n v="29.849999999999998"/>
    <x v="0"/>
    <n v="21"/>
    <n v="80"/>
    <x v="129"/>
    <m/>
    <s v="Week 3"/>
    <x v="0"/>
  </r>
  <r>
    <n v="339"/>
    <x v="14"/>
    <n v="14"/>
    <x v="1"/>
    <n v="6"/>
    <n v="1"/>
    <x v="0"/>
    <x v="11"/>
    <s v="WARM"/>
    <n v="0.28789999999999999"/>
    <n v="0.39"/>
    <n v="28.360000000000003"/>
    <x v="0"/>
    <n v="26"/>
    <n v="92"/>
    <x v="130"/>
    <m/>
    <s v="Week 3"/>
    <x v="0"/>
  </r>
  <r>
    <n v="340"/>
    <x v="14"/>
    <n v="15"/>
    <x v="1"/>
    <n v="6"/>
    <n v="2"/>
    <x v="1"/>
    <x v="3"/>
    <s v="WARM"/>
    <n v="0.31819999999999998"/>
    <n v="0.36"/>
    <n v="19.400000000000002"/>
    <x v="1"/>
    <n v="21"/>
    <n v="108"/>
    <x v="131"/>
    <m/>
    <s v="Week 3"/>
    <x v="0"/>
  </r>
  <r>
    <n v="341"/>
    <x v="14"/>
    <n v="16"/>
    <x v="1"/>
    <n v="6"/>
    <n v="2"/>
    <x v="1"/>
    <x v="10"/>
    <s v="WARM"/>
    <n v="0.33329999999999999"/>
    <n v="0.34"/>
    <n v="19.400000000000002"/>
    <x v="1"/>
    <n v="33"/>
    <n v="95"/>
    <x v="116"/>
    <m/>
    <s v="Week 3"/>
    <x v="0"/>
  </r>
  <r>
    <n v="342"/>
    <x v="14"/>
    <n v="17"/>
    <x v="1"/>
    <n v="6"/>
    <n v="2"/>
    <x v="1"/>
    <x v="3"/>
    <s v="WARM"/>
    <n v="0.30299999999999999"/>
    <n v="0.36"/>
    <n v="28.360000000000003"/>
    <x v="0"/>
    <n v="29"/>
    <n v="54"/>
    <x v="56"/>
    <m/>
    <s v="Week 3"/>
    <x v="0"/>
  </r>
  <r>
    <n v="343"/>
    <x v="14"/>
    <n v="18"/>
    <x v="1"/>
    <n v="6"/>
    <n v="2"/>
    <x v="1"/>
    <x v="11"/>
    <s v="WARM"/>
    <n v="0.28789999999999999"/>
    <n v="0.45"/>
    <n v="25.369999999999997"/>
    <x v="0"/>
    <n v="15"/>
    <n v="69"/>
    <x v="11"/>
    <m/>
    <s v="Week 3"/>
    <x v="0"/>
  </r>
  <r>
    <n v="344"/>
    <x v="14"/>
    <n v="19"/>
    <x v="1"/>
    <n v="6"/>
    <n v="2"/>
    <x v="1"/>
    <x v="3"/>
    <s v="WARM"/>
    <n v="0.30299999999999999"/>
    <n v="0.39"/>
    <n v="25.369999999999997"/>
    <x v="0"/>
    <n v="14"/>
    <n v="60"/>
    <x v="30"/>
    <m/>
    <s v="Week 3"/>
    <x v="0"/>
  </r>
  <r>
    <n v="345"/>
    <x v="14"/>
    <n v="20"/>
    <x v="1"/>
    <n v="6"/>
    <n v="2"/>
    <x v="1"/>
    <x v="3"/>
    <s v="WARM"/>
    <n v="0.30299999999999999"/>
    <n v="0.39"/>
    <n v="25.369999999999997"/>
    <x v="0"/>
    <n v="6"/>
    <n v="35"/>
    <x v="102"/>
    <m/>
    <s v="Week 3"/>
    <x v="0"/>
  </r>
  <r>
    <n v="346"/>
    <x v="14"/>
    <n v="21"/>
    <x v="1"/>
    <n v="6"/>
    <n v="2"/>
    <x v="1"/>
    <x v="3"/>
    <s v="WARM"/>
    <n v="0.30299999999999999"/>
    <n v="0.39"/>
    <n v="22.39"/>
    <x v="0"/>
    <n v="6"/>
    <n v="51"/>
    <x v="52"/>
    <m/>
    <s v="Week 3"/>
    <x v="0"/>
  </r>
  <r>
    <n v="347"/>
    <x v="14"/>
    <n v="22"/>
    <x v="1"/>
    <n v="6"/>
    <n v="2"/>
    <x v="1"/>
    <x v="11"/>
    <s v="WARM"/>
    <n v="0.31819999999999998"/>
    <n v="0.42"/>
    <n v="10.45"/>
    <x v="1"/>
    <n v="0"/>
    <n v="26"/>
    <x v="132"/>
    <m/>
    <s v="Week 3"/>
    <x v="0"/>
  </r>
  <r>
    <n v="348"/>
    <x v="14"/>
    <n v="23"/>
    <x v="1"/>
    <n v="6"/>
    <n v="1"/>
    <x v="0"/>
    <x v="11"/>
    <s v="WARM"/>
    <n v="0.28789999999999999"/>
    <n v="0.45"/>
    <n v="28.360000000000003"/>
    <x v="0"/>
    <n v="5"/>
    <n v="39"/>
    <x v="40"/>
    <m/>
    <s v="Week 3"/>
    <x v="0"/>
  </r>
  <r>
    <n v="349"/>
    <x v="15"/>
    <n v="0"/>
    <x v="1"/>
    <n v="7"/>
    <n v="1"/>
    <x v="0"/>
    <x v="12"/>
    <s v="WARM"/>
    <n v="0.30299999999999999"/>
    <n v="0.56000000000000005"/>
    <n v="20.485098360655737"/>
    <x v="0"/>
    <n v="6"/>
    <n v="33"/>
    <x v="21"/>
    <m/>
    <s v="Week 3"/>
    <x v="0"/>
  </r>
  <r>
    <n v="350"/>
    <x v="15"/>
    <n v="1"/>
    <x v="1"/>
    <n v="7"/>
    <n v="1"/>
    <x v="0"/>
    <x v="12"/>
    <s v="WARM"/>
    <n v="0.2727"/>
    <n v="0.56000000000000005"/>
    <n v="13.43"/>
    <x v="1"/>
    <n v="4"/>
    <n v="19"/>
    <x v="84"/>
    <m/>
    <s v="Week 3"/>
    <x v="0"/>
  </r>
  <r>
    <n v="351"/>
    <x v="15"/>
    <n v="2"/>
    <x v="1"/>
    <n v="7"/>
    <n v="1"/>
    <x v="0"/>
    <x v="12"/>
    <s v="WARM"/>
    <n v="0.28789999999999999"/>
    <n v="0.56000000000000005"/>
    <n v="8.9599999999999991"/>
    <x v="1"/>
    <n v="3"/>
    <n v="13"/>
    <x v="0"/>
    <m/>
    <s v="Week 3"/>
    <x v="0"/>
  </r>
  <r>
    <n v="352"/>
    <x v="15"/>
    <n v="3"/>
    <x v="1"/>
    <n v="7"/>
    <n v="1"/>
    <x v="0"/>
    <x v="1"/>
    <s v="COMFORTABLE"/>
    <n v="0.2727"/>
    <n v="0.69"/>
    <n v="20.485098360655737"/>
    <x v="0"/>
    <n v="9"/>
    <n v="6"/>
    <x v="93"/>
    <m/>
    <s v="Week 3"/>
    <x v="0"/>
  </r>
  <r>
    <n v="353"/>
    <x v="15"/>
    <n v="4"/>
    <x v="1"/>
    <n v="7"/>
    <n v="1"/>
    <x v="0"/>
    <x v="12"/>
    <s v="WARM"/>
    <n v="0.2576"/>
    <n v="0.56000000000000005"/>
    <n v="16.420000000000002"/>
    <x v="1"/>
    <n v="0"/>
    <n v="1"/>
    <x v="4"/>
    <m/>
    <s v="Week 3"/>
    <x v="0"/>
  </r>
  <r>
    <n v="354"/>
    <x v="15"/>
    <n v="5"/>
    <x v="1"/>
    <n v="7"/>
    <n v="2"/>
    <x v="1"/>
    <x v="12"/>
    <s v="WARM"/>
    <n v="0.2576"/>
    <n v="0.56000000000000005"/>
    <n v="16.420000000000002"/>
    <x v="1"/>
    <n v="1"/>
    <n v="1"/>
    <x v="5"/>
    <m/>
    <s v="Week 3"/>
    <x v="0"/>
  </r>
  <r>
    <n v="355"/>
    <x v="15"/>
    <n v="6"/>
    <x v="1"/>
    <n v="7"/>
    <n v="2"/>
    <x v="1"/>
    <x v="12"/>
    <s v="WARM"/>
    <n v="0.2576"/>
    <n v="0.56000000000000005"/>
    <n v="16.420000000000002"/>
    <x v="1"/>
    <n v="0"/>
    <n v="1"/>
    <x v="4"/>
    <m/>
    <s v="Week 3"/>
    <x v="0"/>
  </r>
  <r>
    <n v="356"/>
    <x v="15"/>
    <n v="7"/>
    <x v="1"/>
    <n v="7"/>
    <n v="2"/>
    <x v="1"/>
    <x v="0"/>
    <s v="COMFORTABLE"/>
    <n v="0.21210000000000001"/>
    <n v="0.56000000000000005"/>
    <n v="29.849999999999998"/>
    <x v="0"/>
    <n v="0"/>
    <n v="3"/>
    <x v="6"/>
    <m/>
    <s v="Week 3"/>
    <x v="0"/>
  </r>
  <r>
    <n v="357"/>
    <x v="15"/>
    <n v="8"/>
    <x v="1"/>
    <n v="7"/>
    <n v="1"/>
    <x v="0"/>
    <x v="1"/>
    <s v="COMFORTABLE"/>
    <n v="0.21210000000000001"/>
    <n v="0.55000000000000004"/>
    <n v="28.360000000000003"/>
    <x v="0"/>
    <n v="0"/>
    <n v="18"/>
    <x v="109"/>
    <m/>
    <s v="Week 3"/>
    <x v="0"/>
  </r>
  <r>
    <n v="358"/>
    <x v="15"/>
    <n v="9"/>
    <x v="1"/>
    <n v="7"/>
    <n v="1"/>
    <x v="0"/>
    <x v="1"/>
    <s v="COMFORTABLE"/>
    <n v="0.21210000000000001"/>
    <n v="0.51"/>
    <n v="25.369999999999997"/>
    <x v="0"/>
    <n v="3"/>
    <n v="29"/>
    <x v="2"/>
    <m/>
    <s v="Week 3"/>
    <x v="0"/>
  </r>
  <r>
    <n v="359"/>
    <x v="15"/>
    <n v="10"/>
    <x v="1"/>
    <n v="7"/>
    <n v="1"/>
    <x v="0"/>
    <x v="1"/>
    <s v="COMFORTABLE"/>
    <n v="0.21210000000000001"/>
    <n v="0.51"/>
    <n v="28.360000000000003"/>
    <x v="0"/>
    <n v="8"/>
    <n v="71"/>
    <x v="67"/>
    <m/>
    <s v="Week 3"/>
    <x v="0"/>
  </r>
  <r>
    <n v="360"/>
    <x v="15"/>
    <n v="11"/>
    <x v="1"/>
    <n v="7"/>
    <n v="1"/>
    <x v="0"/>
    <x v="0"/>
    <s v="COMFORTABLE"/>
    <n v="0.2273"/>
    <n v="0.44"/>
    <n v="25.369999999999997"/>
    <x v="0"/>
    <n v="23"/>
    <n v="70"/>
    <x v="15"/>
    <m/>
    <s v="Week 3"/>
    <x v="0"/>
  </r>
  <r>
    <n v="361"/>
    <x v="15"/>
    <n v="12"/>
    <x v="1"/>
    <n v="7"/>
    <n v="1"/>
    <x v="0"/>
    <x v="0"/>
    <s v="COMFORTABLE"/>
    <n v="0.21210000000000001"/>
    <n v="0.41"/>
    <n v="28.360000000000003"/>
    <x v="0"/>
    <n v="29"/>
    <n v="75"/>
    <x v="133"/>
    <m/>
    <s v="Week 3"/>
    <x v="0"/>
  </r>
  <r>
    <n v="362"/>
    <x v="15"/>
    <n v="13"/>
    <x v="1"/>
    <n v="7"/>
    <n v="1"/>
    <x v="0"/>
    <x v="12"/>
    <s v="WARM"/>
    <n v="0.2273"/>
    <n v="0.35"/>
    <n v="29.849999999999998"/>
    <x v="0"/>
    <n v="23"/>
    <n v="95"/>
    <x v="130"/>
    <m/>
    <s v="Week 3"/>
    <x v="0"/>
  </r>
  <r>
    <n v="363"/>
    <x v="15"/>
    <n v="14"/>
    <x v="1"/>
    <n v="7"/>
    <n v="1"/>
    <x v="0"/>
    <x v="17"/>
    <s v="WARM"/>
    <n v="0.2727"/>
    <n v="0.36"/>
    <n v="25.369999999999997"/>
    <x v="0"/>
    <n v="22"/>
    <n v="69"/>
    <x v="134"/>
    <m/>
    <s v="Week 3"/>
    <x v="0"/>
  </r>
  <r>
    <n v="364"/>
    <x v="15"/>
    <n v="15"/>
    <x v="1"/>
    <n v="7"/>
    <n v="1"/>
    <x v="0"/>
    <x v="12"/>
    <s v="WARM"/>
    <n v="0.2424"/>
    <n v="0.38"/>
    <n v="25.369999999999997"/>
    <x v="0"/>
    <n v="35"/>
    <n v="78"/>
    <x v="135"/>
    <m/>
    <s v="Week 3"/>
    <x v="0"/>
  </r>
  <r>
    <n v="365"/>
    <x v="15"/>
    <n v="16"/>
    <x v="1"/>
    <n v="7"/>
    <n v="1"/>
    <x v="0"/>
    <x v="0"/>
    <s v="COMFORTABLE"/>
    <n v="0.2273"/>
    <n v="0.38"/>
    <n v="22.39"/>
    <x v="0"/>
    <n v="22"/>
    <n v="77"/>
    <x v="111"/>
    <m/>
    <s v="Week 3"/>
    <x v="0"/>
  </r>
  <r>
    <n v="366"/>
    <x v="15"/>
    <n v="17"/>
    <x v="1"/>
    <n v="7"/>
    <n v="1"/>
    <x v="0"/>
    <x v="1"/>
    <s v="COMFORTABLE"/>
    <n v="0.21210000000000001"/>
    <n v="0.37"/>
    <n v="25.369999999999997"/>
    <x v="0"/>
    <n v="23"/>
    <n v="82"/>
    <x v="136"/>
    <m/>
    <s v="Week 3"/>
    <x v="0"/>
  </r>
  <r>
    <n v="367"/>
    <x v="15"/>
    <n v="18"/>
    <x v="1"/>
    <n v="7"/>
    <n v="1"/>
    <x v="0"/>
    <x v="2"/>
    <s v="COMFORTABLE"/>
    <n v="0.21210000000000001"/>
    <n v="0.4"/>
    <n v="16.420000000000002"/>
    <x v="1"/>
    <n v="11"/>
    <n v="56"/>
    <x v="16"/>
    <m/>
    <s v="Week 3"/>
    <x v="0"/>
  </r>
  <r>
    <n v="368"/>
    <x v="15"/>
    <n v="19"/>
    <x v="1"/>
    <n v="7"/>
    <n v="1"/>
    <x v="0"/>
    <x v="15"/>
    <s v="COMFORTABLE"/>
    <n v="0.19700000000000001"/>
    <n v="0.47"/>
    <n v="13.43"/>
    <x v="1"/>
    <n v="14"/>
    <n v="47"/>
    <x v="42"/>
    <m/>
    <s v="Week 3"/>
    <x v="0"/>
  </r>
  <r>
    <n v="369"/>
    <x v="15"/>
    <n v="20"/>
    <x v="1"/>
    <n v="7"/>
    <n v="1"/>
    <x v="0"/>
    <x v="15"/>
    <s v="COMFORTABLE"/>
    <n v="0.19700000000000001"/>
    <n v="0.47"/>
    <n v="16.420000000000002"/>
    <x v="1"/>
    <n v="7"/>
    <n v="50"/>
    <x v="52"/>
    <m/>
    <s v="Week 3"/>
    <x v="0"/>
  </r>
  <r>
    <n v="370"/>
    <x v="15"/>
    <n v="21"/>
    <x v="1"/>
    <n v="7"/>
    <n v="1"/>
    <x v="0"/>
    <x v="15"/>
    <s v="COMFORTABLE"/>
    <n v="0.19700000000000001"/>
    <n v="0.51"/>
    <n v="16.420000000000002"/>
    <x v="1"/>
    <n v="6"/>
    <n v="22"/>
    <x v="20"/>
    <m/>
    <s v="Week 3"/>
    <x v="0"/>
  </r>
  <r>
    <n v="371"/>
    <x v="15"/>
    <n v="22"/>
    <x v="1"/>
    <n v="7"/>
    <n v="2"/>
    <x v="1"/>
    <x v="2"/>
    <s v="COMFORTABLE"/>
    <n v="0.21210000000000001"/>
    <n v="0.49"/>
    <n v="13.43"/>
    <x v="1"/>
    <n v="2"/>
    <n v="19"/>
    <x v="137"/>
    <m/>
    <s v="Week 3"/>
    <x v="0"/>
  </r>
  <r>
    <n v="372"/>
    <x v="15"/>
    <n v="23"/>
    <x v="1"/>
    <n v="7"/>
    <n v="2"/>
    <x v="1"/>
    <x v="2"/>
    <s v="COMFORTABLE"/>
    <n v="0.2273"/>
    <n v="0.4"/>
    <n v="10.45"/>
    <x v="1"/>
    <n v="0"/>
    <n v="18"/>
    <x v="109"/>
    <m/>
    <s v="Week 3"/>
    <x v="0"/>
  </r>
  <r>
    <n v="373"/>
    <x v="16"/>
    <n v="0"/>
    <x v="1"/>
    <n v="1"/>
    <n v="2"/>
    <x v="1"/>
    <x v="2"/>
    <s v="COMFORTABLE"/>
    <n v="0.19700000000000001"/>
    <n v="0.47"/>
    <n v="22.39"/>
    <x v="0"/>
    <n v="1"/>
    <n v="16"/>
    <x v="22"/>
    <m/>
    <s v="Week 3"/>
    <x v="0"/>
  </r>
  <r>
    <n v="374"/>
    <x v="16"/>
    <n v="1"/>
    <x v="1"/>
    <n v="1"/>
    <n v="2"/>
    <x v="1"/>
    <x v="2"/>
    <s v="COMFORTABLE"/>
    <n v="0.19700000000000001"/>
    <n v="0.44"/>
    <n v="19.400000000000002"/>
    <x v="1"/>
    <n v="1"/>
    <n v="15"/>
    <x v="0"/>
    <m/>
    <s v="Week 3"/>
    <x v="0"/>
  </r>
  <r>
    <n v="375"/>
    <x v="16"/>
    <n v="2"/>
    <x v="1"/>
    <n v="1"/>
    <n v="2"/>
    <x v="1"/>
    <x v="15"/>
    <s v="COMFORTABLE"/>
    <n v="0.16669999999999999"/>
    <n v="0.43"/>
    <n v="25.369999999999997"/>
    <x v="0"/>
    <n v="0"/>
    <n v="8"/>
    <x v="7"/>
    <m/>
    <s v="Week 3"/>
    <x v="0"/>
  </r>
  <r>
    <n v="376"/>
    <x v="16"/>
    <n v="3"/>
    <x v="1"/>
    <n v="1"/>
    <n v="2"/>
    <x v="1"/>
    <x v="15"/>
    <s v="COMFORTABLE"/>
    <n v="0.18179999999999999"/>
    <n v="0.43"/>
    <n v="19.400000000000002"/>
    <x v="1"/>
    <n v="0"/>
    <n v="2"/>
    <x v="5"/>
    <m/>
    <s v="Week 3"/>
    <x v="0"/>
  </r>
  <r>
    <n v="377"/>
    <x v="16"/>
    <n v="4"/>
    <x v="1"/>
    <n v="1"/>
    <n v="2"/>
    <x v="1"/>
    <x v="15"/>
    <s v="COMFORTABLE"/>
    <n v="0.19700000000000001"/>
    <n v="0.43"/>
    <n v="13.43"/>
    <x v="1"/>
    <n v="1"/>
    <n v="2"/>
    <x v="6"/>
    <m/>
    <s v="Week 3"/>
    <x v="0"/>
  </r>
  <r>
    <n v="378"/>
    <x v="16"/>
    <n v="5"/>
    <x v="1"/>
    <n v="1"/>
    <n v="2"/>
    <x v="1"/>
    <x v="15"/>
    <s v="COMFORTABLE"/>
    <n v="0.19700000000000001"/>
    <n v="0.43"/>
    <n v="16.420000000000002"/>
    <x v="1"/>
    <n v="0"/>
    <n v="1"/>
    <x v="4"/>
    <m/>
    <s v="Week 3"/>
    <x v="0"/>
  </r>
  <r>
    <n v="379"/>
    <x v="16"/>
    <n v="6"/>
    <x v="1"/>
    <n v="1"/>
    <n v="2"/>
    <x v="1"/>
    <x v="15"/>
    <s v="COMFORTABLE"/>
    <n v="0.18179999999999999"/>
    <n v="0.43"/>
    <n v="19.400000000000002"/>
    <x v="1"/>
    <n v="0"/>
    <n v="5"/>
    <x v="36"/>
    <m/>
    <s v="Week 3"/>
    <x v="0"/>
  </r>
  <r>
    <n v="380"/>
    <x v="16"/>
    <n v="7"/>
    <x v="1"/>
    <n v="1"/>
    <n v="2"/>
    <x v="1"/>
    <x v="13"/>
    <s v="COMFORTABLE"/>
    <n v="0.18179999999999999"/>
    <n v="0.5"/>
    <n v="13.43"/>
    <x v="1"/>
    <n v="4"/>
    <n v="9"/>
    <x v="3"/>
    <m/>
    <s v="Week 3"/>
    <x v="0"/>
  </r>
  <r>
    <n v="381"/>
    <x v="16"/>
    <n v="8"/>
    <x v="1"/>
    <n v="1"/>
    <n v="2"/>
    <x v="1"/>
    <x v="13"/>
    <s v="COMFORTABLE"/>
    <n v="0.1515"/>
    <n v="0.47"/>
    <n v="22.39"/>
    <x v="0"/>
    <n v="3"/>
    <n v="30"/>
    <x v="63"/>
    <m/>
    <s v="Week 3"/>
    <x v="0"/>
  </r>
  <r>
    <n v="382"/>
    <x v="16"/>
    <n v="9"/>
    <x v="1"/>
    <n v="1"/>
    <n v="2"/>
    <x v="1"/>
    <x v="13"/>
    <s v="COMFORTABLE"/>
    <n v="0.1515"/>
    <n v="0.47"/>
    <n v="22.39"/>
    <x v="0"/>
    <n v="8"/>
    <n v="39"/>
    <x v="105"/>
    <m/>
    <s v="Week 3"/>
    <x v="0"/>
  </r>
  <r>
    <n v="383"/>
    <x v="16"/>
    <n v="10"/>
    <x v="1"/>
    <n v="1"/>
    <n v="2"/>
    <x v="1"/>
    <x v="13"/>
    <s v="COMFORTABLE"/>
    <n v="0.1515"/>
    <n v="0.5"/>
    <n v="25.369999999999997"/>
    <x v="0"/>
    <n v="7"/>
    <n v="50"/>
    <x v="52"/>
    <m/>
    <s v="Week 3"/>
    <x v="0"/>
  </r>
  <r>
    <n v="384"/>
    <x v="16"/>
    <n v="11"/>
    <x v="1"/>
    <n v="1"/>
    <n v="2"/>
    <x v="1"/>
    <x v="13"/>
    <s v="COMFORTABLE"/>
    <n v="0.1515"/>
    <n v="0.55000000000000004"/>
    <n v="19.400000000000002"/>
    <x v="1"/>
    <n v="9"/>
    <n v="55"/>
    <x v="37"/>
    <m/>
    <s v="Week 3"/>
    <x v="0"/>
  </r>
  <r>
    <n v="385"/>
    <x v="16"/>
    <n v="12"/>
    <x v="1"/>
    <n v="1"/>
    <n v="2"/>
    <x v="1"/>
    <x v="15"/>
    <s v="COMFORTABLE"/>
    <n v="0.19700000000000001"/>
    <n v="0.47"/>
    <n v="13.43"/>
    <x v="1"/>
    <n v="10"/>
    <n v="70"/>
    <x v="138"/>
    <m/>
    <s v="Week 3"/>
    <x v="0"/>
  </r>
  <r>
    <n v="386"/>
    <x v="16"/>
    <n v="13"/>
    <x v="1"/>
    <n v="1"/>
    <n v="2"/>
    <x v="1"/>
    <x v="15"/>
    <s v="COMFORTABLE"/>
    <n v="0.19700000000000001"/>
    <n v="0.47"/>
    <n v="13.43"/>
    <x v="1"/>
    <n v="13"/>
    <n v="80"/>
    <x v="15"/>
    <m/>
    <s v="Week 3"/>
    <x v="0"/>
  </r>
  <r>
    <n v="387"/>
    <x v="16"/>
    <n v="14"/>
    <x v="1"/>
    <n v="1"/>
    <n v="2"/>
    <x v="1"/>
    <x v="15"/>
    <s v="COMFORTABLE"/>
    <n v="0.21210000000000001"/>
    <n v="0.43"/>
    <n v="10.45"/>
    <x v="1"/>
    <n v="12"/>
    <n v="74"/>
    <x v="80"/>
    <m/>
    <s v="Week 3"/>
    <x v="0"/>
  </r>
  <r>
    <n v="388"/>
    <x v="16"/>
    <n v="15"/>
    <x v="1"/>
    <n v="1"/>
    <n v="2"/>
    <x v="1"/>
    <x v="2"/>
    <s v="COMFORTABLE"/>
    <n v="0.21210000000000001"/>
    <n v="0.47"/>
    <n v="16.420000000000002"/>
    <x v="1"/>
    <n v="21"/>
    <n v="72"/>
    <x v="15"/>
    <m/>
    <s v="Week 3"/>
    <x v="0"/>
  </r>
  <r>
    <n v="389"/>
    <x v="16"/>
    <n v="16"/>
    <x v="1"/>
    <n v="1"/>
    <n v="2"/>
    <x v="1"/>
    <x v="2"/>
    <s v="COMFORTABLE"/>
    <n v="0.21210000000000001"/>
    <n v="0.47"/>
    <n v="16.420000000000002"/>
    <x v="1"/>
    <n v="6"/>
    <n v="76"/>
    <x v="100"/>
    <m/>
    <s v="Week 3"/>
    <x v="0"/>
  </r>
  <r>
    <n v="390"/>
    <x v="16"/>
    <n v="17"/>
    <x v="1"/>
    <n v="1"/>
    <n v="1"/>
    <x v="0"/>
    <x v="2"/>
    <s v="COMFORTABLE"/>
    <n v="0.19700000000000001"/>
    <n v="0.51"/>
    <n v="19.400000000000002"/>
    <x v="1"/>
    <n v="4"/>
    <n v="67"/>
    <x v="68"/>
    <m/>
    <s v="Week 3"/>
    <x v="0"/>
  </r>
  <r>
    <n v="391"/>
    <x v="16"/>
    <n v="18"/>
    <x v="1"/>
    <n v="1"/>
    <n v="2"/>
    <x v="1"/>
    <x v="15"/>
    <s v="COMFORTABLE"/>
    <n v="0.16669999999999999"/>
    <n v="0.55000000000000004"/>
    <n v="25.369999999999997"/>
    <x v="0"/>
    <n v="7"/>
    <n v="85"/>
    <x v="101"/>
    <m/>
    <s v="Week 3"/>
    <x v="0"/>
  </r>
  <r>
    <n v="392"/>
    <x v="16"/>
    <n v="19"/>
    <x v="1"/>
    <n v="1"/>
    <n v="3"/>
    <x v="2"/>
    <x v="15"/>
    <s v="COMFORTABLE"/>
    <n v="0.18179999999999999"/>
    <n v="0.59"/>
    <n v="19.400000000000002"/>
    <x v="1"/>
    <n v="2"/>
    <n v="58"/>
    <x v="122"/>
    <m/>
    <s v="Week 3"/>
    <x v="0"/>
  </r>
  <r>
    <n v="393"/>
    <x v="16"/>
    <n v="20"/>
    <x v="1"/>
    <n v="1"/>
    <n v="3"/>
    <x v="2"/>
    <x v="13"/>
    <s v="COMFORTABLE"/>
    <n v="0.1515"/>
    <n v="0.8"/>
    <n v="19.400000000000002"/>
    <x v="1"/>
    <n v="4"/>
    <n v="29"/>
    <x v="63"/>
    <m/>
    <s v="Week 3"/>
    <x v="0"/>
  </r>
  <r>
    <n v="394"/>
    <x v="16"/>
    <n v="21"/>
    <x v="1"/>
    <n v="1"/>
    <n v="3"/>
    <x v="2"/>
    <x v="13"/>
    <s v="COMFORTABLE"/>
    <n v="0.1515"/>
    <n v="0.8"/>
    <n v="19.400000000000002"/>
    <x v="1"/>
    <n v="3"/>
    <n v="24"/>
    <x v="110"/>
    <m/>
    <s v="Week 3"/>
    <x v="0"/>
  </r>
  <r>
    <n v="395"/>
    <x v="16"/>
    <n v="22"/>
    <x v="1"/>
    <n v="1"/>
    <n v="3"/>
    <x v="2"/>
    <x v="14"/>
    <s v="COMFORTABLE"/>
    <n v="0.1212"/>
    <n v="0.93"/>
    <n v="25.369999999999997"/>
    <x v="0"/>
    <n v="0"/>
    <n v="13"/>
    <x v="3"/>
    <m/>
    <s v="Week 3"/>
    <x v="0"/>
  </r>
  <r>
    <n v="396"/>
    <x v="16"/>
    <n v="23"/>
    <x v="1"/>
    <n v="1"/>
    <n v="3"/>
    <x v="2"/>
    <x v="13"/>
    <s v="COMFORTABLE"/>
    <n v="0.13639999999999999"/>
    <n v="0.86"/>
    <n v="28.360000000000003"/>
    <x v="0"/>
    <n v="1"/>
    <n v="3"/>
    <x v="48"/>
    <m/>
    <s v="Week 3"/>
    <x v="0"/>
  </r>
  <r>
    <n v="397"/>
    <x v="17"/>
    <n v="12"/>
    <x v="1"/>
    <n v="2"/>
    <n v="2"/>
    <x v="1"/>
    <x v="2"/>
    <s v="COMFORTABLE"/>
    <n v="0.18179999999999999"/>
    <n v="0.86"/>
    <n v="32.840000000000003"/>
    <x v="2"/>
    <n v="0"/>
    <n v="3"/>
    <x v="6"/>
    <m/>
    <s v="Week 3"/>
    <x v="0"/>
  </r>
  <r>
    <n v="398"/>
    <x v="17"/>
    <n v="13"/>
    <x v="1"/>
    <n v="2"/>
    <n v="2"/>
    <x v="1"/>
    <x v="2"/>
    <s v="COMFORTABLE"/>
    <n v="0.19700000000000001"/>
    <n v="0.86"/>
    <n v="22.39"/>
    <x v="0"/>
    <n v="0"/>
    <n v="22"/>
    <x v="34"/>
    <m/>
    <s v="Week 3"/>
    <x v="0"/>
  </r>
  <r>
    <n v="399"/>
    <x v="17"/>
    <n v="14"/>
    <x v="1"/>
    <n v="2"/>
    <n v="2"/>
    <x v="1"/>
    <x v="1"/>
    <s v="COMFORTABLE"/>
    <n v="0.2273"/>
    <n v="0.8"/>
    <n v="16.420000000000002"/>
    <x v="1"/>
    <n v="2"/>
    <n v="26"/>
    <x v="20"/>
    <m/>
    <s v="Week 3"/>
    <x v="0"/>
  </r>
  <r>
    <n v="400"/>
    <x v="17"/>
    <n v="15"/>
    <x v="1"/>
    <n v="2"/>
    <n v="2"/>
    <x v="1"/>
    <x v="1"/>
    <s v="COMFORTABLE"/>
    <n v="0.2273"/>
    <n v="0.87"/>
    <n v="16.420000000000002"/>
    <x v="1"/>
    <n v="3"/>
    <n v="32"/>
    <x v="17"/>
    <m/>
    <s v="Week 3"/>
    <x v="0"/>
  </r>
  <r>
    <n v="401"/>
    <x v="17"/>
    <n v="16"/>
    <x v="1"/>
    <n v="2"/>
    <n v="2"/>
    <x v="1"/>
    <x v="1"/>
    <s v="COMFORTABLE"/>
    <n v="0.2273"/>
    <n v="0.87"/>
    <n v="19.400000000000002"/>
    <x v="1"/>
    <n v="0"/>
    <n v="61"/>
    <x v="42"/>
    <m/>
    <s v="Week 3"/>
    <x v="0"/>
  </r>
  <r>
    <n v="402"/>
    <x v="17"/>
    <n v="17"/>
    <x v="1"/>
    <n v="2"/>
    <n v="2"/>
    <x v="1"/>
    <x v="1"/>
    <s v="COMFORTABLE"/>
    <n v="0.2273"/>
    <n v="0.82"/>
    <n v="19.400000000000002"/>
    <x v="1"/>
    <n v="1"/>
    <n v="124"/>
    <x v="139"/>
    <m/>
    <s v="Week 3"/>
    <x v="0"/>
  </r>
  <r>
    <n v="403"/>
    <x v="17"/>
    <n v="18"/>
    <x v="1"/>
    <n v="2"/>
    <n v="2"/>
    <x v="1"/>
    <x v="1"/>
    <s v="COMFORTABLE"/>
    <n v="0.2273"/>
    <n v="0.8"/>
    <n v="16.420000000000002"/>
    <x v="1"/>
    <n v="1"/>
    <n v="132"/>
    <x v="140"/>
    <m/>
    <s v="Week 3"/>
    <x v="0"/>
  </r>
  <r>
    <n v="404"/>
    <x v="17"/>
    <n v="19"/>
    <x v="1"/>
    <n v="2"/>
    <n v="2"/>
    <x v="1"/>
    <x v="1"/>
    <s v="COMFORTABLE"/>
    <n v="0.2273"/>
    <n v="0.8"/>
    <n v="13.43"/>
    <x v="1"/>
    <n v="1"/>
    <n v="98"/>
    <x v="111"/>
    <m/>
    <s v="Week 3"/>
    <x v="0"/>
  </r>
  <r>
    <n v="405"/>
    <x v="17"/>
    <n v="20"/>
    <x v="1"/>
    <n v="2"/>
    <n v="2"/>
    <x v="1"/>
    <x v="1"/>
    <s v="COMFORTABLE"/>
    <n v="0.2727"/>
    <n v="0.87"/>
    <n v="20.485098360655737"/>
    <x v="0"/>
    <n v="0"/>
    <n v="83"/>
    <x v="56"/>
    <m/>
    <s v="Week 3"/>
    <x v="0"/>
  </r>
  <r>
    <n v="406"/>
    <x v="17"/>
    <n v="21"/>
    <x v="1"/>
    <n v="2"/>
    <n v="2"/>
    <x v="1"/>
    <x v="1"/>
    <s v="COMFORTABLE"/>
    <n v="0.2424"/>
    <n v="0.93"/>
    <n v="10.45"/>
    <x v="1"/>
    <n v="0"/>
    <n v="41"/>
    <x v="102"/>
    <m/>
    <s v="Week 3"/>
    <x v="0"/>
  </r>
  <r>
    <n v="407"/>
    <x v="17"/>
    <n v="22"/>
    <x v="1"/>
    <n v="2"/>
    <n v="2"/>
    <x v="1"/>
    <x v="1"/>
    <s v="COMFORTABLE"/>
    <n v="0.2576"/>
    <n v="0.93"/>
    <n v="8.9599999999999991"/>
    <x v="1"/>
    <n v="0"/>
    <n v="33"/>
    <x v="63"/>
    <m/>
    <s v="Week 3"/>
    <x v="0"/>
  </r>
  <r>
    <n v="408"/>
    <x v="17"/>
    <n v="23"/>
    <x v="1"/>
    <n v="2"/>
    <n v="2"/>
    <x v="1"/>
    <x v="1"/>
    <s v="COMFORTABLE"/>
    <n v="0.2727"/>
    <n v="0.93"/>
    <n v="20.485098360655737"/>
    <x v="0"/>
    <n v="1"/>
    <n v="19"/>
    <x v="25"/>
    <m/>
    <s v="Week 3"/>
    <x v="0"/>
  </r>
  <r>
    <n v="409"/>
    <x v="18"/>
    <n v="0"/>
    <x v="1"/>
    <n v="3"/>
    <n v="2"/>
    <x v="1"/>
    <x v="1"/>
    <s v="COMFORTABLE"/>
    <n v="0.2727"/>
    <n v="0.93"/>
    <n v="20.485098360655737"/>
    <x v="0"/>
    <n v="0"/>
    <n v="3"/>
    <x v="6"/>
    <m/>
    <s v="Week 3"/>
    <x v="0"/>
  </r>
  <r>
    <n v="410"/>
    <x v="18"/>
    <n v="1"/>
    <x v="1"/>
    <n v="3"/>
    <n v="3"/>
    <x v="2"/>
    <x v="1"/>
    <s v="COMFORTABLE"/>
    <n v="0.2273"/>
    <n v="0.93"/>
    <n v="13.43"/>
    <x v="1"/>
    <n v="1"/>
    <n v="6"/>
    <x v="85"/>
    <m/>
    <s v="Week 3"/>
    <x v="0"/>
  </r>
  <r>
    <n v="411"/>
    <x v="18"/>
    <n v="2"/>
    <x v="1"/>
    <n v="3"/>
    <n v="3"/>
    <x v="2"/>
    <x v="1"/>
    <s v="COMFORTABLE"/>
    <n v="0.2273"/>
    <n v="0.93"/>
    <n v="13.43"/>
    <x v="1"/>
    <n v="0"/>
    <n v="3"/>
    <x v="6"/>
    <m/>
    <s v="Week 3"/>
    <x v="0"/>
  </r>
  <r>
    <n v="412"/>
    <x v="18"/>
    <n v="4"/>
    <x v="1"/>
    <n v="3"/>
    <n v="3"/>
    <x v="2"/>
    <x v="1"/>
    <s v="COMFORTABLE"/>
    <n v="0.2273"/>
    <n v="0.93"/>
    <n v="13.43"/>
    <x v="1"/>
    <n v="1"/>
    <n v="1"/>
    <x v="5"/>
    <m/>
    <s v="Week 3"/>
    <x v="0"/>
  </r>
  <r>
    <n v="413"/>
    <x v="18"/>
    <n v="5"/>
    <x v="1"/>
    <n v="3"/>
    <n v="2"/>
    <x v="1"/>
    <x v="1"/>
    <s v="COMFORTABLE"/>
    <n v="0.2576"/>
    <n v="0.93"/>
    <n v="8.9599999999999991"/>
    <x v="1"/>
    <n v="0"/>
    <n v="7"/>
    <x v="85"/>
    <m/>
    <s v="Week 3"/>
    <x v="0"/>
  </r>
  <r>
    <n v="414"/>
    <x v="18"/>
    <n v="6"/>
    <x v="1"/>
    <n v="3"/>
    <n v="2"/>
    <x v="1"/>
    <x v="1"/>
    <s v="COMFORTABLE"/>
    <n v="0.2576"/>
    <n v="0.93"/>
    <n v="8.9599999999999991"/>
    <x v="1"/>
    <n v="0"/>
    <n v="32"/>
    <x v="2"/>
    <m/>
    <s v="Week 3"/>
    <x v="0"/>
  </r>
  <r>
    <n v="415"/>
    <x v="18"/>
    <n v="7"/>
    <x v="1"/>
    <n v="3"/>
    <n v="2"/>
    <x v="1"/>
    <x v="0"/>
    <s v="COMFORTABLE"/>
    <n v="0.2576"/>
    <n v="0.92"/>
    <n v="10.45"/>
    <x v="1"/>
    <n v="1"/>
    <n v="89"/>
    <x v="127"/>
    <m/>
    <s v="Week 3"/>
    <x v="0"/>
  </r>
  <r>
    <n v="416"/>
    <x v="18"/>
    <n v="8"/>
    <x v="1"/>
    <n v="3"/>
    <n v="2"/>
    <x v="1"/>
    <x v="0"/>
    <s v="COMFORTABLE"/>
    <n v="0.2576"/>
    <n v="0.93"/>
    <n v="10.45"/>
    <x v="1"/>
    <n v="1"/>
    <n v="196"/>
    <x v="141"/>
    <m/>
    <s v="Week 3"/>
    <x v="0"/>
  </r>
  <r>
    <n v="417"/>
    <x v="18"/>
    <n v="9"/>
    <x v="1"/>
    <n v="3"/>
    <n v="2"/>
    <x v="1"/>
    <x v="0"/>
    <s v="COMFORTABLE"/>
    <n v="0.2576"/>
    <n v="0.93"/>
    <n v="10.45"/>
    <x v="1"/>
    <n v="2"/>
    <n v="107"/>
    <x v="142"/>
    <m/>
    <s v="Week 3"/>
    <x v="0"/>
  </r>
  <r>
    <n v="418"/>
    <x v="18"/>
    <n v="10"/>
    <x v="1"/>
    <n v="3"/>
    <n v="2"/>
    <x v="1"/>
    <x v="12"/>
    <s v="WARM"/>
    <n v="0.2727"/>
    <n v="0.93"/>
    <n v="13.43"/>
    <x v="1"/>
    <n v="1"/>
    <n v="46"/>
    <x v="105"/>
    <m/>
    <s v="Week 3"/>
    <x v="0"/>
  </r>
  <r>
    <n v="419"/>
    <x v="18"/>
    <n v="11"/>
    <x v="1"/>
    <n v="3"/>
    <n v="2"/>
    <x v="1"/>
    <x v="17"/>
    <s v="WARM"/>
    <n v="0.30299999999999999"/>
    <n v="0.87"/>
    <n v="8.9599999999999991"/>
    <x v="1"/>
    <n v="5"/>
    <n v="47"/>
    <x v="46"/>
    <m/>
    <s v="Week 3"/>
    <x v="0"/>
  </r>
  <r>
    <n v="420"/>
    <x v="18"/>
    <n v="12"/>
    <x v="1"/>
    <n v="3"/>
    <n v="2"/>
    <x v="1"/>
    <x v="11"/>
    <s v="WARM"/>
    <n v="0.31819999999999998"/>
    <n v="0.81"/>
    <n v="8.9599999999999991"/>
    <x v="1"/>
    <n v="5"/>
    <n v="65"/>
    <x v="27"/>
    <m/>
    <s v="Week 3"/>
    <x v="0"/>
  </r>
  <r>
    <n v="421"/>
    <x v="18"/>
    <n v="13"/>
    <x v="1"/>
    <n v="3"/>
    <n v="1"/>
    <x v="0"/>
    <x v="9"/>
    <s v="WARM"/>
    <n v="0.40910000000000002"/>
    <n v="0.62"/>
    <n v="28.360000000000003"/>
    <x v="0"/>
    <n v="11"/>
    <n v="67"/>
    <x v="53"/>
    <m/>
    <s v="Week 3"/>
    <x v="0"/>
  </r>
  <r>
    <n v="422"/>
    <x v="18"/>
    <n v="14"/>
    <x v="1"/>
    <n v="3"/>
    <n v="1"/>
    <x v="0"/>
    <x v="9"/>
    <s v="WARM"/>
    <n v="0.40910000000000002"/>
    <n v="0.57999999999999996"/>
    <n v="25.369999999999997"/>
    <x v="0"/>
    <n v="7"/>
    <n v="68"/>
    <x v="28"/>
    <m/>
    <s v="Week 3"/>
    <x v="0"/>
  </r>
  <r>
    <n v="423"/>
    <x v="18"/>
    <n v="15"/>
    <x v="1"/>
    <n v="3"/>
    <n v="1"/>
    <x v="0"/>
    <x v="9"/>
    <s v="WARM"/>
    <n v="0.40910000000000002"/>
    <n v="0.54"/>
    <n v="28.360000000000003"/>
    <x v="0"/>
    <n v="4"/>
    <n v="78"/>
    <x v="100"/>
    <m/>
    <s v="Week 3"/>
    <x v="0"/>
  </r>
  <r>
    <n v="424"/>
    <x v="18"/>
    <n v="16"/>
    <x v="1"/>
    <n v="3"/>
    <n v="1"/>
    <x v="0"/>
    <x v="4"/>
    <s v="WARM"/>
    <n v="0.39389999999999997"/>
    <n v="0.57999999999999996"/>
    <n v="38.81"/>
    <x v="2"/>
    <n v="10"/>
    <n v="94"/>
    <x v="133"/>
    <m/>
    <s v="Week 3"/>
    <x v="0"/>
  </r>
  <r>
    <n v="425"/>
    <x v="18"/>
    <n v="17"/>
    <x v="1"/>
    <n v="3"/>
    <n v="1"/>
    <x v="0"/>
    <x v="5"/>
    <s v="WARM"/>
    <n v="0.33329999999999999"/>
    <n v="0.56999999999999995"/>
    <n v="32.840000000000003"/>
    <x v="2"/>
    <n v="7"/>
    <n v="190"/>
    <x v="141"/>
    <m/>
    <s v="Week 3"/>
    <x v="0"/>
  </r>
  <r>
    <n v="426"/>
    <x v="18"/>
    <n v="18"/>
    <x v="1"/>
    <n v="3"/>
    <n v="1"/>
    <x v="0"/>
    <x v="10"/>
    <s v="WARM"/>
    <n v="0.31819999999999998"/>
    <n v="0.61"/>
    <n v="28.360000000000003"/>
    <x v="0"/>
    <n v="5"/>
    <n v="156"/>
    <x v="143"/>
    <m/>
    <s v="Week 3"/>
    <x v="0"/>
  </r>
  <r>
    <n v="427"/>
    <x v="18"/>
    <n v="19"/>
    <x v="1"/>
    <n v="3"/>
    <n v="1"/>
    <x v="0"/>
    <x v="3"/>
    <s v="WARM"/>
    <n v="0.28789999999999999"/>
    <n v="0.56999999999999995"/>
    <n v="41.79"/>
    <x v="2"/>
    <n v="4"/>
    <n v="108"/>
    <x v="59"/>
    <m/>
    <s v="Week 3"/>
    <x v="0"/>
  </r>
  <r>
    <n v="428"/>
    <x v="18"/>
    <n v="20"/>
    <x v="1"/>
    <n v="3"/>
    <n v="1"/>
    <x v="0"/>
    <x v="3"/>
    <s v="WARM"/>
    <n v="0.30299999999999999"/>
    <n v="0.49"/>
    <n v="29.849999999999998"/>
    <x v="0"/>
    <n v="2"/>
    <n v="74"/>
    <x v="31"/>
    <m/>
    <s v="Week 3"/>
    <x v="0"/>
  </r>
  <r>
    <n v="429"/>
    <x v="18"/>
    <n v="21"/>
    <x v="1"/>
    <n v="3"/>
    <n v="1"/>
    <x v="0"/>
    <x v="3"/>
    <s v="WARM"/>
    <n v="0.28789999999999999"/>
    <n v="0.49"/>
    <n v="41.79"/>
    <x v="2"/>
    <n v="4"/>
    <n v="55"/>
    <x v="29"/>
    <m/>
    <s v="Week 3"/>
    <x v="0"/>
  </r>
  <r>
    <n v="430"/>
    <x v="18"/>
    <n v="22"/>
    <x v="1"/>
    <n v="3"/>
    <n v="1"/>
    <x v="0"/>
    <x v="11"/>
    <s v="WARM"/>
    <n v="0.30299999999999999"/>
    <n v="0.52"/>
    <n v="16.420000000000002"/>
    <x v="1"/>
    <n v="6"/>
    <n v="53"/>
    <x v="29"/>
    <m/>
    <s v="Week 3"/>
    <x v="0"/>
  </r>
  <r>
    <n v="431"/>
    <x v="18"/>
    <n v="23"/>
    <x v="1"/>
    <n v="3"/>
    <n v="1"/>
    <x v="0"/>
    <x v="11"/>
    <s v="WARM"/>
    <n v="0.2727"/>
    <n v="0.52"/>
    <n v="46.27"/>
    <x v="2"/>
    <n v="1"/>
    <n v="27"/>
    <x v="20"/>
    <m/>
    <s v="Week 3"/>
    <x v="0"/>
  </r>
  <r>
    <n v="432"/>
    <x v="19"/>
    <n v="0"/>
    <x v="1"/>
    <n v="4"/>
    <n v="1"/>
    <x v="0"/>
    <x v="12"/>
    <s v="WARM"/>
    <n v="0.2273"/>
    <n v="0.56000000000000005"/>
    <n v="38.81"/>
    <x v="2"/>
    <n v="5"/>
    <n v="8"/>
    <x v="3"/>
    <m/>
    <s v="Week 3"/>
    <x v="0"/>
  </r>
  <r>
    <n v="433"/>
    <x v="19"/>
    <n v="1"/>
    <x v="1"/>
    <n v="4"/>
    <n v="1"/>
    <x v="0"/>
    <x v="12"/>
    <s v="WARM"/>
    <n v="0.2727"/>
    <n v="0.56000000000000005"/>
    <n v="20.485098360655737"/>
    <x v="0"/>
    <n v="2"/>
    <n v="3"/>
    <x v="36"/>
    <m/>
    <s v="Week 3"/>
    <x v="0"/>
  </r>
  <r>
    <n v="434"/>
    <x v="19"/>
    <n v="2"/>
    <x v="1"/>
    <n v="4"/>
    <n v="1"/>
    <x v="0"/>
    <x v="12"/>
    <s v="WARM"/>
    <n v="0.2727"/>
    <n v="0.56000000000000005"/>
    <n v="20.485098360655737"/>
    <x v="0"/>
    <n v="0"/>
    <n v="2"/>
    <x v="5"/>
    <m/>
    <s v="Week 3"/>
    <x v="0"/>
  </r>
  <r>
    <n v="435"/>
    <x v="19"/>
    <n v="3"/>
    <x v="1"/>
    <n v="4"/>
    <n v="1"/>
    <x v="0"/>
    <x v="12"/>
    <s v="WARM"/>
    <n v="0.2576"/>
    <n v="0.56000000000000005"/>
    <n v="16.420000000000002"/>
    <x v="1"/>
    <n v="0"/>
    <n v="1"/>
    <x v="4"/>
    <m/>
    <s v="Week 3"/>
    <x v="0"/>
  </r>
  <r>
    <n v="436"/>
    <x v="19"/>
    <n v="4"/>
    <x v="1"/>
    <n v="4"/>
    <n v="1"/>
    <x v="0"/>
    <x v="12"/>
    <s v="WARM"/>
    <n v="0.2576"/>
    <n v="0.56000000000000005"/>
    <n v="16.420000000000002"/>
    <x v="1"/>
    <n v="0"/>
    <n v="1"/>
    <x v="4"/>
    <m/>
    <s v="Week 3"/>
    <x v="0"/>
  </r>
  <r>
    <n v="437"/>
    <x v="19"/>
    <n v="5"/>
    <x v="1"/>
    <n v="4"/>
    <n v="1"/>
    <x v="0"/>
    <x v="0"/>
    <s v="COMFORTABLE"/>
    <n v="0.2273"/>
    <n v="0.6"/>
    <n v="22.39"/>
    <x v="0"/>
    <n v="0"/>
    <n v="6"/>
    <x v="24"/>
    <m/>
    <s v="Week 3"/>
    <x v="0"/>
  </r>
  <r>
    <n v="438"/>
    <x v="19"/>
    <n v="6"/>
    <x v="1"/>
    <n v="4"/>
    <n v="1"/>
    <x v="0"/>
    <x v="1"/>
    <s v="COMFORTABLE"/>
    <n v="0.21210000000000001"/>
    <n v="0.6"/>
    <n v="22.39"/>
    <x v="0"/>
    <n v="0"/>
    <n v="35"/>
    <x v="17"/>
    <m/>
    <s v="Week 3"/>
    <x v="0"/>
  </r>
  <r>
    <n v="439"/>
    <x v="19"/>
    <n v="7"/>
    <x v="1"/>
    <n v="4"/>
    <n v="1"/>
    <x v="0"/>
    <x v="1"/>
    <s v="COMFORTABLE"/>
    <n v="0.21210000000000001"/>
    <n v="0.55000000000000004"/>
    <n v="22.39"/>
    <x v="0"/>
    <n v="1"/>
    <n v="100"/>
    <x v="129"/>
    <m/>
    <s v="Week 3"/>
    <x v="0"/>
  </r>
  <r>
    <n v="440"/>
    <x v="19"/>
    <n v="8"/>
    <x v="1"/>
    <n v="4"/>
    <n v="1"/>
    <x v="0"/>
    <x v="1"/>
    <s v="COMFORTABLE"/>
    <n v="0.21210000000000001"/>
    <n v="0.55000000000000004"/>
    <n v="28.360000000000003"/>
    <x v="0"/>
    <n v="2"/>
    <n v="247"/>
    <x v="144"/>
    <m/>
    <s v="Week 3"/>
    <x v="0"/>
  </r>
  <r>
    <n v="441"/>
    <x v="19"/>
    <n v="9"/>
    <x v="1"/>
    <n v="4"/>
    <n v="2"/>
    <x v="1"/>
    <x v="0"/>
    <s v="COMFORTABLE"/>
    <n v="0.2273"/>
    <n v="0.52"/>
    <n v="22.39"/>
    <x v="0"/>
    <n v="3"/>
    <n v="140"/>
    <x v="145"/>
    <m/>
    <s v="Week 3"/>
    <x v="0"/>
  </r>
  <r>
    <n v="442"/>
    <x v="19"/>
    <n v="10"/>
    <x v="1"/>
    <n v="4"/>
    <n v="1"/>
    <x v="0"/>
    <x v="12"/>
    <s v="WARM"/>
    <n v="0.2273"/>
    <n v="0.48"/>
    <n v="29.849999999999998"/>
    <x v="0"/>
    <n v="1"/>
    <n v="56"/>
    <x v="52"/>
    <m/>
    <s v="Week 3"/>
    <x v="0"/>
  </r>
  <r>
    <n v="443"/>
    <x v="19"/>
    <n v="11"/>
    <x v="1"/>
    <n v="4"/>
    <n v="2"/>
    <x v="1"/>
    <x v="17"/>
    <s v="WARM"/>
    <n v="0.2727"/>
    <n v="0.45"/>
    <n v="16.420000000000002"/>
    <x v="1"/>
    <n v="5"/>
    <n v="63"/>
    <x v="118"/>
    <m/>
    <s v="Week 3"/>
    <x v="0"/>
  </r>
  <r>
    <n v="444"/>
    <x v="19"/>
    <n v="12"/>
    <x v="1"/>
    <n v="4"/>
    <n v="2"/>
    <x v="1"/>
    <x v="11"/>
    <s v="WARM"/>
    <n v="0.33329999999999999"/>
    <n v="0.42"/>
    <n v="20.485098360655737"/>
    <x v="0"/>
    <n v="7"/>
    <n v="77"/>
    <x v="11"/>
    <m/>
    <s v="Week 3"/>
    <x v="0"/>
  </r>
  <r>
    <n v="445"/>
    <x v="19"/>
    <n v="13"/>
    <x v="1"/>
    <n v="4"/>
    <n v="2"/>
    <x v="1"/>
    <x v="17"/>
    <s v="WARM"/>
    <n v="0.28789999999999999"/>
    <n v="0.45"/>
    <n v="10.45"/>
    <x v="1"/>
    <n v="12"/>
    <n v="86"/>
    <x v="95"/>
    <m/>
    <s v="Week 3"/>
    <x v="0"/>
  </r>
  <r>
    <n v="446"/>
    <x v="19"/>
    <n v="14"/>
    <x v="1"/>
    <n v="4"/>
    <n v="2"/>
    <x v="1"/>
    <x v="11"/>
    <s v="WARM"/>
    <n v="0.30299999999999999"/>
    <n v="0.45"/>
    <n v="13.43"/>
    <x v="1"/>
    <n v="6"/>
    <n v="75"/>
    <x v="117"/>
    <m/>
    <s v="Week 3"/>
    <x v="0"/>
  </r>
  <r>
    <n v="447"/>
    <x v="19"/>
    <n v="15"/>
    <x v="1"/>
    <n v="4"/>
    <n v="2"/>
    <x v="1"/>
    <x v="3"/>
    <s v="WARM"/>
    <n v="0.31819999999999998"/>
    <n v="0.45"/>
    <n v="19.400000000000002"/>
    <x v="1"/>
    <n v="8"/>
    <n v="62"/>
    <x v="27"/>
    <m/>
    <s v="Week 3"/>
    <x v="0"/>
  </r>
  <r>
    <n v="448"/>
    <x v="19"/>
    <n v="16"/>
    <x v="1"/>
    <n v="4"/>
    <n v="2"/>
    <x v="1"/>
    <x v="11"/>
    <s v="WARM"/>
    <n v="0.30299999999999999"/>
    <n v="0.49"/>
    <n v="13.43"/>
    <x v="1"/>
    <n v="8"/>
    <n v="83"/>
    <x v="134"/>
    <m/>
    <s v="Week 3"/>
    <x v="0"/>
  </r>
  <r>
    <n v="449"/>
    <x v="19"/>
    <n v="17"/>
    <x v="1"/>
    <n v="4"/>
    <n v="2"/>
    <x v="1"/>
    <x v="11"/>
    <s v="WARM"/>
    <n v="0.31819999999999998"/>
    <n v="0.49"/>
    <n v="10.45"/>
    <x v="1"/>
    <n v="8"/>
    <n v="207"/>
    <x v="146"/>
    <m/>
    <s v="Week 3"/>
    <x v="0"/>
  </r>
  <r>
    <n v="450"/>
    <x v="19"/>
    <n v="18"/>
    <x v="1"/>
    <n v="4"/>
    <n v="2"/>
    <x v="1"/>
    <x v="12"/>
    <s v="WARM"/>
    <n v="0.2576"/>
    <n v="0.56000000000000005"/>
    <n v="19.400000000000002"/>
    <x v="1"/>
    <n v="1"/>
    <n v="184"/>
    <x v="147"/>
    <m/>
    <s v="Week 3"/>
    <x v="0"/>
  </r>
  <r>
    <n v="451"/>
    <x v="19"/>
    <n v="19"/>
    <x v="1"/>
    <n v="4"/>
    <n v="1"/>
    <x v="0"/>
    <x v="12"/>
    <s v="WARM"/>
    <n v="0.2273"/>
    <n v="0.56000000000000005"/>
    <n v="32.840000000000003"/>
    <x v="2"/>
    <n v="6"/>
    <n v="146"/>
    <x v="148"/>
    <m/>
    <s v="Week 3"/>
    <x v="0"/>
  </r>
  <r>
    <n v="452"/>
    <x v="19"/>
    <n v="20"/>
    <x v="1"/>
    <n v="4"/>
    <n v="2"/>
    <x v="1"/>
    <x v="12"/>
    <s v="WARM"/>
    <n v="0.2424"/>
    <n v="0.6"/>
    <n v="28.360000000000003"/>
    <x v="0"/>
    <n v="2"/>
    <n v="124"/>
    <x v="149"/>
    <m/>
    <s v="Week 3"/>
    <x v="0"/>
  </r>
  <r>
    <n v="453"/>
    <x v="19"/>
    <n v="21"/>
    <x v="1"/>
    <n v="4"/>
    <n v="2"/>
    <x v="1"/>
    <x v="0"/>
    <s v="COMFORTABLE"/>
    <n v="0.2273"/>
    <n v="0.6"/>
    <n v="25.369999999999997"/>
    <x v="0"/>
    <n v="3"/>
    <n v="54"/>
    <x v="52"/>
    <m/>
    <s v="Week 3"/>
    <x v="0"/>
  </r>
  <r>
    <n v="454"/>
    <x v="19"/>
    <n v="22"/>
    <x v="1"/>
    <n v="4"/>
    <n v="2"/>
    <x v="1"/>
    <x v="0"/>
    <s v="COMFORTABLE"/>
    <n v="0.21210000000000001"/>
    <n v="0.65"/>
    <n v="28.360000000000003"/>
    <x v="0"/>
    <n v="0"/>
    <n v="56"/>
    <x v="10"/>
    <m/>
    <s v="Week 3"/>
    <x v="0"/>
  </r>
  <r>
    <n v="455"/>
    <x v="20"/>
    <n v="23"/>
    <x v="1"/>
    <n v="5"/>
    <n v="2"/>
    <x v="1"/>
    <x v="0"/>
    <s v="COMFORTABLE"/>
    <n v="0.21210000000000001"/>
    <n v="0.65"/>
    <n v="32.840000000000003"/>
    <x v="2"/>
    <n v="3"/>
    <n v="28"/>
    <x v="35"/>
    <m/>
    <s v="Week 3"/>
    <x v="0"/>
  </r>
  <r>
    <n v="456"/>
    <x v="20"/>
    <n v="0"/>
    <x v="1"/>
    <n v="5"/>
    <n v="2"/>
    <x v="1"/>
    <x v="0"/>
    <s v="COMFORTABLE"/>
    <n v="0.2273"/>
    <n v="0.7"/>
    <n v="25.369999999999997"/>
    <x v="0"/>
    <n v="1"/>
    <n v="20"/>
    <x v="137"/>
    <m/>
    <s v="Week 3"/>
    <x v="0"/>
  </r>
  <r>
    <n v="457"/>
    <x v="20"/>
    <n v="1"/>
    <x v="1"/>
    <n v="5"/>
    <n v="2"/>
    <x v="1"/>
    <x v="0"/>
    <s v="COMFORTABLE"/>
    <n v="0.2273"/>
    <n v="0.7"/>
    <n v="25.369999999999997"/>
    <x v="0"/>
    <n v="0"/>
    <n v="6"/>
    <x v="24"/>
    <m/>
    <s v="Week 3"/>
    <x v="0"/>
  </r>
  <r>
    <n v="458"/>
    <x v="20"/>
    <n v="2"/>
    <x v="1"/>
    <n v="5"/>
    <n v="3"/>
    <x v="2"/>
    <x v="0"/>
    <s v="COMFORTABLE"/>
    <n v="0.2424"/>
    <n v="0.75"/>
    <n v="16.420000000000002"/>
    <x v="1"/>
    <n v="0"/>
    <n v="2"/>
    <x v="5"/>
    <m/>
    <s v="Week 3"/>
    <x v="0"/>
  </r>
  <r>
    <n v="459"/>
    <x v="20"/>
    <n v="3"/>
    <x v="1"/>
    <n v="5"/>
    <n v="3"/>
    <x v="2"/>
    <x v="1"/>
    <s v="COMFORTABLE"/>
    <n v="0.21210000000000001"/>
    <n v="0.8"/>
    <n v="29.849999999999998"/>
    <x v="0"/>
    <n v="0"/>
    <n v="1"/>
    <x v="4"/>
    <m/>
    <s v="Week 3"/>
    <x v="0"/>
  </r>
  <r>
    <n v="460"/>
    <x v="20"/>
    <n v="4"/>
    <x v="1"/>
    <n v="5"/>
    <n v="2"/>
    <x v="1"/>
    <x v="1"/>
    <s v="COMFORTABLE"/>
    <n v="0.2576"/>
    <n v="0.87"/>
    <n v="8.9599999999999991"/>
    <x v="1"/>
    <n v="0"/>
    <n v="1"/>
    <x v="4"/>
    <m/>
    <s v="Week 3"/>
    <x v="0"/>
  </r>
  <r>
    <n v="461"/>
    <x v="20"/>
    <n v="5"/>
    <x v="1"/>
    <n v="5"/>
    <n v="1"/>
    <x v="0"/>
    <x v="0"/>
    <s v="COMFORTABLE"/>
    <n v="0.19700000000000001"/>
    <n v="0.6"/>
    <n v="41.79"/>
    <x v="2"/>
    <n v="1"/>
    <n v="4"/>
    <x v="36"/>
    <m/>
    <s v="Week 3"/>
    <x v="0"/>
  </r>
  <r>
    <n v="462"/>
    <x v="20"/>
    <n v="6"/>
    <x v="1"/>
    <n v="5"/>
    <n v="1"/>
    <x v="0"/>
    <x v="1"/>
    <s v="COMFORTABLE"/>
    <n v="0.21210000000000001"/>
    <n v="0.55000000000000004"/>
    <n v="25.369999999999997"/>
    <x v="0"/>
    <n v="0"/>
    <n v="27"/>
    <x v="110"/>
    <m/>
    <s v="Week 3"/>
    <x v="0"/>
  </r>
  <r>
    <n v="463"/>
    <x v="20"/>
    <n v="7"/>
    <x v="1"/>
    <n v="5"/>
    <n v="1"/>
    <x v="0"/>
    <x v="2"/>
    <s v="COMFORTABLE"/>
    <n v="0.18179999999999999"/>
    <n v="0.51"/>
    <n v="28.360000000000003"/>
    <x v="0"/>
    <n v="2"/>
    <n v="66"/>
    <x v="118"/>
    <m/>
    <s v="Week 3"/>
    <x v="0"/>
  </r>
  <r>
    <n v="464"/>
    <x v="20"/>
    <n v="8"/>
    <x v="1"/>
    <n v="5"/>
    <n v="1"/>
    <x v="0"/>
    <x v="2"/>
    <s v="COMFORTABLE"/>
    <n v="0.18179999999999999"/>
    <n v="0.47"/>
    <n v="32.840000000000003"/>
    <x v="2"/>
    <n v="7"/>
    <n v="210"/>
    <x v="112"/>
    <m/>
    <s v="Week 3"/>
    <x v="0"/>
  </r>
  <r>
    <n v="465"/>
    <x v="20"/>
    <n v="9"/>
    <x v="1"/>
    <n v="5"/>
    <n v="1"/>
    <x v="0"/>
    <x v="2"/>
    <s v="COMFORTABLE"/>
    <n v="0.18179999999999999"/>
    <n v="0.51"/>
    <n v="35.82"/>
    <x v="2"/>
    <n v="7"/>
    <n v="159"/>
    <x v="150"/>
    <m/>
    <s v="Week 3"/>
    <x v="0"/>
  </r>
  <r>
    <n v="466"/>
    <x v="20"/>
    <n v="10"/>
    <x v="1"/>
    <n v="5"/>
    <n v="1"/>
    <x v="0"/>
    <x v="2"/>
    <s v="COMFORTABLE"/>
    <n v="0.16669999999999999"/>
    <n v="0.47"/>
    <n v="46.27"/>
    <x v="2"/>
    <n v="6"/>
    <n v="57"/>
    <x v="55"/>
    <m/>
    <s v="Week 3"/>
    <x v="0"/>
  </r>
  <r>
    <n v="467"/>
    <x v="20"/>
    <n v="11"/>
    <x v="1"/>
    <n v="5"/>
    <n v="1"/>
    <x v="0"/>
    <x v="1"/>
    <s v="COMFORTABLE"/>
    <n v="0.18179999999999999"/>
    <n v="0.41"/>
    <n v="46.27"/>
    <x v="2"/>
    <n v="6"/>
    <n v="53"/>
    <x v="29"/>
    <m/>
    <s v="Week 3"/>
    <x v="0"/>
  </r>
  <r>
    <n v="468"/>
    <x v="20"/>
    <n v="12"/>
    <x v="1"/>
    <n v="5"/>
    <n v="1"/>
    <x v="0"/>
    <x v="1"/>
    <s v="COMFORTABLE"/>
    <n v="0.18179999999999999"/>
    <n v="0.27"/>
    <n v="58.209999999999994"/>
    <x v="2"/>
    <n v="11"/>
    <n v="67"/>
    <x v="53"/>
    <m/>
    <s v="Week 3"/>
    <x v="0"/>
  </r>
  <r>
    <n v="469"/>
    <x v="20"/>
    <n v="13"/>
    <x v="1"/>
    <n v="5"/>
    <n v="1"/>
    <x v="0"/>
    <x v="2"/>
    <s v="COMFORTABLE"/>
    <n v="0.1515"/>
    <n v="0.21"/>
    <n v="58.209999999999994"/>
    <x v="2"/>
    <n v="8"/>
    <n v="65"/>
    <x v="88"/>
    <m/>
    <s v="Week 3"/>
    <x v="0"/>
  </r>
  <r>
    <n v="470"/>
    <x v="20"/>
    <n v="14"/>
    <x v="1"/>
    <n v="5"/>
    <n v="1"/>
    <x v="0"/>
    <x v="2"/>
    <s v="COMFORTABLE"/>
    <n v="0.1515"/>
    <n v="0.25"/>
    <n v="52.239999999999995"/>
    <x v="2"/>
    <n v="6"/>
    <n v="56"/>
    <x v="69"/>
    <m/>
    <s v="Week 3"/>
    <x v="0"/>
  </r>
  <r>
    <n v="471"/>
    <x v="20"/>
    <n v="15"/>
    <x v="1"/>
    <n v="5"/>
    <n v="1"/>
    <x v="0"/>
    <x v="13"/>
    <s v="COMFORTABLE"/>
    <n v="0.1212"/>
    <n v="0.26"/>
    <n v="44.78"/>
    <x v="2"/>
    <n v="4"/>
    <n v="61"/>
    <x v="32"/>
    <m/>
    <s v="Week 3"/>
    <x v="0"/>
  </r>
  <r>
    <n v="472"/>
    <x v="20"/>
    <n v="16"/>
    <x v="1"/>
    <n v="5"/>
    <n v="1"/>
    <x v="0"/>
    <x v="13"/>
    <s v="COMFORTABLE"/>
    <n v="0.13639999999999999"/>
    <n v="0.26"/>
    <n v="35.82"/>
    <x v="2"/>
    <n v="0"/>
    <n v="97"/>
    <x v="54"/>
    <m/>
    <s v="Week 3"/>
    <x v="0"/>
  </r>
  <r>
    <n v="473"/>
    <x v="20"/>
    <n v="17"/>
    <x v="1"/>
    <n v="5"/>
    <n v="1"/>
    <x v="0"/>
    <x v="14"/>
    <s v="COMFORTABLE"/>
    <n v="0.1212"/>
    <n v="0.28000000000000003"/>
    <n v="35.82"/>
    <x v="2"/>
    <n v="10"/>
    <n v="151"/>
    <x v="143"/>
    <m/>
    <s v="Week 3"/>
    <x v="0"/>
  </r>
  <r>
    <n v="474"/>
    <x v="20"/>
    <n v="18"/>
    <x v="1"/>
    <n v="5"/>
    <n v="1"/>
    <x v="0"/>
    <x v="16"/>
    <s v="COMFORTABLE"/>
    <n v="0.1212"/>
    <n v="0.3"/>
    <n v="25.369999999999997"/>
    <x v="0"/>
    <n v="1"/>
    <n v="119"/>
    <x v="151"/>
    <m/>
    <s v="Week 3"/>
    <x v="0"/>
  </r>
  <r>
    <n v="475"/>
    <x v="20"/>
    <n v="19"/>
    <x v="1"/>
    <n v="5"/>
    <n v="1"/>
    <x v="0"/>
    <x v="16"/>
    <s v="COMFORTABLE"/>
    <n v="0.1061"/>
    <n v="0.3"/>
    <n v="32.840000000000003"/>
    <x v="2"/>
    <n v="3"/>
    <n v="93"/>
    <x v="152"/>
    <m/>
    <s v="Week 3"/>
    <x v="0"/>
  </r>
  <r>
    <n v="476"/>
    <x v="20"/>
    <n v="20"/>
    <x v="1"/>
    <n v="5"/>
    <n v="1"/>
    <x v="0"/>
    <x v="18"/>
    <s v="COLD"/>
    <n v="7.5800000000000006E-2"/>
    <n v="0.33"/>
    <n v="41.79"/>
    <x v="2"/>
    <n v="1"/>
    <n v="52"/>
    <x v="26"/>
    <m/>
    <s v="Week 3"/>
    <x v="0"/>
  </r>
  <r>
    <n v="477"/>
    <x v="20"/>
    <n v="21"/>
    <x v="1"/>
    <n v="5"/>
    <n v="1"/>
    <x v="0"/>
    <x v="19"/>
    <s v="COLD"/>
    <n v="7.5800000000000006E-2"/>
    <n v="0.38"/>
    <n v="28.360000000000003"/>
    <x v="0"/>
    <n v="0"/>
    <n v="41"/>
    <x v="102"/>
    <m/>
    <s v="Week 3"/>
    <x v="0"/>
  </r>
  <r>
    <n v="478"/>
    <x v="20"/>
    <n v="22"/>
    <x v="1"/>
    <n v="5"/>
    <n v="1"/>
    <x v="0"/>
    <x v="20"/>
    <s v="COLD"/>
    <n v="3.0300000000000001E-2"/>
    <n v="0.41"/>
    <n v="38.81"/>
    <x v="2"/>
    <n v="1"/>
    <n v="33"/>
    <x v="19"/>
    <m/>
    <s v="Week 3"/>
    <x v="0"/>
  </r>
  <r>
    <n v="479"/>
    <x v="20"/>
    <n v="23"/>
    <x v="1"/>
    <n v="5"/>
    <n v="1"/>
    <x v="0"/>
    <x v="20"/>
    <s v="COLD"/>
    <n v="4.5499999999999999E-2"/>
    <n v="0.38"/>
    <n v="32.840000000000003"/>
    <x v="2"/>
    <n v="0"/>
    <n v="27"/>
    <x v="110"/>
    <m/>
    <s v="Week 3"/>
    <x v="0"/>
  </r>
  <r>
    <n v="480"/>
    <x v="21"/>
    <n v="0"/>
    <x v="1"/>
    <n v="6"/>
    <n v="1"/>
    <x v="0"/>
    <x v="21"/>
    <s v="COLD"/>
    <n v="3.0300000000000001E-2"/>
    <n v="0.45"/>
    <n v="25.369999999999997"/>
    <x v="0"/>
    <n v="0"/>
    <n v="13"/>
    <x v="3"/>
    <m/>
    <s v="Week 4"/>
    <x v="0"/>
  </r>
  <r>
    <n v="481"/>
    <x v="21"/>
    <n v="1"/>
    <x v="1"/>
    <n v="6"/>
    <n v="2"/>
    <x v="1"/>
    <x v="21"/>
    <s v="COLD"/>
    <n v="0"/>
    <n v="0.41"/>
    <n v="38.81"/>
    <x v="2"/>
    <n v="3"/>
    <n v="9"/>
    <x v="47"/>
    <m/>
    <s v="Week 4"/>
    <x v="0"/>
  </r>
  <r>
    <n v="482"/>
    <x v="21"/>
    <n v="2"/>
    <x v="1"/>
    <n v="6"/>
    <n v="2"/>
    <x v="1"/>
    <x v="21"/>
    <s v="COLD"/>
    <n v="3.0300000000000001E-2"/>
    <n v="0.41"/>
    <n v="25.369999999999997"/>
    <x v="0"/>
    <n v="0"/>
    <n v="11"/>
    <x v="62"/>
    <m/>
    <s v="Week 4"/>
    <x v="0"/>
  </r>
  <r>
    <n v="483"/>
    <x v="21"/>
    <n v="3"/>
    <x v="1"/>
    <n v="6"/>
    <n v="2"/>
    <x v="1"/>
    <x v="21"/>
    <s v="COLD"/>
    <n v="3.0300000000000001E-2"/>
    <n v="0.41"/>
    <n v="28.360000000000003"/>
    <x v="0"/>
    <n v="1"/>
    <n v="6"/>
    <x v="85"/>
    <m/>
    <s v="Week 4"/>
    <x v="0"/>
  </r>
  <r>
    <n v="484"/>
    <x v="21"/>
    <n v="4"/>
    <x v="1"/>
    <n v="6"/>
    <n v="2"/>
    <x v="1"/>
    <x v="22"/>
    <s v="COLD"/>
    <n v="1.52E-2"/>
    <n v="0.48"/>
    <n v="29.849999999999998"/>
    <x v="0"/>
    <n v="0"/>
    <n v="3"/>
    <x v="6"/>
    <m/>
    <s v="Week 4"/>
    <x v="0"/>
  </r>
  <r>
    <n v="485"/>
    <x v="21"/>
    <n v="6"/>
    <x v="1"/>
    <n v="6"/>
    <n v="2"/>
    <x v="1"/>
    <x v="22"/>
    <s v="COLD"/>
    <n v="3.0300000000000001E-2"/>
    <n v="0.44"/>
    <n v="22.39"/>
    <x v="0"/>
    <n v="0"/>
    <n v="2"/>
    <x v="5"/>
    <m/>
    <s v="Week 4"/>
    <x v="0"/>
  </r>
  <r>
    <n v="486"/>
    <x v="21"/>
    <n v="7"/>
    <x v="1"/>
    <n v="6"/>
    <n v="1"/>
    <x v="0"/>
    <x v="22"/>
    <s v="COLD"/>
    <n v="1.52E-2"/>
    <n v="0.44"/>
    <n v="28.360000000000003"/>
    <x v="0"/>
    <n v="0"/>
    <n v="8"/>
    <x v="7"/>
    <m/>
    <s v="Week 4"/>
    <x v="0"/>
  </r>
  <r>
    <n v="487"/>
    <x v="21"/>
    <n v="8"/>
    <x v="1"/>
    <n v="6"/>
    <n v="1"/>
    <x v="0"/>
    <x v="22"/>
    <s v="COLD"/>
    <n v="0"/>
    <n v="0.44"/>
    <n v="32.840000000000003"/>
    <x v="2"/>
    <n v="1"/>
    <n v="26"/>
    <x v="110"/>
    <m/>
    <s v="Week 4"/>
    <x v="0"/>
  </r>
  <r>
    <n v="488"/>
    <x v="21"/>
    <n v="9"/>
    <x v="1"/>
    <n v="6"/>
    <n v="1"/>
    <x v="0"/>
    <x v="21"/>
    <s v="COLD"/>
    <n v="3.0300000000000001E-2"/>
    <n v="0.41"/>
    <n v="25.369999999999997"/>
    <x v="0"/>
    <n v="3"/>
    <n v="37"/>
    <x v="1"/>
    <m/>
    <s v="Week 4"/>
    <x v="0"/>
  </r>
  <r>
    <n v="489"/>
    <x v="21"/>
    <n v="10"/>
    <x v="1"/>
    <n v="6"/>
    <n v="2"/>
    <x v="1"/>
    <x v="21"/>
    <s v="COLD"/>
    <n v="6.0600000000000001E-2"/>
    <n v="0.41"/>
    <n v="16.420000000000002"/>
    <x v="1"/>
    <n v="3"/>
    <n v="50"/>
    <x v="26"/>
    <m/>
    <s v="Week 4"/>
    <x v="0"/>
  </r>
  <r>
    <n v="490"/>
    <x v="21"/>
    <n v="11"/>
    <x v="1"/>
    <n v="6"/>
    <n v="2"/>
    <x v="1"/>
    <x v="20"/>
    <s v="COLD"/>
    <n v="7.5800000000000006E-2"/>
    <n v="0.38"/>
    <n v="13.43"/>
    <x v="1"/>
    <n v="4"/>
    <n v="59"/>
    <x v="55"/>
    <m/>
    <s v="Week 4"/>
    <x v="0"/>
  </r>
  <r>
    <n v="491"/>
    <x v="21"/>
    <n v="12"/>
    <x v="1"/>
    <n v="6"/>
    <n v="2"/>
    <x v="1"/>
    <x v="20"/>
    <s v="COLD"/>
    <n v="0.1061"/>
    <n v="0.38"/>
    <n v="10.45"/>
    <x v="1"/>
    <n v="10"/>
    <n v="60"/>
    <x v="27"/>
    <m/>
    <s v="Week 4"/>
    <x v="0"/>
  </r>
  <r>
    <n v="492"/>
    <x v="21"/>
    <n v="13"/>
    <x v="1"/>
    <n v="6"/>
    <n v="1"/>
    <x v="0"/>
    <x v="19"/>
    <s v="COLD"/>
    <n v="0.16669999999999999"/>
    <n v="0.35"/>
    <n v="20.485098360655737"/>
    <x v="0"/>
    <n v="12"/>
    <n v="72"/>
    <x v="11"/>
    <m/>
    <s v="Week 4"/>
    <x v="0"/>
  </r>
  <r>
    <n v="493"/>
    <x v="21"/>
    <n v="14"/>
    <x v="1"/>
    <n v="6"/>
    <n v="1"/>
    <x v="0"/>
    <x v="18"/>
    <s v="COLD"/>
    <n v="0.13639999999999999"/>
    <n v="0.33"/>
    <n v="10.45"/>
    <x v="1"/>
    <n v="11"/>
    <n v="64"/>
    <x v="28"/>
    <m/>
    <s v="Week 4"/>
    <x v="0"/>
  </r>
  <r>
    <n v="494"/>
    <x v="21"/>
    <n v="15"/>
    <x v="1"/>
    <n v="6"/>
    <n v="1"/>
    <x v="0"/>
    <x v="16"/>
    <s v="COMFORTABLE"/>
    <n v="0.1515"/>
    <n v="0.28000000000000003"/>
    <n v="20.485098360655737"/>
    <x v="0"/>
    <n v="10"/>
    <n v="93"/>
    <x v="153"/>
    <m/>
    <s v="Week 4"/>
    <x v="0"/>
  </r>
  <r>
    <n v="495"/>
    <x v="21"/>
    <n v="16"/>
    <x v="1"/>
    <n v="6"/>
    <n v="1"/>
    <x v="0"/>
    <x v="16"/>
    <s v="COMFORTABLE"/>
    <n v="0.13639999999999999"/>
    <n v="0.28000000000000003"/>
    <n v="19.400000000000002"/>
    <x v="1"/>
    <n v="11"/>
    <n v="72"/>
    <x v="56"/>
    <m/>
    <s v="Week 4"/>
    <x v="0"/>
  </r>
  <r>
    <n v="496"/>
    <x v="21"/>
    <n v="17"/>
    <x v="1"/>
    <n v="6"/>
    <n v="1"/>
    <x v="0"/>
    <x v="16"/>
    <s v="COMFORTABLE"/>
    <n v="0.19700000000000001"/>
    <n v="0.28000000000000003"/>
    <n v="20.485098360655737"/>
    <x v="0"/>
    <n v="8"/>
    <n v="59"/>
    <x v="16"/>
    <m/>
    <s v="Week 4"/>
    <x v="0"/>
  </r>
  <r>
    <n v="497"/>
    <x v="21"/>
    <n v="18"/>
    <x v="1"/>
    <n v="6"/>
    <n v="1"/>
    <x v="0"/>
    <x v="19"/>
    <s v="COLD"/>
    <n v="9.0899999999999995E-2"/>
    <n v="0.35"/>
    <n v="19.400000000000002"/>
    <x v="1"/>
    <n v="0"/>
    <n v="54"/>
    <x v="60"/>
    <m/>
    <s v="Week 4"/>
    <x v="0"/>
  </r>
  <r>
    <n v="498"/>
    <x v="21"/>
    <n v="19"/>
    <x v="1"/>
    <n v="6"/>
    <n v="1"/>
    <x v="0"/>
    <x v="19"/>
    <s v="COLD"/>
    <n v="0.1061"/>
    <n v="0.35"/>
    <n v="13.43"/>
    <x v="1"/>
    <n v="6"/>
    <n v="53"/>
    <x v="29"/>
    <m/>
    <s v="Week 4"/>
    <x v="0"/>
  </r>
  <r>
    <n v="499"/>
    <x v="21"/>
    <n v="20"/>
    <x v="1"/>
    <n v="6"/>
    <n v="1"/>
    <x v="0"/>
    <x v="20"/>
    <s v="COLD"/>
    <n v="7.5800000000000006E-2"/>
    <n v="0.45"/>
    <n v="16.420000000000002"/>
    <x v="1"/>
    <n v="1"/>
    <n v="44"/>
    <x v="79"/>
    <m/>
    <s v="Week 4"/>
    <x v="0"/>
  </r>
  <r>
    <n v="500"/>
    <x v="21"/>
    <n v="21"/>
    <x v="1"/>
    <n v="6"/>
    <n v="1"/>
    <x v="0"/>
    <x v="20"/>
    <s v="COLD"/>
    <n v="0.1061"/>
    <n v="0.41"/>
    <n v="8.9599999999999991"/>
    <x v="1"/>
    <n v="0"/>
    <n v="39"/>
    <x v="21"/>
    <m/>
    <s v="Week 4"/>
    <x v="0"/>
  </r>
  <r>
    <n v="501"/>
    <x v="21"/>
    <n v="22"/>
    <x v="1"/>
    <n v="6"/>
    <n v="1"/>
    <x v="0"/>
    <x v="20"/>
    <s v="COLD"/>
    <n v="0.1515"/>
    <n v="0.49"/>
    <n v="20.485098360655737"/>
    <x v="0"/>
    <n v="7"/>
    <n v="23"/>
    <x v="33"/>
    <m/>
    <s v="Week 4"/>
    <x v="0"/>
  </r>
  <r>
    <n v="502"/>
    <x v="21"/>
    <n v="23"/>
    <x v="1"/>
    <n v="6"/>
    <n v="1"/>
    <x v="0"/>
    <x v="21"/>
    <s v="COLD"/>
    <n v="7.5800000000000006E-2"/>
    <n v="0.56999999999999995"/>
    <n v="10.45"/>
    <x v="1"/>
    <n v="2"/>
    <n v="31"/>
    <x v="63"/>
    <m/>
    <s v="Week 4"/>
    <x v="0"/>
  </r>
  <r>
    <n v="503"/>
    <x v="22"/>
    <n v="0"/>
    <x v="1"/>
    <n v="7"/>
    <n v="1"/>
    <x v="0"/>
    <x v="21"/>
    <s v="COLD"/>
    <n v="7.5800000000000006E-2"/>
    <n v="0.56999999999999995"/>
    <n v="10.45"/>
    <x v="1"/>
    <n v="2"/>
    <n v="20"/>
    <x v="34"/>
    <m/>
    <s v="Week 4"/>
    <x v="0"/>
  </r>
  <r>
    <n v="504"/>
    <x v="22"/>
    <n v="1"/>
    <x v="1"/>
    <n v="7"/>
    <n v="1"/>
    <x v="0"/>
    <x v="21"/>
    <s v="COLD"/>
    <n v="7.5800000000000006E-2"/>
    <n v="0.56999999999999995"/>
    <n v="10.45"/>
    <x v="1"/>
    <n v="1"/>
    <n v="12"/>
    <x v="3"/>
    <m/>
    <s v="Week 4"/>
    <x v="0"/>
  </r>
  <r>
    <n v="505"/>
    <x v="22"/>
    <n v="2"/>
    <x v="1"/>
    <n v="7"/>
    <n v="1"/>
    <x v="0"/>
    <x v="22"/>
    <s v="COLD"/>
    <n v="6.0600000000000001E-2"/>
    <n v="0.62"/>
    <n v="13.43"/>
    <x v="1"/>
    <n v="3"/>
    <n v="15"/>
    <x v="109"/>
    <m/>
    <s v="Week 4"/>
    <x v="0"/>
  </r>
  <r>
    <n v="506"/>
    <x v="22"/>
    <n v="3"/>
    <x v="1"/>
    <n v="7"/>
    <n v="1"/>
    <x v="0"/>
    <x v="22"/>
    <s v="COLD"/>
    <n v="6.0600000000000001E-2"/>
    <n v="0.62"/>
    <n v="13.43"/>
    <x v="1"/>
    <n v="1"/>
    <n v="4"/>
    <x v="36"/>
    <m/>
    <s v="Week 4"/>
    <x v="0"/>
  </r>
  <r>
    <n v="507"/>
    <x v="22"/>
    <n v="5"/>
    <x v="1"/>
    <n v="7"/>
    <n v="2"/>
    <x v="1"/>
    <x v="21"/>
    <s v="COLD"/>
    <n v="7.5800000000000006E-2"/>
    <n v="0.56999999999999995"/>
    <n v="10.45"/>
    <x v="1"/>
    <n v="0"/>
    <n v="3"/>
    <x v="6"/>
    <m/>
    <s v="Week 4"/>
    <x v="0"/>
  </r>
  <r>
    <n v="508"/>
    <x v="22"/>
    <n v="6"/>
    <x v="1"/>
    <n v="7"/>
    <n v="2"/>
    <x v="1"/>
    <x v="21"/>
    <s v="COLD"/>
    <n v="7.5800000000000006E-2"/>
    <n v="0.56999999999999995"/>
    <n v="10.45"/>
    <x v="1"/>
    <n v="0"/>
    <n v="1"/>
    <x v="4"/>
    <m/>
    <s v="Week 4"/>
    <x v="0"/>
  </r>
  <r>
    <n v="509"/>
    <x v="22"/>
    <n v="7"/>
    <x v="1"/>
    <n v="7"/>
    <n v="1"/>
    <x v="0"/>
    <x v="19"/>
    <s v="COLD"/>
    <n v="0.1061"/>
    <n v="0.57999999999999996"/>
    <n v="16.420000000000002"/>
    <x v="1"/>
    <n v="1"/>
    <n v="1"/>
    <x v="5"/>
    <m/>
    <s v="Week 4"/>
    <x v="0"/>
  </r>
  <r>
    <n v="510"/>
    <x v="22"/>
    <n v="8"/>
    <x v="1"/>
    <n v="7"/>
    <n v="1"/>
    <x v="0"/>
    <x v="20"/>
    <s v="COLD"/>
    <n v="7.5800000000000006E-2"/>
    <n v="0.62"/>
    <n v="16.420000000000002"/>
    <x v="1"/>
    <n v="2"/>
    <n v="17"/>
    <x v="75"/>
    <m/>
    <s v="Week 4"/>
    <x v="0"/>
  </r>
  <r>
    <n v="511"/>
    <x v="22"/>
    <n v="9"/>
    <x v="1"/>
    <n v="7"/>
    <n v="1"/>
    <x v="0"/>
    <x v="18"/>
    <s v="COLD"/>
    <n v="7.5800000000000006E-2"/>
    <n v="0.54"/>
    <n v="35.82"/>
    <x v="2"/>
    <n v="3"/>
    <n v="25"/>
    <x v="20"/>
    <m/>
    <s v="Week 4"/>
    <x v="0"/>
  </r>
  <r>
    <n v="512"/>
    <x v="22"/>
    <n v="10"/>
    <x v="1"/>
    <n v="7"/>
    <n v="1"/>
    <x v="0"/>
    <x v="14"/>
    <s v="COMFORTABLE"/>
    <n v="0.1061"/>
    <n v="0.46"/>
    <n v="38.81"/>
    <x v="2"/>
    <n v="7"/>
    <n v="51"/>
    <x v="154"/>
    <m/>
    <s v="Week 4"/>
    <x v="0"/>
  </r>
  <r>
    <n v="513"/>
    <x v="22"/>
    <n v="11"/>
    <x v="1"/>
    <n v="7"/>
    <n v="1"/>
    <x v="0"/>
    <x v="14"/>
    <s v="COMFORTABLE"/>
    <n v="0.13639999999999999"/>
    <n v="0.43"/>
    <n v="22.39"/>
    <x v="0"/>
    <n v="22"/>
    <n v="77"/>
    <x v="111"/>
    <m/>
    <s v="Week 4"/>
    <x v="0"/>
  </r>
  <r>
    <n v="514"/>
    <x v="22"/>
    <n v="12"/>
    <x v="1"/>
    <n v="7"/>
    <n v="1"/>
    <x v="0"/>
    <x v="13"/>
    <s v="COMFORTABLE"/>
    <n v="0.1212"/>
    <n v="0.37"/>
    <n v="46.27"/>
    <x v="2"/>
    <n v="24"/>
    <n v="92"/>
    <x v="155"/>
    <m/>
    <s v="Week 4"/>
    <x v="0"/>
  </r>
  <r>
    <n v="515"/>
    <x v="22"/>
    <n v="13"/>
    <x v="1"/>
    <n v="7"/>
    <n v="1"/>
    <x v="0"/>
    <x v="14"/>
    <s v="COMFORTABLE"/>
    <n v="0.1061"/>
    <n v="0.33"/>
    <n v="38.81"/>
    <x v="2"/>
    <n v="12"/>
    <n v="75"/>
    <x v="90"/>
    <m/>
    <s v="Week 4"/>
    <x v="0"/>
  </r>
  <r>
    <n v="516"/>
    <x v="22"/>
    <n v="14"/>
    <x v="1"/>
    <n v="7"/>
    <n v="1"/>
    <x v="0"/>
    <x v="13"/>
    <s v="COMFORTABLE"/>
    <n v="0.13639999999999999"/>
    <n v="0.28000000000000003"/>
    <n v="35.82"/>
    <x v="2"/>
    <n v="17"/>
    <n v="93"/>
    <x v="14"/>
    <m/>
    <s v="Week 4"/>
    <x v="0"/>
  </r>
  <r>
    <n v="517"/>
    <x v="22"/>
    <n v="15"/>
    <x v="1"/>
    <n v="7"/>
    <n v="1"/>
    <x v="0"/>
    <x v="13"/>
    <s v="COMFORTABLE"/>
    <n v="0.13639999999999999"/>
    <n v="0.28000000000000003"/>
    <n v="35.82"/>
    <x v="2"/>
    <n v="13"/>
    <n v="64"/>
    <x v="43"/>
    <m/>
    <s v="Week 4"/>
    <x v="0"/>
  </r>
  <r>
    <n v="518"/>
    <x v="22"/>
    <n v="16"/>
    <x v="1"/>
    <n v="7"/>
    <n v="1"/>
    <x v="0"/>
    <x v="13"/>
    <s v="COMFORTABLE"/>
    <n v="0.13639999999999999"/>
    <n v="0.26"/>
    <n v="32.840000000000003"/>
    <x v="2"/>
    <n v="9"/>
    <n v="56"/>
    <x v="32"/>
    <m/>
    <s v="Week 4"/>
    <x v="0"/>
  </r>
  <r>
    <n v="519"/>
    <x v="22"/>
    <n v="17"/>
    <x v="1"/>
    <n v="7"/>
    <n v="1"/>
    <x v="0"/>
    <x v="14"/>
    <s v="COMFORTABLE"/>
    <n v="0.1061"/>
    <n v="0.26"/>
    <n v="38.81"/>
    <x v="2"/>
    <n v="5"/>
    <n v="50"/>
    <x v="97"/>
    <m/>
    <s v="Week 4"/>
    <x v="0"/>
  </r>
  <r>
    <n v="520"/>
    <x v="22"/>
    <n v="18"/>
    <x v="1"/>
    <n v="7"/>
    <n v="1"/>
    <x v="0"/>
    <x v="16"/>
    <s v="COMFORTABLE"/>
    <n v="0.1212"/>
    <n v="0.3"/>
    <n v="25.369999999999997"/>
    <x v="0"/>
    <n v="5"/>
    <n v="44"/>
    <x v="99"/>
    <m/>
    <s v="Week 4"/>
    <x v="0"/>
  </r>
  <r>
    <n v="521"/>
    <x v="22"/>
    <n v="19"/>
    <x v="1"/>
    <n v="7"/>
    <n v="1"/>
    <x v="0"/>
    <x v="16"/>
    <s v="COMFORTABLE"/>
    <n v="0.1212"/>
    <n v="0.3"/>
    <n v="28.360000000000003"/>
    <x v="0"/>
    <n v="5"/>
    <n v="45"/>
    <x v="89"/>
    <m/>
    <s v="Week 4"/>
    <x v="0"/>
  </r>
  <r>
    <n v="522"/>
    <x v="22"/>
    <n v="20"/>
    <x v="1"/>
    <n v="7"/>
    <n v="1"/>
    <x v="0"/>
    <x v="18"/>
    <s v="COLD"/>
    <n v="0.1061"/>
    <n v="0.36"/>
    <n v="25.369999999999997"/>
    <x v="0"/>
    <n v="4"/>
    <n v="31"/>
    <x v="17"/>
    <m/>
    <s v="Week 4"/>
    <x v="0"/>
  </r>
  <r>
    <n v="523"/>
    <x v="22"/>
    <n v="21"/>
    <x v="1"/>
    <n v="7"/>
    <n v="1"/>
    <x v="0"/>
    <x v="18"/>
    <s v="COLD"/>
    <n v="0.1061"/>
    <n v="0.36"/>
    <n v="19.400000000000002"/>
    <x v="1"/>
    <n v="5"/>
    <n v="20"/>
    <x v="94"/>
    <m/>
    <s v="Week 4"/>
    <x v="0"/>
  </r>
  <r>
    <n v="524"/>
    <x v="22"/>
    <n v="22"/>
    <x v="1"/>
    <n v="7"/>
    <n v="1"/>
    <x v="0"/>
    <x v="19"/>
    <s v="COLD"/>
    <n v="9.0899999999999995E-2"/>
    <n v="0.38"/>
    <n v="19.400000000000002"/>
    <x v="1"/>
    <n v="5"/>
    <n v="23"/>
    <x v="20"/>
    <m/>
    <s v="Week 4"/>
    <x v="0"/>
  </r>
  <r>
    <n v="525"/>
    <x v="22"/>
    <n v="23"/>
    <x v="1"/>
    <n v="7"/>
    <n v="1"/>
    <x v="0"/>
    <x v="20"/>
    <s v="COLD"/>
    <n v="6.0600000000000001E-2"/>
    <n v="0.41"/>
    <n v="22.39"/>
    <x v="0"/>
    <n v="4"/>
    <n v="17"/>
    <x v="137"/>
    <m/>
    <s v="Week 4"/>
    <x v="0"/>
  </r>
  <r>
    <n v="526"/>
    <x v="23"/>
    <n v="0"/>
    <x v="1"/>
    <n v="1"/>
    <n v="1"/>
    <x v="0"/>
    <x v="20"/>
    <s v="COLD"/>
    <n v="6.0600000000000001E-2"/>
    <n v="0.41"/>
    <n v="19.400000000000002"/>
    <x v="1"/>
    <n v="0"/>
    <n v="7"/>
    <x v="85"/>
    <m/>
    <s v="Week 4"/>
    <x v="0"/>
  </r>
  <r>
    <n v="527"/>
    <x v="23"/>
    <n v="1"/>
    <x v="1"/>
    <n v="1"/>
    <n v="1"/>
    <x v="0"/>
    <x v="21"/>
    <s v="COLD"/>
    <n v="4.5499999999999999E-2"/>
    <n v="0.45"/>
    <n v="19.400000000000002"/>
    <x v="1"/>
    <n v="0"/>
    <n v="1"/>
    <x v="4"/>
    <m/>
    <s v="Week 4"/>
    <x v="0"/>
  </r>
  <r>
    <n v="528"/>
    <x v="23"/>
    <n v="3"/>
    <x v="1"/>
    <n v="1"/>
    <n v="1"/>
    <x v="0"/>
    <x v="21"/>
    <s v="COLD"/>
    <n v="3.0300000000000001E-2"/>
    <n v="0.45"/>
    <n v="25.369999999999997"/>
    <x v="0"/>
    <n v="0"/>
    <n v="1"/>
    <x v="4"/>
    <m/>
    <s v="Week 4"/>
    <x v="0"/>
  </r>
  <r>
    <n v="529"/>
    <x v="23"/>
    <n v="4"/>
    <x v="1"/>
    <n v="1"/>
    <n v="1"/>
    <x v="0"/>
    <x v="22"/>
    <s v="COLD"/>
    <n v="6.0600000000000001E-2"/>
    <n v="0.48"/>
    <n v="13.43"/>
    <x v="1"/>
    <n v="0"/>
    <n v="1"/>
    <x v="4"/>
    <m/>
    <s v="Week 4"/>
    <x v="0"/>
  </r>
  <r>
    <n v="530"/>
    <x v="23"/>
    <n v="5"/>
    <x v="1"/>
    <n v="1"/>
    <n v="1"/>
    <x v="0"/>
    <x v="22"/>
    <s v="COLD"/>
    <n v="6.0600000000000001E-2"/>
    <n v="0.48"/>
    <n v="13.43"/>
    <x v="1"/>
    <n v="0"/>
    <n v="5"/>
    <x v="36"/>
    <m/>
    <s v="Week 4"/>
    <x v="0"/>
  </r>
  <r>
    <n v="531"/>
    <x v="23"/>
    <n v="6"/>
    <x v="1"/>
    <n v="1"/>
    <n v="1"/>
    <x v="0"/>
    <x v="22"/>
    <s v="COLD"/>
    <n v="7.5800000000000006E-2"/>
    <n v="0.48"/>
    <n v="8.9599999999999991"/>
    <x v="1"/>
    <n v="0"/>
    <n v="15"/>
    <x v="93"/>
    <m/>
    <s v="Week 4"/>
    <x v="0"/>
  </r>
  <r>
    <n v="532"/>
    <x v="23"/>
    <n v="7"/>
    <x v="1"/>
    <n v="1"/>
    <n v="1"/>
    <x v="0"/>
    <x v="22"/>
    <s v="COLD"/>
    <n v="0.1212"/>
    <n v="0.48"/>
    <n v="20.485098360655737"/>
    <x v="0"/>
    <n v="5"/>
    <n v="79"/>
    <x v="11"/>
    <m/>
    <s v="Week 4"/>
    <x v="0"/>
  </r>
  <r>
    <n v="533"/>
    <x v="23"/>
    <n v="8"/>
    <x v="1"/>
    <n v="1"/>
    <n v="1"/>
    <x v="0"/>
    <x v="21"/>
    <s v="COLD"/>
    <n v="0.13639999999999999"/>
    <n v="0.49"/>
    <n v="20.485098360655737"/>
    <x v="0"/>
    <n v="6"/>
    <n v="171"/>
    <x v="156"/>
    <m/>
    <s v="Week 4"/>
    <x v="0"/>
  </r>
  <r>
    <n v="534"/>
    <x v="23"/>
    <n v="9"/>
    <x v="1"/>
    <n v="1"/>
    <n v="1"/>
    <x v="0"/>
    <x v="20"/>
    <s v="COLD"/>
    <n v="0.1515"/>
    <n v="0.41"/>
    <n v="20.485098360655737"/>
    <x v="0"/>
    <n v="4"/>
    <n v="98"/>
    <x v="96"/>
    <m/>
    <s v="Week 4"/>
    <x v="0"/>
  </r>
  <r>
    <n v="535"/>
    <x v="23"/>
    <n v="10"/>
    <x v="1"/>
    <n v="1"/>
    <n v="1"/>
    <x v="0"/>
    <x v="18"/>
    <s v="COLD"/>
    <n v="0.13639999999999999"/>
    <n v="0.42"/>
    <n v="20.485098360655737"/>
    <x v="0"/>
    <n v="6"/>
    <n v="34"/>
    <x v="1"/>
    <m/>
    <s v="Week 4"/>
    <x v="0"/>
  </r>
  <r>
    <n v="536"/>
    <x v="23"/>
    <n v="11"/>
    <x v="1"/>
    <n v="1"/>
    <n v="1"/>
    <x v="0"/>
    <x v="18"/>
    <s v="COLD"/>
    <n v="0.1212"/>
    <n v="0.46"/>
    <n v="13.43"/>
    <x v="1"/>
    <n v="3"/>
    <n v="43"/>
    <x v="66"/>
    <m/>
    <s v="Week 4"/>
    <x v="0"/>
  </r>
  <r>
    <n v="537"/>
    <x v="23"/>
    <n v="12"/>
    <x v="1"/>
    <n v="1"/>
    <n v="2"/>
    <x v="1"/>
    <x v="16"/>
    <s v="COMFORTABLE"/>
    <n v="0.13639999999999999"/>
    <n v="0.42"/>
    <n v="19.400000000000002"/>
    <x v="1"/>
    <n v="11"/>
    <n v="52"/>
    <x v="55"/>
    <m/>
    <s v="Week 4"/>
    <x v="0"/>
  </r>
  <r>
    <n v="538"/>
    <x v="23"/>
    <n v="13"/>
    <x v="1"/>
    <n v="1"/>
    <n v="2"/>
    <x v="1"/>
    <x v="14"/>
    <s v="COMFORTABLE"/>
    <n v="0.13639999999999999"/>
    <n v="0.43"/>
    <n v="22.39"/>
    <x v="0"/>
    <n v="6"/>
    <n v="54"/>
    <x v="122"/>
    <m/>
    <s v="Week 4"/>
    <x v="0"/>
  </r>
  <r>
    <n v="539"/>
    <x v="23"/>
    <n v="14"/>
    <x v="1"/>
    <n v="1"/>
    <n v="2"/>
    <x v="1"/>
    <x v="14"/>
    <s v="COMFORTABLE"/>
    <n v="0.13639999999999999"/>
    <n v="0.46"/>
    <n v="22.39"/>
    <x v="0"/>
    <n v="2"/>
    <n v="43"/>
    <x v="79"/>
    <m/>
    <s v="Week 4"/>
    <x v="0"/>
  </r>
  <r>
    <n v="540"/>
    <x v="23"/>
    <n v="15"/>
    <x v="1"/>
    <n v="1"/>
    <n v="1"/>
    <x v="0"/>
    <x v="13"/>
    <s v="COMFORTABLE"/>
    <n v="0.16669999999999999"/>
    <n v="0.4"/>
    <n v="16.420000000000002"/>
    <x v="1"/>
    <n v="7"/>
    <n v="50"/>
    <x v="52"/>
    <m/>
    <s v="Week 4"/>
    <x v="0"/>
  </r>
  <r>
    <n v="541"/>
    <x v="23"/>
    <n v="16"/>
    <x v="1"/>
    <n v="1"/>
    <n v="1"/>
    <x v="0"/>
    <x v="13"/>
    <s v="COMFORTABLE"/>
    <n v="0.1515"/>
    <n v="0.47"/>
    <n v="25.369999999999997"/>
    <x v="0"/>
    <n v="4"/>
    <n v="66"/>
    <x v="27"/>
    <m/>
    <s v="Week 4"/>
    <x v="0"/>
  </r>
  <r>
    <n v="542"/>
    <x v="23"/>
    <n v="17"/>
    <x v="1"/>
    <n v="1"/>
    <n v="1"/>
    <x v="0"/>
    <x v="14"/>
    <s v="COMFORTABLE"/>
    <n v="0.1212"/>
    <n v="0.5"/>
    <n v="25.369999999999997"/>
    <x v="0"/>
    <n v="6"/>
    <n v="178"/>
    <x v="157"/>
    <m/>
    <s v="Week 4"/>
    <x v="0"/>
  </r>
  <r>
    <n v="543"/>
    <x v="23"/>
    <n v="18"/>
    <x v="1"/>
    <n v="1"/>
    <n v="1"/>
    <x v="0"/>
    <x v="14"/>
    <s v="COMFORTABLE"/>
    <n v="0.13639999999999999"/>
    <n v="0.59"/>
    <n v="19.400000000000002"/>
    <x v="1"/>
    <n v="8"/>
    <n v="145"/>
    <x v="158"/>
    <m/>
    <s v="Week 4"/>
    <x v="0"/>
  </r>
  <r>
    <n v="544"/>
    <x v="23"/>
    <n v="19"/>
    <x v="1"/>
    <n v="1"/>
    <n v="1"/>
    <x v="0"/>
    <x v="14"/>
    <s v="COMFORTABLE"/>
    <n v="0.1515"/>
    <n v="0.54"/>
    <n v="16.420000000000002"/>
    <x v="1"/>
    <n v="5"/>
    <n v="101"/>
    <x v="13"/>
    <m/>
    <s v="Week 4"/>
    <x v="0"/>
  </r>
  <r>
    <n v="545"/>
    <x v="23"/>
    <n v="20"/>
    <x v="1"/>
    <n v="1"/>
    <n v="1"/>
    <x v="0"/>
    <x v="14"/>
    <s v="COMFORTABLE"/>
    <n v="0.13639999999999999"/>
    <n v="0.59"/>
    <n v="19.400000000000002"/>
    <x v="1"/>
    <n v="1"/>
    <n v="80"/>
    <x v="117"/>
    <m/>
    <s v="Week 4"/>
    <x v="0"/>
  </r>
  <r>
    <n v="546"/>
    <x v="23"/>
    <n v="21"/>
    <x v="1"/>
    <n v="1"/>
    <n v="1"/>
    <x v="0"/>
    <x v="14"/>
    <s v="COMFORTABLE"/>
    <n v="0.1515"/>
    <n v="0.63"/>
    <n v="16.420000000000002"/>
    <x v="1"/>
    <n v="6"/>
    <n v="53"/>
    <x v="29"/>
    <m/>
    <s v="Week 4"/>
    <x v="0"/>
  </r>
  <r>
    <n v="547"/>
    <x v="23"/>
    <n v="22"/>
    <x v="1"/>
    <n v="1"/>
    <n v="2"/>
    <x v="1"/>
    <x v="14"/>
    <s v="COMFORTABLE"/>
    <n v="0.13639999999999999"/>
    <n v="0.63"/>
    <n v="22.39"/>
    <x v="0"/>
    <n v="3"/>
    <n v="32"/>
    <x v="17"/>
    <m/>
    <s v="Week 4"/>
    <x v="0"/>
  </r>
  <r>
    <n v="548"/>
    <x v="23"/>
    <n v="23"/>
    <x v="1"/>
    <n v="1"/>
    <n v="2"/>
    <x v="1"/>
    <x v="13"/>
    <s v="COMFORTABLE"/>
    <n v="0.1515"/>
    <n v="0.64"/>
    <n v="25.369999999999997"/>
    <x v="0"/>
    <n v="3"/>
    <n v="21"/>
    <x v="108"/>
    <m/>
    <s v="Week 4"/>
    <x v="0"/>
  </r>
  <r>
    <n v="549"/>
    <x v="24"/>
    <n v="0"/>
    <x v="1"/>
    <n v="2"/>
    <n v="2"/>
    <x v="1"/>
    <x v="13"/>
    <s v="COMFORTABLE"/>
    <n v="0.13639999999999999"/>
    <n v="0.69"/>
    <n v="28.360000000000003"/>
    <x v="0"/>
    <n v="3"/>
    <n v="6"/>
    <x v="23"/>
    <m/>
    <s v="Week 4"/>
    <x v="0"/>
  </r>
  <r>
    <n v="550"/>
    <x v="24"/>
    <n v="1"/>
    <x v="1"/>
    <n v="2"/>
    <n v="2"/>
    <x v="1"/>
    <x v="13"/>
    <s v="COMFORTABLE"/>
    <n v="0.16669999999999999"/>
    <n v="0.69"/>
    <n v="16.420000000000002"/>
    <x v="1"/>
    <n v="0"/>
    <n v="5"/>
    <x v="36"/>
    <m/>
    <s v="Week 4"/>
    <x v="0"/>
  </r>
  <r>
    <n v="551"/>
    <x v="24"/>
    <n v="2"/>
    <x v="1"/>
    <n v="2"/>
    <n v="1"/>
    <x v="0"/>
    <x v="13"/>
    <s v="COMFORTABLE"/>
    <n v="0.1515"/>
    <n v="0.69"/>
    <n v="22.39"/>
    <x v="0"/>
    <n v="0"/>
    <n v="2"/>
    <x v="5"/>
    <m/>
    <s v="Week 4"/>
    <x v="0"/>
  </r>
  <r>
    <n v="552"/>
    <x v="24"/>
    <n v="4"/>
    <x v="1"/>
    <n v="2"/>
    <n v="1"/>
    <x v="0"/>
    <x v="14"/>
    <s v="COMFORTABLE"/>
    <n v="0.16669999999999999"/>
    <n v="0.74"/>
    <n v="10.45"/>
    <x v="1"/>
    <n v="0"/>
    <n v="1"/>
    <x v="4"/>
    <m/>
    <s v="Week 4"/>
    <x v="0"/>
  </r>
  <r>
    <n v="553"/>
    <x v="24"/>
    <n v="5"/>
    <x v="1"/>
    <n v="2"/>
    <n v="1"/>
    <x v="0"/>
    <x v="14"/>
    <s v="COMFORTABLE"/>
    <n v="0.13639999999999999"/>
    <n v="0.74"/>
    <n v="22.39"/>
    <x v="0"/>
    <n v="0"/>
    <n v="9"/>
    <x v="23"/>
    <m/>
    <s v="Week 4"/>
    <x v="0"/>
  </r>
  <r>
    <n v="554"/>
    <x v="24"/>
    <n v="6"/>
    <x v="1"/>
    <n v="2"/>
    <n v="1"/>
    <x v="0"/>
    <x v="13"/>
    <s v="COMFORTABLE"/>
    <n v="0.18179999999999999"/>
    <n v="0.74"/>
    <n v="10.45"/>
    <x v="1"/>
    <n v="1"/>
    <n v="35"/>
    <x v="9"/>
    <m/>
    <s v="Week 4"/>
    <x v="0"/>
  </r>
  <r>
    <n v="555"/>
    <x v="24"/>
    <n v="7"/>
    <x v="1"/>
    <n v="2"/>
    <n v="1"/>
    <x v="0"/>
    <x v="13"/>
    <s v="COMFORTABLE"/>
    <n v="0.1515"/>
    <n v="0.74"/>
    <n v="22.39"/>
    <x v="0"/>
    <n v="5"/>
    <n v="103"/>
    <x v="159"/>
    <m/>
    <s v="Week 4"/>
    <x v="0"/>
  </r>
  <r>
    <n v="556"/>
    <x v="24"/>
    <n v="8"/>
    <x v="1"/>
    <n v="2"/>
    <n v="2"/>
    <x v="1"/>
    <x v="13"/>
    <s v="COMFORTABLE"/>
    <n v="0.18179999999999999"/>
    <n v="0.74"/>
    <n v="13.43"/>
    <x v="1"/>
    <n v="5"/>
    <n v="233"/>
    <x v="160"/>
    <m/>
    <s v="Week 4"/>
    <x v="0"/>
  </r>
  <r>
    <n v="557"/>
    <x v="24"/>
    <n v="9"/>
    <x v="1"/>
    <n v="2"/>
    <n v="2"/>
    <x v="1"/>
    <x v="2"/>
    <s v="COMFORTABLE"/>
    <n v="0.2273"/>
    <n v="0.64"/>
    <n v="8.9599999999999991"/>
    <x v="1"/>
    <n v="10"/>
    <n v="134"/>
    <x v="124"/>
    <m/>
    <s v="Week 4"/>
    <x v="0"/>
  </r>
  <r>
    <n v="558"/>
    <x v="24"/>
    <n v="10"/>
    <x v="1"/>
    <n v="2"/>
    <n v="2"/>
    <x v="1"/>
    <x v="1"/>
    <s v="COMFORTABLE"/>
    <n v="0.2424"/>
    <n v="0.6"/>
    <n v="10.45"/>
    <x v="1"/>
    <n v="6"/>
    <n v="49"/>
    <x v="97"/>
    <m/>
    <s v="Week 4"/>
    <x v="0"/>
  </r>
  <r>
    <n v="559"/>
    <x v="24"/>
    <n v="11"/>
    <x v="1"/>
    <n v="2"/>
    <n v="2"/>
    <x v="1"/>
    <x v="0"/>
    <s v="COMFORTABLE"/>
    <n v="0.2424"/>
    <n v="0.6"/>
    <n v="13.43"/>
    <x v="1"/>
    <n v="6"/>
    <n v="55"/>
    <x v="42"/>
    <m/>
    <s v="Week 4"/>
    <x v="0"/>
  </r>
  <r>
    <n v="560"/>
    <x v="24"/>
    <n v="12"/>
    <x v="1"/>
    <n v="2"/>
    <n v="2"/>
    <x v="1"/>
    <x v="12"/>
    <s v="WARM"/>
    <n v="0.28789999999999999"/>
    <n v="0.56000000000000005"/>
    <n v="8.9599999999999991"/>
    <x v="1"/>
    <n v="21"/>
    <n v="85"/>
    <x v="13"/>
    <m/>
    <s v="Week 4"/>
    <x v="0"/>
  </r>
  <r>
    <n v="561"/>
    <x v="24"/>
    <n v="13"/>
    <x v="1"/>
    <n v="2"/>
    <n v="2"/>
    <x v="1"/>
    <x v="12"/>
    <s v="WARM"/>
    <n v="0.2727"/>
    <n v="0.56000000000000005"/>
    <n v="13.43"/>
    <x v="1"/>
    <n v="21"/>
    <n v="72"/>
    <x v="15"/>
    <m/>
    <s v="Week 4"/>
    <x v="0"/>
  </r>
  <r>
    <n v="562"/>
    <x v="24"/>
    <n v="14"/>
    <x v="1"/>
    <n v="2"/>
    <n v="2"/>
    <x v="1"/>
    <x v="11"/>
    <s v="WARM"/>
    <n v="0.33329999999999999"/>
    <n v="0.45"/>
    <n v="20.485098360655737"/>
    <x v="0"/>
    <n v="11"/>
    <n v="57"/>
    <x v="118"/>
    <m/>
    <s v="Week 4"/>
    <x v="0"/>
  </r>
  <r>
    <n v="563"/>
    <x v="24"/>
    <n v="15"/>
    <x v="1"/>
    <n v="2"/>
    <n v="2"/>
    <x v="1"/>
    <x v="3"/>
    <s v="WARM"/>
    <n v="0.34849999999999998"/>
    <n v="0.42"/>
    <n v="20.485098360655737"/>
    <x v="0"/>
    <n v="21"/>
    <n v="63"/>
    <x v="11"/>
    <m/>
    <s v="Week 4"/>
    <x v="0"/>
  </r>
  <r>
    <n v="564"/>
    <x v="24"/>
    <n v="16"/>
    <x v="1"/>
    <n v="2"/>
    <n v="2"/>
    <x v="1"/>
    <x v="3"/>
    <s v="WARM"/>
    <n v="0.34849999999999998"/>
    <n v="0.42"/>
    <n v="20.485098360655737"/>
    <x v="0"/>
    <n v="14"/>
    <n v="102"/>
    <x v="155"/>
    <m/>
    <s v="Week 4"/>
    <x v="0"/>
  </r>
  <r>
    <n v="565"/>
    <x v="24"/>
    <n v="17"/>
    <x v="1"/>
    <n v="2"/>
    <n v="1"/>
    <x v="0"/>
    <x v="11"/>
    <s v="WARM"/>
    <n v="0.33329999999999999"/>
    <n v="0.45"/>
    <n v="20.485098360655737"/>
    <x v="0"/>
    <n v="14"/>
    <n v="208"/>
    <x v="161"/>
    <m/>
    <s v="Week 4"/>
    <x v="0"/>
  </r>
  <r>
    <n v="566"/>
    <x v="24"/>
    <n v="18"/>
    <x v="1"/>
    <n v="2"/>
    <n v="2"/>
    <x v="1"/>
    <x v="11"/>
    <s v="WARM"/>
    <n v="0.31819999999999998"/>
    <n v="0.49"/>
    <n v="8.9599999999999991"/>
    <x v="1"/>
    <n v="7"/>
    <n v="218"/>
    <x v="162"/>
    <m/>
    <s v="Week 4"/>
    <x v="0"/>
  </r>
  <r>
    <n v="567"/>
    <x v="24"/>
    <n v="19"/>
    <x v="1"/>
    <n v="2"/>
    <n v="2"/>
    <x v="1"/>
    <x v="12"/>
    <s v="WARM"/>
    <n v="0.2576"/>
    <n v="0.65"/>
    <n v="16.420000000000002"/>
    <x v="1"/>
    <n v="13"/>
    <n v="133"/>
    <x v="163"/>
    <m/>
    <s v="Week 4"/>
    <x v="0"/>
  </r>
  <r>
    <n v="568"/>
    <x v="24"/>
    <n v="20"/>
    <x v="1"/>
    <n v="2"/>
    <n v="1"/>
    <x v="0"/>
    <x v="0"/>
    <s v="COMFORTABLE"/>
    <n v="0.2273"/>
    <n v="0.65"/>
    <n v="19.400000000000002"/>
    <x v="1"/>
    <n v="16"/>
    <n v="103"/>
    <x v="164"/>
    <m/>
    <s v="Week 4"/>
    <x v="0"/>
  </r>
  <r>
    <n v="569"/>
    <x v="24"/>
    <n v="21"/>
    <x v="1"/>
    <n v="2"/>
    <n v="1"/>
    <x v="0"/>
    <x v="0"/>
    <s v="COMFORTABLE"/>
    <n v="0.2273"/>
    <n v="0.65"/>
    <n v="19.400000000000002"/>
    <x v="1"/>
    <n v="5"/>
    <n v="40"/>
    <x v="79"/>
    <m/>
    <s v="Week 4"/>
    <x v="0"/>
  </r>
  <r>
    <n v="570"/>
    <x v="24"/>
    <n v="22"/>
    <x v="1"/>
    <n v="2"/>
    <n v="1"/>
    <x v="0"/>
    <x v="1"/>
    <s v="COMFORTABLE"/>
    <n v="0.2273"/>
    <n v="0.64"/>
    <n v="16.420000000000002"/>
    <x v="1"/>
    <n v="4"/>
    <n v="49"/>
    <x v="26"/>
    <m/>
    <s v="Week 4"/>
    <x v="0"/>
  </r>
  <r>
    <n v="571"/>
    <x v="24"/>
    <n v="23"/>
    <x v="1"/>
    <n v="2"/>
    <n v="2"/>
    <x v="1"/>
    <x v="1"/>
    <s v="COMFORTABLE"/>
    <n v="0.2273"/>
    <n v="0.64"/>
    <n v="16.420000000000002"/>
    <x v="1"/>
    <n v="3"/>
    <n v="37"/>
    <x v="1"/>
    <m/>
    <s v="Week 4"/>
    <x v="0"/>
  </r>
  <r>
    <n v="572"/>
    <x v="25"/>
    <n v="0"/>
    <x v="0"/>
    <n v="3"/>
    <n v="2"/>
    <x v="1"/>
    <x v="1"/>
    <s v="COMFORTABLE"/>
    <n v="0.2273"/>
    <n v="0.69"/>
    <n v="13.43"/>
    <x v="1"/>
    <n v="3"/>
    <n v="14"/>
    <x v="22"/>
    <m/>
    <s v="Week 4"/>
    <x v="0"/>
  </r>
  <r>
    <n v="573"/>
    <x v="25"/>
    <n v="1"/>
    <x v="0"/>
    <n v="3"/>
    <n v="2"/>
    <x v="1"/>
    <x v="0"/>
    <s v="COMFORTABLE"/>
    <n v="0.2424"/>
    <n v="0.65"/>
    <n v="13.43"/>
    <x v="1"/>
    <n v="0"/>
    <n v="5"/>
    <x v="36"/>
    <m/>
    <s v="Week 4"/>
    <x v="0"/>
  </r>
  <r>
    <n v="574"/>
    <x v="25"/>
    <n v="2"/>
    <x v="0"/>
    <n v="3"/>
    <n v="3"/>
    <x v="2"/>
    <x v="1"/>
    <s v="COMFORTABLE"/>
    <n v="0.2273"/>
    <n v="0.69"/>
    <n v="19.400000000000002"/>
    <x v="1"/>
    <n v="3"/>
    <n v="7"/>
    <x v="98"/>
    <m/>
    <s v="Week 4"/>
    <x v="0"/>
  </r>
  <r>
    <n v="575"/>
    <x v="25"/>
    <n v="5"/>
    <x v="0"/>
    <n v="3"/>
    <n v="3"/>
    <x v="2"/>
    <x v="2"/>
    <s v="COMFORTABLE"/>
    <n v="0.18179999999999999"/>
    <n v="0.86"/>
    <n v="28.360000000000003"/>
    <x v="0"/>
    <n v="0"/>
    <n v="1"/>
    <x v="4"/>
    <m/>
    <s v="Week 4"/>
    <x v="0"/>
  </r>
  <r>
    <n v="576"/>
    <x v="25"/>
    <n v="6"/>
    <x v="0"/>
    <n v="3"/>
    <n v="3"/>
    <x v="2"/>
    <x v="2"/>
    <s v="COMFORTABLE"/>
    <n v="0.18179999999999999"/>
    <n v="0.86"/>
    <n v="28.360000000000003"/>
    <x v="0"/>
    <n v="0"/>
    <n v="8"/>
    <x v="7"/>
    <m/>
    <s v="Week 4"/>
    <x v="0"/>
  </r>
  <r>
    <n v="577"/>
    <x v="25"/>
    <n v="7"/>
    <x v="0"/>
    <n v="3"/>
    <n v="3"/>
    <x v="2"/>
    <x v="1"/>
    <s v="COMFORTABLE"/>
    <n v="0.21210000000000001"/>
    <n v="0.87"/>
    <n v="29.849999999999998"/>
    <x v="0"/>
    <n v="1"/>
    <n v="29"/>
    <x v="33"/>
    <m/>
    <s v="Week 4"/>
    <x v="0"/>
  </r>
  <r>
    <n v="578"/>
    <x v="25"/>
    <n v="8"/>
    <x v="0"/>
    <n v="3"/>
    <n v="3"/>
    <x v="2"/>
    <x v="1"/>
    <s v="COMFORTABLE"/>
    <n v="0.21210000000000001"/>
    <n v="0.87"/>
    <n v="29.849999999999998"/>
    <x v="0"/>
    <n v="3"/>
    <n v="69"/>
    <x v="44"/>
    <m/>
    <s v="Week 4"/>
    <x v="0"/>
  </r>
  <r>
    <n v="579"/>
    <x v="25"/>
    <n v="9"/>
    <x v="0"/>
    <n v="3"/>
    <n v="3"/>
    <x v="2"/>
    <x v="1"/>
    <s v="COMFORTABLE"/>
    <n v="0.21210000000000001"/>
    <n v="0.87"/>
    <n v="29.849999999999998"/>
    <x v="0"/>
    <n v="3"/>
    <n v="55"/>
    <x v="154"/>
    <m/>
    <s v="Week 4"/>
    <x v="0"/>
  </r>
  <r>
    <n v="580"/>
    <x v="25"/>
    <n v="10"/>
    <x v="0"/>
    <n v="3"/>
    <n v="3"/>
    <x v="2"/>
    <x v="1"/>
    <s v="COMFORTABLE"/>
    <n v="0.21210000000000001"/>
    <n v="0.93"/>
    <n v="28.360000000000003"/>
    <x v="0"/>
    <n v="2"/>
    <n v="26"/>
    <x v="20"/>
    <m/>
    <s v="Week 4"/>
    <x v="0"/>
  </r>
  <r>
    <n v="581"/>
    <x v="25"/>
    <n v="11"/>
    <x v="0"/>
    <n v="3"/>
    <n v="3"/>
    <x v="2"/>
    <x v="1"/>
    <s v="COMFORTABLE"/>
    <n v="0.19700000000000001"/>
    <n v="0.93"/>
    <n v="32.840000000000003"/>
    <x v="2"/>
    <n v="6"/>
    <n v="35"/>
    <x v="102"/>
    <m/>
    <s v="Week 4"/>
    <x v="0"/>
  </r>
  <r>
    <n v="582"/>
    <x v="25"/>
    <n v="12"/>
    <x v="0"/>
    <n v="3"/>
    <n v="3"/>
    <x v="2"/>
    <x v="1"/>
    <s v="COMFORTABLE"/>
    <n v="0.19700000000000001"/>
    <n v="0.93"/>
    <n v="32.840000000000003"/>
    <x v="2"/>
    <n v="7"/>
    <n v="41"/>
    <x v="61"/>
    <m/>
    <s v="Week 4"/>
    <x v="0"/>
  </r>
  <r>
    <n v="583"/>
    <x v="25"/>
    <n v="13"/>
    <x v="0"/>
    <n v="3"/>
    <n v="3"/>
    <x v="2"/>
    <x v="1"/>
    <s v="COMFORTABLE"/>
    <n v="0.19700000000000001"/>
    <n v="0.93"/>
    <n v="32.840000000000003"/>
    <x v="2"/>
    <n v="4"/>
    <n v="43"/>
    <x v="105"/>
    <m/>
    <s v="Week 4"/>
    <x v="0"/>
  </r>
  <r>
    <n v="584"/>
    <x v="25"/>
    <n v="14"/>
    <x v="0"/>
    <n v="3"/>
    <n v="3"/>
    <x v="2"/>
    <x v="1"/>
    <s v="COMFORTABLE"/>
    <n v="0.19700000000000001"/>
    <n v="0.93"/>
    <n v="35.82"/>
    <x v="2"/>
    <n v="0"/>
    <n v="36"/>
    <x v="9"/>
    <m/>
    <s v="Week 4"/>
    <x v="0"/>
  </r>
  <r>
    <n v="585"/>
    <x v="25"/>
    <n v="15"/>
    <x v="0"/>
    <n v="3"/>
    <n v="3"/>
    <x v="2"/>
    <x v="1"/>
    <s v="COMFORTABLE"/>
    <n v="0.18179999999999999"/>
    <n v="0.93"/>
    <n v="46.27"/>
    <x v="2"/>
    <n v="1"/>
    <n v="42"/>
    <x v="74"/>
    <m/>
    <s v="Week 4"/>
    <x v="0"/>
  </r>
  <r>
    <n v="586"/>
    <x v="25"/>
    <n v="16"/>
    <x v="0"/>
    <n v="3"/>
    <n v="3"/>
    <x v="2"/>
    <x v="1"/>
    <s v="COMFORTABLE"/>
    <n v="0.19700000000000001"/>
    <n v="0.93"/>
    <n v="32.840000000000003"/>
    <x v="2"/>
    <n v="1"/>
    <n v="35"/>
    <x v="9"/>
    <m/>
    <s v="Week 4"/>
    <x v="0"/>
  </r>
  <r>
    <n v="587"/>
    <x v="25"/>
    <n v="17"/>
    <x v="0"/>
    <n v="3"/>
    <n v="3"/>
    <x v="2"/>
    <x v="2"/>
    <s v="COMFORTABLE"/>
    <n v="0.18179999999999999"/>
    <n v="0.93"/>
    <n v="35.82"/>
    <x v="2"/>
    <n v="0"/>
    <n v="26"/>
    <x v="132"/>
    <m/>
    <s v="Week 4"/>
    <x v="0"/>
  </r>
  <r>
    <n v="588"/>
    <x v="25"/>
    <n v="16"/>
    <x v="0"/>
    <n v="3"/>
    <n v="1"/>
    <x v="0"/>
    <x v="1"/>
    <s v="COMFORTABLE"/>
    <n v="0.2273"/>
    <n v="0.55000000000000004"/>
    <n v="19.400000000000002"/>
    <x v="1"/>
    <n v="1"/>
    <n v="23"/>
    <x v="108"/>
    <m/>
    <s v="Week 4"/>
    <x v="0"/>
  </r>
  <r>
    <n v="589"/>
    <x v="25"/>
    <n v="17"/>
    <x v="0"/>
    <n v="3"/>
    <n v="1"/>
    <x v="0"/>
    <x v="1"/>
    <s v="COMFORTABLE"/>
    <n v="0.2424"/>
    <n v="0.55000000000000004"/>
    <n v="10.45"/>
    <x v="1"/>
    <n v="2"/>
    <n v="82"/>
    <x v="11"/>
    <m/>
    <s v="Week 4"/>
    <x v="0"/>
  </r>
  <r>
    <n v="590"/>
    <x v="25"/>
    <n v="18"/>
    <x v="0"/>
    <n v="3"/>
    <n v="1"/>
    <x v="0"/>
    <x v="2"/>
    <s v="COMFORTABLE"/>
    <n v="0.2273"/>
    <n v="0.69"/>
    <n v="8.9599999999999991"/>
    <x v="1"/>
    <n v="3"/>
    <n v="101"/>
    <x v="133"/>
    <m/>
    <s v="Week 4"/>
    <x v="0"/>
  </r>
  <r>
    <n v="591"/>
    <x v="25"/>
    <n v="19"/>
    <x v="0"/>
    <n v="3"/>
    <n v="1"/>
    <x v="0"/>
    <x v="2"/>
    <s v="COMFORTABLE"/>
    <n v="0.2273"/>
    <n v="0.69"/>
    <n v="8.9599999999999991"/>
    <x v="1"/>
    <n v="3"/>
    <n v="76"/>
    <x v="67"/>
    <m/>
    <s v="Week 4"/>
    <x v="0"/>
  </r>
  <r>
    <n v="592"/>
    <x v="25"/>
    <n v="20"/>
    <x v="0"/>
    <n v="3"/>
    <n v="1"/>
    <x v="0"/>
    <x v="15"/>
    <s v="COMFORTABLE"/>
    <n v="0.21210000000000001"/>
    <n v="0.74"/>
    <n v="8.9599999999999991"/>
    <x v="1"/>
    <n v="4"/>
    <n v="55"/>
    <x v="29"/>
    <m/>
    <s v="Week 4"/>
    <x v="0"/>
  </r>
  <r>
    <n v="593"/>
    <x v="25"/>
    <n v="21"/>
    <x v="0"/>
    <n v="3"/>
    <n v="1"/>
    <x v="0"/>
    <x v="15"/>
    <s v="COMFORTABLE"/>
    <n v="0.21210000000000001"/>
    <n v="0.74"/>
    <n v="8.9599999999999991"/>
    <x v="1"/>
    <n v="2"/>
    <n v="36"/>
    <x v="103"/>
    <m/>
    <s v="Week 4"/>
    <x v="0"/>
  </r>
  <r>
    <n v="594"/>
    <x v="25"/>
    <n v="22"/>
    <x v="0"/>
    <n v="3"/>
    <n v="1"/>
    <x v="0"/>
    <x v="15"/>
    <s v="COMFORTABLE"/>
    <n v="0.21210000000000001"/>
    <n v="0.74"/>
    <n v="8.9599999999999991"/>
    <x v="1"/>
    <n v="0"/>
    <n v="27"/>
    <x v="110"/>
    <m/>
    <s v="Week 4"/>
    <x v="0"/>
  </r>
  <r>
    <n v="595"/>
    <x v="25"/>
    <n v="23"/>
    <x v="0"/>
    <n v="3"/>
    <n v="1"/>
    <x v="0"/>
    <x v="15"/>
    <s v="COMFORTABLE"/>
    <n v="0.19700000000000001"/>
    <n v="0.8"/>
    <n v="16.420000000000002"/>
    <x v="1"/>
    <n v="0"/>
    <n v="16"/>
    <x v="0"/>
    <m/>
    <s v="Week 4"/>
    <x v="0"/>
  </r>
  <r>
    <n v="596"/>
    <x v="26"/>
    <n v="0"/>
    <x v="1"/>
    <n v="4"/>
    <n v="2"/>
    <x v="1"/>
    <x v="2"/>
    <s v="COMFORTABLE"/>
    <n v="0.21210000000000001"/>
    <n v="0.75"/>
    <n v="13.43"/>
    <x v="1"/>
    <n v="0"/>
    <n v="9"/>
    <x v="23"/>
    <m/>
    <s v="Week 4"/>
    <x v="0"/>
  </r>
  <r>
    <n v="597"/>
    <x v="26"/>
    <n v="1"/>
    <x v="1"/>
    <n v="4"/>
    <n v="2"/>
    <x v="1"/>
    <x v="2"/>
    <s v="COMFORTABLE"/>
    <n v="0.21210000000000001"/>
    <n v="0.75"/>
    <n v="13.43"/>
    <x v="1"/>
    <n v="1"/>
    <n v="2"/>
    <x v="6"/>
    <m/>
    <s v="Week 4"/>
    <x v="0"/>
  </r>
  <r>
    <n v="598"/>
    <x v="26"/>
    <n v="2"/>
    <x v="1"/>
    <n v="4"/>
    <n v="2"/>
    <x v="1"/>
    <x v="2"/>
    <s v="COMFORTABLE"/>
    <n v="0.21210000000000001"/>
    <n v="0.75"/>
    <n v="16.420000000000002"/>
    <x v="1"/>
    <n v="0"/>
    <n v="2"/>
    <x v="5"/>
    <m/>
    <s v="Week 4"/>
    <x v="0"/>
  </r>
  <r>
    <n v="599"/>
    <x v="26"/>
    <n v="3"/>
    <x v="1"/>
    <n v="4"/>
    <n v="2"/>
    <x v="1"/>
    <x v="2"/>
    <s v="COMFORTABLE"/>
    <n v="0.2273"/>
    <n v="0.75"/>
    <n v="10.45"/>
    <x v="1"/>
    <n v="1"/>
    <n v="0"/>
    <x v="4"/>
    <m/>
    <s v="Week 4"/>
    <x v="0"/>
  </r>
  <r>
    <n v="600"/>
    <x v="26"/>
    <n v="5"/>
    <x v="1"/>
    <n v="4"/>
    <n v="2"/>
    <x v="1"/>
    <x v="15"/>
    <s v="COMFORTABLE"/>
    <n v="0.21210000000000001"/>
    <n v="0.8"/>
    <n v="10.45"/>
    <x v="1"/>
    <n v="0"/>
    <n v="4"/>
    <x v="48"/>
    <m/>
    <s v="Week 4"/>
    <x v="0"/>
  </r>
  <r>
    <n v="601"/>
    <x v="26"/>
    <n v="6"/>
    <x v="1"/>
    <n v="4"/>
    <n v="2"/>
    <x v="1"/>
    <x v="15"/>
    <s v="COMFORTABLE"/>
    <n v="0.19700000000000001"/>
    <n v="0.8"/>
    <n v="13.43"/>
    <x v="1"/>
    <n v="0"/>
    <n v="16"/>
    <x v="0"/>
    <m/>
    <s v="Week 4"/>
    <x v="0"/>
  </r>
  <r>
    <n v="602"/>
    <x v="26"/>
    <n v="7"/>
    <x v="1"/>
    <n v="4"/>
    <n v="2"/>
    <x v="1"/>
    <x v="13"/>
    <s v="COMFORTABLE"/>
    <n v="0.19700000000000001"/>
    <n v="0.86"/>
    <n v="8.9599999999999991"/>
    <x v="1"/>
    <n v="2"/>
    <n v="58"/>
    <x v="122"/>
    <m/>
    <s v="Week 4"/>
    <x v="0"/>
  </r>
  <r>
    <n v="603"/>
    <x v="26"/>
    <n v="8"/>
    <x v="1"/>
    <n v="4"/>
    <n v="2"/>
    <x v="1"/>
    <x v="13"/>
    <s v="COMFORTABLE"/>
    <n v="0.19700000000000001"/>
    <n v="0.86"/>
    <n v="8.9599999999999991"/>
    <x v="1"/>
    <n v="2"/>
    <n v="155"/>
    <x v="45"/>
    <m/>
    <s v="Week 4"/>
    <x v="0"/>
  </r>
  <r>
    <n v="604"/>
    <x v="26"/>
    <n v="9"/>
    <x v="1"/>
    <n v="4"/>
    <n v="3"/>
    <x v="2"/>
    <x v="15"/>
    <s v="COMFORTABLE"/>
    <n v="0.21210000000000001"/>
    <n v="0.86"/>
    <n v="8.9599999999999991"/>
    <x v="1"/>
    <n v="6"/>
    <n v="95"/>
    <x v="129"/>
    <m/>
    <s v="Week 4"/>
    <x v="0"/>
  </r>
  <r>
    <n v="605"/>
    <x v="26"/>
    <n v="10"/>
    <x v="1"/>
    <n v="4"/>
    <n v="3"/>
    <x v="2"/>
    <x v="15"/>
    <s v="COMFORTABLE"/>
    <n v="0.21210000000000001"/>
    <n v="0.86"/>
    <n v="10.45"/>
    <x v="1"/>
    <n v="0"/>
    <n v="49"/>
    <x v="99"/>
    <m/>
    <s v="Week 4"/>
    <x v="0"/>
  </r>
  <r>
    <n v="606"/>
    <x v="26"/>
    <n v="11"/>
    <x v="1"/>
    <n v="4"/>
    <n v="3"/>
    <x v="2"/>
    <x v="15"/>
    <s v="COMFORTABLE"/>
    <n v="0.21210000000000001"/>
    <n v="0.93"/>
    <n v="10.45"/>
    <x v="1"/>
    <n v="0"/>
    <n v="30"/>
    <x v="33"/>
    <m/>
    <s v="Week 4"/>
    <x v="0"/>
  </r>
  <r>
    <n v="607"/>
    <x v="26"/>
    <n v="12"/>
    <x v="1"/>
    <n v="4"/>
    <n v="3"/>
    <x v="2"/>
    <x v="15"/>
    <s v="COMFORTABLE"/>
    <n v="0.21210000000000001"/>
    <n v="0.93"/>
    <n v="10.45"/>
    <x v="1"/>
    <n v="1"/>
    <n v="28"/>
    <x v="115"/>
    <m/>
    <s v="Week 4"/>
    <x v="0"/>
  </r>
  <r>
    <n v="608"/>
    <x v="26"/>
    <n v="13"/>
    <x v="1"/>
    <n v="4"/>
    <n v="3"/>
    <x v="2"/>
    <x v="15"/>
    <s v="COMFORTABLE"/>
    <n v="0.21210000000000001"/>
    <n v="0.93"/>
    <n v="10.45"/>
    <x v="1"/>
    <n v="0"/>
    <n v="31"/>
    <x v="35"/>
    <m/>
    <s v="Week 4"/>
    <x v="0"/>
  </r>
  <r>
    <n v="609"/>
    <x v="26"/>
    <n v="14"/>
    <x v="1"/>
    <n v="4"/>
    <n v="3"/>
    <x v="2"/>
    <x v="1"/>
    <s v="COMFORTABLE"/>
    <n v="0.2727"/>
    <n v="0.8"/>
    <n v="20.485098360655737"/>
    <x v="0"/>
    <n v="2"/>
    <n v="36"/>
    <x v="103"/>
    <m/>
    <s v="Week 4"/>
    <x v="0"/>
  </r>
  <r>
    <n v="610"/>
    <x v="26"/>
    <n v="15"/>
    <x v="1"/>
    <n v="4"/>
    <n v="2"/>
    <x v="1"/>
    <x v="2"/>
    <s v="COMFORTABLE"/>
    <n v="0.2576"/>
    <n v="0.86"/>
    <n v="20.485098360655737"/>
    <x v="0"/>
    <n v="1"/>
    <n v="40"/>
    <x v="102"/>
    <m/>
    <s v="Week 4"/>
    <x v="0"/>
  </r>
  <r>
    <n v="611"/>
    <x v="26"/>
    <n v="16"/>
    <x v="1"/>
    <n v="4"/>
    <n v="1"/>
    <x v="0"/>
    <x v="1"/>
    <s v="COMFORTABLE"/>
    <n v="0.2727"/>
    <n v="0.8"/>
    <n v="17.94158974358977"/>
    <x v="1"/>
    <n v="10"/>
    <n v="70"/>
    <x v="138"/>
    <m/>
    <s v="Week 4"/>
    <x v="0"/>
  </r>
  <r>
    <n v="612"/>
    <x v="26"/>
    <n v="17"/>
    <x v="1"/>
    <n v="4"/>
    <n v="1"/>
    <x v="0"/>
    <x v="0"/>
    <s v="COMFORTABLE"/>
    <n v="0.2424"/>
    <n v="0.75"/>
    <n v="13.43"/>
    <x v="1"/>
    <n v="2"/>
    <n v="147"/>
    <x v="165"/>
    <m/>
    <s v="Week 4"/>
    <x v="0"/>
  </r>
  <r>
    <n v="613"/>
    <x v="26"/>
    <n v="18"/>
    <x v="1"/>
    <n v="4"/>
    <n v="1"/>
    <x v="0"/>
    <x v="0"/>
    <s v="COMFORTABLE"/>
    <n v="0.2273"/>
    <n v="0.75"/>
    <n v="19.400000000000002"/>
    <x v="1"/>
    <n v="2"/>
    <n v="107"/>
    <x v="142"/>
    <m/>
    <s v="Week 4"/>
    <x v="0"/>
  </r>
  <r>
    <n v="614"/>
    <x v="26"/>
    <n v="19"/>
    <x v="1"/>
    <n v="4"/>
    <n v="2"/>
    <x v="1"/>
    <x v="0"/>
    <s v="COMFORTABLE"/>
    <n v="0.2424"/>
    <n v="0.75"/>
    <n v="13.43"/>
    <x v="1"/>
    <n v="5"/>
    <n v="84"/>
    <x v="70"/>
    <m/>
    <s v="Week 4"/>
    <x v="0"/>
  </r>
  <r>
    <n v="615"/>
    <x v="26"/>
    <n v="20"/>
    <x v="1"/>
    <n v="4"/>
    <n v="2"/>
    <x v="1"/>
    <x v="0"/>
    <s v="COMFORTABLE"/>
    <n v="0.2273"/>
    <n v="0.7"/>
    <n v="19.400000000000002"/>
    <x v="1"/>
    <n v="1"/>
    <n v="61"/>
    <x v="69"/>
    <m/>
    <s v="Week 4"/>
    <x v="0"/>
  </r>
  <r>
    <n v="616"/>
    <x v="26"/>
    <n v="21"/>
    <x v="1"/>
    <n v="4"/>
    <n v="2"/>
    <x v="1"/>
    <x v="1"/>
    <s v="COMFORTABLE"/>
    <n v="0.2273"/>
    <n v="0.75"/>
    <n v="13.43"/>
    <x v="1"/>
    <n v="1"/>
    <n v="57"/>
    <x v="154"/>
    <m/>
    <s v="Week 4"/>
    <x v="0"/>
  </r>
  <r>
    <n v="617"/>
    <x v="26"/>
    <n v="22"/>
    <x v="1"/>
    <n v="4"/>
    <n v="1"/>
    <x v="0"/>
    <x v="0"/>
    <s v="COMFORTABLE"/>
    <n v="0.21210000000000001"/>
    <n v="0.65"/>
    <n v="35.82"/>
    <x v="2"/>
    <n v="0"/>
    <n v="26"/>
    <x v="132"/>
    <m/>
    <s v="Week 4"/>
    <x v="0"/>
  </r>
  <r>
    <n v="618"/>
    <x v="26"/>
    <n v="23"/>
    <x v="1"/>
    <n v="4"/>
    <n v="1"/>
    <x v="0"/>
    <x v="0"/>
    <s v="COMFORTABLE"/>
    <n v="0.2273"/>
    <n v="0.6"/>
    <n v="22.39"/>
    <x v="0"/>
    <n v="1"/>
    <n v="22"/>
    <x v="84"/>
    <m/>
    <s v="Week 4"/>
    <x v="0"/>
  </r>
  <r>
    <n v="619"/>
    <x v="27"/>
    <n v="0"/>
    <x v="1"/>
    <n v="5"/>
    <n v="1"/>
    <x v="0"/>
    <x v="1"/>
    <s v="COMFORTABLE"/>
    <n v="0.19700000000000001"/>
    <n v="0.64"/>
    <n v="35.82"/>
    <x v="2"/>
    <n v="2"/>
    <n v="26"/>
    <x v="20"/>
    <m/>
    <s v="Week 4"/>
    <x v="0"/>
  </r>
  <r>
    <n v="620"/>
    <x v="27"/>
    <n v="1"/>
    <x v="1"/>
    <n v="5"/>
    <n v="1"/>
    <x v="0"/>
    <x v="1"/>
    <s v="COMFORTABLE"/>
    <n v="0.2273"/>
    <n v="0.64"/>
    <n v="19.400000000000002"/>
    <x v="1"/>
    <n v="0"/>
    <n v="20"/>
    <x v="25"/>
    <m/>
    <s v="Week 4"/>
    <x v="0"/>
  </r>
  <r>
    <n v="621"/>
    <x v="27"/>
    <n v="2"/>
    <x v="1"/>
    <n v="5"/>
    <n v="1"/>
    <x v="0"/>
    <x v="1"/>
    <s v="COMFORTABLE"/>
    <n v="0.2273"/>
    <n v="0.64"/>
    <n v="16.420000000000002"/>
    <x v="1"/>
    <n v="0"/>
    <n v="15"/>
    <x v="93"/>
    <m/>
    <s v="Week 4"/>
    <x v="0"/>
  </r>
  <r>
    <n v="622"/>
    <x v="27"/>
    <n v="3"/>
    <x v="1"/>
    <n v="5"/>
    <n v="1"/>
    <x v="0"/>
    <x v="2"/>
    <s v="COMFORTABLE"/>
    <n v="0.21210000000000001"/>
    <n v="0.64"/>
    <n v="13.43"/>
    <x v="1"/>
    <n v="3"/>
    <n v="5"/>
    <x v="7"/>
    <m/>
    <s v="Week 4"/>
    <x v="0"/>
  </r>
  <r>
    <n v="623"/>
    <x v="27"/>
    <n v="4"/>
    <x v="1"/>
    <n v="5"/>
    <n v="1"/>
    <x v="0"/>
    <x v="13"/>
    <s v="COMFORTABLE"/>
    <n v="0.18179999999999999"/>
    <n v="0.69"/>
    <n v="10.45"/>
    <x v="1"/>
    <n v="1"/>
    <n v="2"/>
    <x v="6"/>
    <m/>
    <s v="Week 4"/>
    <x v="0"/>
  </r>
  <r>
    <n v="624"/>
    <x v="27"/>
    <n v="6"/>
    <x v="1"/>
    <n v="5"/>
    <n v="1"/>
    <x v="0"/>
    <x v="13"/>
    <s v="COMFORTABLE"/>
    <n v="0.18179999999999999"/>
    <n v="0.64"/>
    <n v="13.43"/>
    <x v="1"/>
    <n v="0"/>
    <n v="2"/>
    <x v="5"/>
    <m/>
    <s v="Week 4"/>
    <x v="0"/>
  </r>
  <r>
    <n v="625"/>
    <x v="27"/>
    <n v="7"/>
    <x v="1"/>
    <n v="5"/>
    <n v="1"/>
    <x v="0"/>
    <x v="13"/>
    <s v="COMFORTABLE"/>
    <n v="0.18179999999999999"/>
    <n v="0.59"/>
    <n v="10.45"/>
    <x v="1"/>
    <n v="1"/>
    <n v="4"/>
    <x v="36"/>
    <m/>
    <s v="Week 4"/>
    <x v="0"/>
  </r>
  <r>
    <n v="626"/>
    <x v="27"/>
    <n v="8"/>
    <x v="1"/>
    <n v="5"/>
    <n v="1"/>
    <x v="0"/>
    <x v="15"/>
    <s v="COMFORTABLE"/>
    <n v="0.19700000000000001"/>
    <n v="0.55000000000000004"/>
    <n v="16.420000000000002"/>
    <x v="1"/>
    <n v="3"/>
    <n v="31"/>
    <x v="19"/>
    <m/>
    <s v="Week 4"/>
    <x v="0"/>
  </r>
  <r>
    <n v="627"/>
    <x v="27"/>
    <n v="9"/>
    <x v="1"/>
    <n v="5"/>
    <n v="1"/>
    <x v="0"/>
    <x v="15"/>
    <s v="COMFORTABLE"/>
    <n v="0.21210000000000001"/>
    <n v="0.59"/>
    <n v="8.9599999999999991"/>
    <x v="1"/>
    <n v="0"/>
    <n v="34"/>
    <x v="19"/>
    <m/>
    <s v="Week 4"/>
    <x v="0"/>
  </r>
  <r>
    <n v="628"/>
    <x v="27"/>
    <n v="10"/>
    <x v="1"/>
    <n v="5"/>
    <n v="2"/>
    <x v="1"/>
    <x v="15"/>
    <s v="COMFORTABLE"/>
    <n v="0.21210000000000001"/>
    <n v="0.64"/>
    <n v="10.45"/>
    <x v="1"/>
    <n v="4"/>
    <n v="51"/>
    <x v="97"/>
    <m/>
    <s v="Week 4"/>
    <x v="0"/>
  </r>
  <r>
    <n v="629"/>
    <x v="27"/>
    <n v="11"/>
    <x v="1"/>
    <n v="5"/>
    <n v="2"/>
    <x v="1"/>
    <x v="15"/>
    <s v="COMFORTABLE"/>
    <n v="0.19700000000000001"/>
    <n v="0.64"/>
    <n v="13.43"/>
    <x v="1"/>
    <n v="4"/>
    <n v="60"/>
    <x v="37"/>
    <m/>
    <s v="Week 4"/>
    <x v="0"/>
  </r>
  <r>
    <n v="630"/>
    <x v="27"/>
    <n v="12"/>
    <x v="1"/>
    <n v="5"/>
    <n v="2"/>
    <x v="1"/>
    <x v="2"/>
    <s v="COMFORTABLE"/>
    <n v="0.19700000000000001"/>
    <n v="0.59"/>
    <n v="19.400000000000002"/>
    <x v="1"/>
    <n v="12"/>
    <n v="66"/>
    <x v="53"/>
    <m/>
    <s v="Week 4"/>
    <x v="0"/>
  </r>
  <r>
    <n v="631"/>
    <x v="27"/>
    <n v="13"/>
    <x v="1"/>
    <n v="5"/>
    <n v="2"/>
    <x v="1"/>
    <x v="1"/>
    <s v="COMFORTABLE"/>
    <n v="0.2273"/>
    <n v="0.55000000000000004"/>
    <n v="16.420000000000002"/>
    <x v="1"/>
    <n v="9"/>
    <n v="56"/>
    <x v="32"/>
    <m/>
    <s v="Week 4"/>
    <x v="0"/>
  </r>
  <r>
    <n v="632"/>
    <x v="27"/>
    <n v="14"/>
    <x v="1"/>
    <n v="5"/>
    <n v="2"/>
    <x v="1"/>
    <x v="1"/>
    <s v="COMFORTABLE"/>
    <n v="0.2273"/>
    <n v="0.6"/>
    <n v="13.43"/>
    <x v="1"/>
    <n v="10"/>
    <n v="89"/>
    <x v="111"/>
    <m/>
    <s v="Week 4"/>
    <x v="0"/>
  </r>
  <r>
    <n v="633"/>
    <x v="27"/>
    <n v="15"/>
    <x v="1"/>
    <n v="5"/>
    <n v="1"/>
    <x v="0"/>
    <x v="1"/>
    <s v="COMFORTABLE"/>
    <n v="0.21210000000000001"/>
    <n v="0.69"/>
    <n v="25.369999999999997"/>
    <x v="0"/>
    <n v="22"/>
    <n v="98"/>
    <x v="151"/>
    <m/>
    <s v="Week 4"/>
    <x v="0"/>
  </r>
  <r>
    <n v="634"/>
    <x v="27"/>
    <n v="16"/>
    <x v="1"/>
    <n v="5"/>
    <n v="1"/>
    <x v="0"/>
    <x v="0"/>
    <s v="COMFORTABLE"/>
    <n v="0.2424"/>
    <n v="0.6"/>
    <n v="16.420000000000002"/>
    <x v="1"/>
    <n v="19"/>
    <n v="88"/>
    <x v="166"/>
    <m/>
    <s v="Week 4"/>
    <x v="0"/>
  </r>
  <r>
    <n v="635"/>
    <x v="27"/>
    <n v="17"/>
    <x v="1"/>
    <n v="5"/>
    <n v="1"/>
    <x v="0"/>
    <x v="0"/>
    <s v="COMFORTABLE"/>
    <n v="0.28789999999999999"/>
    <n v="0.6"/>
    <n v="17.94158974358977"/>
    <x v="1"/>
    <n v="9"/>
    <n v="82"/>
    <x v="134"/>
    <m/>
    <s v="Week 4"/>
    <x v="0"/>
  </r>
  <r>
    <n v="636"/>
    <x v="27"/>
    <n v="18"/>
    <x v="1"/>
    <n v="5"/>
    <n v="1"/>
    <x v="0"/>
    <x v="1"/>
    <s v="COMFORTABLE"/>
    <n v="0.2273"/>
    <n v="0.69"/>
    <n v="13.43"/>
    <x v="1"/>
    <n v="9"/>
    <n v="59"/>
    <x v="118"/>
    <m/>
    <s v="Week 4"/>
    <x v="0"/>
  </r>
  <r>
    <n v="637"/>
    <x v="27"/>
    <n v="19"/>
    <x v="1"/>
    <n v="5"/>
    <n v="2"/>
    <x v="1"/>
    <x v="1"/>
    <s v="COMFORTABLE"/>
    <n v="0.21210000000000001"/>
    <n v="0.69"/>
    <n v="25.369999999999997"/>
    <x v="0"/>
    <n v="6"/>
    <n v="52"/>
    <x v="154"/>
    <m/>
    <s v="Week 4"/>
    <x v="0"/>
  </r>
  <r>
    <n v="638"/>
    <x v="27"/>
    <n v="20"/>
    <x v="1"/>
    <n v="5"/>
    <n v="1"/>
    <x v="0"/>
    <x v="15"/>
    <s v="COMFORTABLE"/>
    <n v="0.21210000000000001"/>
    <n v="0.74"/>
    <n v="8.9599999999999991"/>
    <x v="1"/>
    <n v="1"/>
    <n v="42"/>
    <x v="74"/>
    <m/>
    <s v="Week 4"/>
    <x v="0"/>
  </r>
  <r>
    <n v="639"/>
    <x v="27"/>
    <n v="21"/>
    <x v="1"/>
    <n v="5"/>
    <n v="1"/>
    <x v="0"/>
    <x v="15"/>
    <s v="COMFORTABLE"/>
    <n v="0.21210000000000001"/>
    <n v="0.74"/>
    <n v="8.9599999999999991"/>
    <x v="1"/>
    <n v="1"/>
    <n v="35"/>
    <x v="9"/>
    <m/>
    <s v="Week 4"/>
    <x v="0"/>
  </r>
  <r>
    <n v="640"/>
    <x v="27"/>
    <n v="22"/>
    <x v="1"/>
    <n v="5"/>
    <n v="1"/>
    <x v="0"/>
    <x v="13"/>
    <s v="COMFORTABLE"/>
    <n v="0.19700000000000001"/>
    <n v="0.8"/>
    <n v="8.9599999999999991"/>
    <x v="1"/>
    <n v="4"/>
    <n v="28"/>
    <x v="2"/>
    <m/>
    <s v="Week 4"/>
    <x v="0"/>
  </r>
  <r>
    <n v="641"/>
    <x v="27"/>
    <n v="23"/>
    <x v="1"/>
    <n v="5"/>
    <n v="1"/>
    <x v="0"/>
    <x v="13"/>
    <s v="COMFORTABLE"/>
    <n v="0.19700000000000001"/>
    <n v="0.8"/>
    <n v="8.9599999999999991"/>
    <x v="1"/>
    <n v="3"/>
    <n v="30"/>
    <x v="63"/>
    <m/>
    <s v="Week 4"/>
    <x v="0"/>
  </r>
  <r>
    <n v="642"/>
    <x v="28"/>
    <n v="0"/>
    <x v="1"/>
    <n v="6"/>
    <n v="1"/>
    <x v="0"/>
    <x v="13"/>
    <s v="COMFORTABLE"/>
    <n v="0.18179999999999999"/>
    <n v="0.8"/>
    <n v="10.45"/>
    <x v="1"/>
    <n v="0"/>
    <n v="33"/>
    <x v="63"/>
    <m/>
    <s v="Week 5"/>
    <x v="0"/>
  </r>
  <r>
    <n v="643"/>
    <x v="28"/>
    <n v="1"/>
    <x v="1"/>
    <n v="6"/>
    <n v="1"/>
    <x v="0"/>
    <x v="14"/>
    <s v="COMFORTABLE"/>
    <n v="0.21210000000000001"/>
    <n v="0.8"/>
    <n v="17.94158974358977"/>
    <x v="1"/>
    <n v="7"/>
    <n v="22"/>
    <x v="115"/>
    <m/>
    <s v="Week 5"/>
    <x v="0"/>
  </r>
  <r>
    <n v="644"/>
    <x v="28"/>
    <n v="2"/>
    <x v="1"/>
    <n v="6"/>
    <n v="1"/>
    <x v="0"/>
    <x v="13"/>
    <s v="COMFORTABLE"/>
    <n v="0.2273"/>
    <n v="0.8"/>
    <n v="17.94158974358977"/>
    <x v="1"/>
    <n v="1"/>
    <n v="10"/>
    <x v="62"/>
    <m/>
    <s v="Week 5"/>
    <x v="0"/>
  </r>
  <r>
    <n v="645"/>
    <x v="28"/>
    <n v="3"/>
    <x v="1"/>
    <n v="6"/>
    <n v="1"/>
    <x v="0"/>
    <x v="14"/>
    <s v="COMFORTABLE"/>
    <n v="0.21210000000000001"/>
    <n v="0.93"/>
    <n v="17.94158974358977"/>
    <x v="1"/>
    <n v="1"/>
    <n v="7"/>
    <x v="7"/>
    <m/>
    <s v="Week 5"/>
    <x v="0"/>
  </r>
  <r>
    <n v="646"/>
    <x v="28"/>
    <n v="4"/>
    <x v="1"/>
    <n v="6"/>
    <n v="1"/>
    <x v="0"/>
    <x v="14"/>
    <s v="COMFORTABLE"/>
    <n v="0.21210000000000001"/>
    <n v="0.93"/>
    <n v="17.94158974358977"/>
    <x v="1"/>
    <n v="0"/>
    <n v="1"/>
    <x v="4"/>
    <m/>
    <s v="Week 5"/>
    <x v="0"/>
  </r>
  <r>
    <n v="647"/>
    <x v="28"/>
    <n v="5"/>
    <x v="1"/>
    <n v="6"/>
    <n v="1"/>
    <x v="0"/>
    <x v="14"/>
    <s v="COMFORTABLE"/>
    <n v="0.21210000000000001"/>
    <n v="0.86"/>
    <n v="17.94158974358977"/>
    <x v="1"/>
    <n v="0"/>
    <n v="3"/>
    <x v="6"/>
    <m/>
    <s v="Week 5"/>
    <x v="0"/>
  </r>
  <r>
    <n v="648"/>
    <x v="28"/>
    <n v="7"/>
    <x v="1"/>
    <n v="6"/>
    <n v="1"/>
    <x v="0"/>
    <x v="14"/>
    <s v="COMFORTABLE"/>
    <n v="0.21210000000000001"/>
    <n v="0.86"/>
    <n v="17.94158974358977"/>
    <x v="1"/>
    <n v="0"/>
    <n v="3"/>
    <x v="6"/>
    <m/>
    <s v="Week 5"/>
    <x v="0"/>
  </r>
  <r>
    <n v="649"/>
    <x v="28"/>
    <n v="8"/>
    <x v="1"/>
    <n v="6"/>
    <n v="2"/>
    <x v="1"/>
    <x v="14"/>
    <s v="COMFORTABLE"/>
    <n v="0.21210000000000001"/>
    <n v="0.86"/>
    <n v="17.94158974358977"/>
    <x v="1"/>
    <n v="1"/>
    <n v="11"/>
    <x v="47"/>
    <m/>
    <s v="Week 5"/>
    <x v="0"/>
  </r>
  <r>
    <n v="650"/>
    <x v="28"/>
    <n v="9"/>
    <x v="1"/>
    <n v="6"/>
    <n v="2"/>
    <x v="1"/>
    <x v="13"/>
    <s v="COMFORTABLE"/>
    <n v="0.2273"/>
    <n v="0.8"/>
    <n v="17.94158974358977"/>
    <x v="1"/>
    <n v="4"/>
    <n v="34"/>
    <x v="103"/>
    <m/>
    <s v="Week 5"/>
    <x v="0"/>
  </r>
  <r>
    <n v="651"/>
    <x v="28"/>
    <n v="10"/>
    <x v="1"/>
    <n v="6"/>
    <n v="2"/>
    <x v="1"/>
    <x v="15"/>
    <s v="COMFORTABLE"/>
    <n v="0.2424"/>
    <n v="0.8"/>
    <n v="17.94158974358977"/>
    <x v="1"/>
    <n v="7"/>
    <n v="57"/>
    <x v="37"/>
    <m/>
    <s v="Week 5"/>
    <x v="0"/>
  </r>
  <r>
    <n v="652"/>
    <x v="28"/>
    <n v="11"/>
    <x v="1"/>
    <n v="6"/>
    <n v="1"/>
    <x v="0"/>
    <x v="1"/>
    <s v="COMFORTABLE"/>
    <n v="0.2727"/>
    <n v="0.75"/>
    <n v="17.94158974358977"/>
    <x v="1"/>
    <n v="9"/>
    <n v="50"/>
    <x v="29"/>
    <m/>
    <s v="Week 5"/>
    <x v="0"/>
  </r>
  <r>
    <n v="653"/>
    <x v="28"/>
    <n v="12"/>
    <x v="1"/>
    <n v="6"/>
    <n v="1"/>
    <x v="0"/>
    <x v="11"/>
    <s v="WARM"/>
    <n v="0.31819999999999998"/>
    <n v="0.52"/>
    <n v="10.45"/>
    <x v="1"/>
    <n v="10"/>
    <n v="87"/>
    <x v="54"/>
    <m/>
    <s v="Week 5"/>
    <x v="0"/>
  </r>
  <r>
    <n v="654"/>
    <x v="28"/>
    <n v="13"/>
    <x v="1"/>
    <n v="6"/>
    <n v="1"/>
    <x v="0"/>
    <x v="17"/>
    <s v="WARM"/>
    <n v="0.28789999999999999"/>
    <n v="0.61"/>
    <n v="10.45"/>
    <x v="1"/>
    <n v="13"/>
    <n v="71"/>
    <x v="11"/>
    <m/>
    <s v="Week 5"/>
    <x v="0"/>
  </r>
  <r>
    <n v="655"/>
    <x v="28"/>
    <n v="14"/>
    <x v="1"/>
    <n v="6"/>
    <n v="1"/>
    <x v="0"/>
    <x v="17"/>
    <s v="WARM"/>
    <n v="0.30299999999999999"/>
    <n v="0.61"/>
    <n v="8.9599999999999991"/>
    <x v="1"/>
    <n v="18"/>
    <n v="104"/>
    <x v="78"/>
    <m/>
    <s v="Week 5"/>
    <x v="0"/>
  </r>
  <r>
    <n v="656"/>
    <x v="28"/>
    <n v="15"/>
    <x v="1"/>
    <n v="6"/>
    <n v="1"/>
    <x v="0"/>
    <x v="11"/>
    <s v="WARM"/>
    <n v="0.33329999999999999"/>
    <n v="0.56000000000000005"/>
    <n v="17.94158974358977"/>
    <x v="1"/>
    <n v="14"/>
    <n v="95"/>
    <x v="142"/>
    <m/>
    <s v="Week 5"/>
    <x v="0"/>
  </r>
  <r>
    <n v="657"/>
    <x v="28"/>
    <n v="16"/>
    <x v="1"/>
    <n v="6"/>
    <n v="1"/>
    <x v="0"/>
    <x v="11"/>
    <s v="WARM"/>
    <n v="0.33329999999999999"/>
    <n v="0.56000000000000005"/>
    <n v="17.94158974358977"/>
    <x v="1"/>
    <n v="19"/>
    <n v="104"/>
    <x v="92"/>
    <m/>
    <s v="Week 5"/>
    <x v="0"/>
  </r>
  <r>
    <n v="658"/>
    <x v="28"/>
    <n v="17"/>
    <x v="1"/>
    <n v="6"/>
    <n v="1"/>
    <x v="0"/>
    <x v="11"/>
    <s v="WARM"/>
    <n v="0.28789999999999999"/>
    <n v="0.56000000000000005"/>
    <n v="19.400000000000002"/>
    <x v="1"/>
    <n v="6"/>
    <n v="71"/>
    <x v="43"/>
    <m/>
    <s v="Week 5"/>
    <x v="0"/>
  </r>
  <r>
    <n v="659"/>
    <x v="28"/>
    <n v="18"/>
    <x v="1"/>
    <n v="6"/>
    <n v="1"/>
    <x v="0"/>
    <x v="12"/>
    <s v="WARM"/>
    <n v="0.2576"/>
    <n v="0.65"/>
    <n v="16.420000000000002"/>
    <x v="1"/>
    <n v="8"/>
    <n v="57"/>
    <x v="32"/>
    <m/>
    <s v="Week 5"/>
    <x v="0"/>
  </r>
  <r>
    <n v="660"/>
    <x v="28"/>
    <n v="19"/>
    <x v="1"/>
    <n v="6"/>
    <n v="1"/>
    <x v="0"/>
    <x v="12"/>
    <s v="WARM"/>
    <n v="0.2576"/>
    <n v="0.65"/>
    <n v="19.400000000000002"/>
    <x v="1"/>
    <n v="9"/>
    <n v="46"/>
    <x v="97"/>
    <m/>
    <s v="Week 5"/>
    <x v="0"/>
  </r>
  <r>
    <n v="661"/>
    <x v="28"/>
    <n v="20"/>
    <x v="1"/>
    <n v="6"/>
    <n v="2"/>
    <x v="1"/>
    <x v="12"/>
    <s v="WARM"/>
    <n v="0.2727"/>
    <n v="0.65"/>
    <n v="10.45"/>
    <x v="1"/>
    <n v="3"/>
    <n v="30"/>
    <x v="63"/>
    <m/>
    <s v="Week 5"/>
    <x v="0"/>
  </r>
  <r>
    <n v="662"/>
    <x v="28"/>
    <n v="21"/>
    <x v="1"/>
    <n v="6"/>
    <n v="2"/>
    <x v="1"/>
    <x v="0"/>
    <s v="COMFORTABLE"/>
    <n v="0.2424"/>
    <n v="0.7"/>
    <n v="16.420000000000002"/>
    <x v="1"/>
    <n v="3"/>
    <n v="25"/>
    <x v="20"/>
    <m/>
    <s v="Week 5"/>
    <x v="0"/>
  </r>
  <r>
    <n v="663"/>
    <x v="28"/>
    <n v="22"/>
    <x v="1"/>
    <n v="6"/>
    <n v="2"/>
    <x v="1"/>
    <x v="0"/>
    <s v="COMFORTABLE"/>
    <n v="0.2273"/>
    <n v="0.7"/>
    <n v="19.400000000000002"/>
    <x v="1"/>
    <n v="2"/>
    <n v="19"/>
    <x v="137"/>
    <m/>
    <s v="Week 5"/>
    <x v="0"/>
  </r>
  <r>
    <n v="664"/>
    <x v="28"/>
    <n v="23"/>
    <x v="1"/>
    <n v="6"/>
    <n v="2"/>
    <x v="1"/>
    <x v="0"/>
    <s v="COMFORTABLE"/>
    <n v="0.21210000000000001"/>
    <n v="0.65"/>
    <n v="28.360000000000003"/>
    <x v="0"/>
    <n v="5"/>
    <n v="16"/>
    <x v="137"/>
    <m/>
    <s v="Week 5"/>
    <x v="0"/>
  </r>
  <r>
    <n v="665"/>
    <x v="29"/>
    <n v="0"/>
    <x v="1"/>
    <n v="7"/>
    <n v="2"/>
    <x v="1"/>
    <x v="0"/>
    <s v="COMFORTABLE"/>
    <n v="0.2273"/>
    <n v="0.65"/>
    <n v="22.39"/>
    <x v="0"/>
    <n v="1"/>
    <n v="6"/>
    <x v="85"/>
    <m/>
    <s v="Week 5"/>
    <x v="0"/>
  </r>
  <r>
    <n v="666"/>
    <x v="29"/>
    <n v="1"/>
    <x v="1"/>
    <n v="7"/>
    <n v="1"/>
    <x v="0"/>
    <x v="1"/>
    <s v="COMFORTABLE"/>
    <n v="0.21210000000000001"/>
    <n v="0.64"/>
    <n v="25.369999999999997"/>
    <x v="0"/>
    <n v="2"/>
    <n v="5"/>
    <x v="85"/>
    <m/>
    <s v="Week 5"/>
    <x v="0"/>
  </r>
  <r>
    <n v="667"/>
    <x v="29"/>
    <n v="2"/>
    <x v="1"/>
    <n v="7"/>
    <n v="1"/>
    <x v="0"/>
    <x v="1"/>
    <s v="COMFORTABLE"/>
    <n v="0.2273"/>
    <n v="0.64"/>
    <n v="19.400000000000002"/>
    <x v="1"/>
    <n v="0"/>
    <n v="1"/>
    <x v="4"/>
    <m/>
    <s v="Week 5"/>
    <x v="0"/>
  </r>
  <r>
    <n v="668"/>
    <x v="29"/>
    <n v="3"/>
    <x v="1"/>
    <n v="7"/>
    <n v="1"/>
    <x v="0"/>
    <x v="1"/>
    <s v="COMFORTABLE"/>
    <n v="0.2273"/>
    <n v="0.64"/>
    <n v="19.400000000000002"/>
    <x v="1"/>
    <n v="0"/>
    <n v="2"/>
    <x v="5"/>
    <m/>
    <s v="Week 5"/>
    <x v="0"/>
  </r>
  <r>
    <n v="669"/>
    <x v="29"/>
    <n v="4"/>
    <x v="1"/>
    <n v="7"/>
    <n v="1"/>
    <x v="0"/>
    <x v="2"/>
    <s v="COMFORTABLE"/>
    <n v="0.19700000000000001"/>
    <n v="0.59"/>
    <n v="22.39"/>
    <x v="0"/>
    <n v="0"/>
    <n v="2"/>
    <x v="5"/>
    <m/>
    <s v="Week 5"/>
    <x v="0"/>
  </r>
  <r>
    <n v="670"/>
    <x v="29"/>
    <n v="5"/>
    <x v="1"/>
    <n v="7"/>
    <n v="1"/>
    <x v="0"/>
    <x v="15"/>
    <s v="COMFORTABLE"/>
    <n v="0.16669999999999999"/>
    <n v="0.64"/>
    <n v="28.360000000000003"/>
    <x v="0"/>
    <n v="0"/>
    <n v="8"/>
    <x v="7"/>
    <m/>
    <s v="Week 5"/>
    <x v="0"/>
  </r>
  <r>
    <n v="671"/>
    <x v="29"/>
    <n v="6"/>
    <x v="1"/>
    <n v="7"/>
    <n v="1"/>
    <x v="0"/>
    <x v="13"/>
    <s v="COMFORTABLE"/>
    <n v="0.13639999999999999"/>
    <n v="0.69"/>
    <n v="32.840000000000003"/>
    <x v="2"/>
    <n v="0"/>
    <n v="37"/>
    <x v="18"/>
    <m/>
    <s v="Week 5"/>
    <x v="0"/>
  </r>
  <r>
    <n v="672"/>
    <x v="29"/>
    <n v="7"/>
    <x v="1"/>
    <n v="7"/>
    <n v="2"/>
    <x v="1"/>
    <x v="13"/>
    <s v="COMFORTABLE"/>
    <n v="0.13639999999999999"/>
    <n v="0.64"/>
    <n v="28.360000000000003"/>
    <x v="0"/>
    <n v="1"/>
    <n v="71"/>
    <x v="44"/>
    <m/>
    <s v="Week 5"/>
    <x v="0"/>
  </r>
  <r>
    <n v="673"/>
    <x v="29"/>
    <n v="8"/>
    <x v="1"/>
    <n v="7"/>
    <n v="2"/>
    <x v="1"/>
    <x v="13"/>
    <s v="COMFORTABLE"/>
    <n v="0.13639999999999999"/>
    <n v="0.59"/>
    <n v="28.360000000000003"/>
    <x v="0"/>
    <n v="3"/>
    <n v="182"/>
    <x v="147"/>
    <m/>
    <s v="Week 5"/>
    <x v="0"/>
  </r>
  <r>
    <n v="674"/>
    <x v="29"/>
    <n v="9"/>
    <x v="1"/>
    <n v="7"/>
    <n v="2"/>
    <x v="1"/>
    <x v="13"/>
    <s v="COMFORTABLE"/>
    <n v="0.13639999999999999"/>
    <n v="0.59"/>
    <n v="29.849999999999998"/>
    <x v="0"/>
    <n v="0"/>
    <n v="112"/>
    <x v="59"/>
    <m/>
    <s v="Week 5"/>
    <x v="0"/>
  </r>
  <r>
    <n v="675"/>
    <x v="29"/>
    <n v="10"/>
    <x v="1"/>
    <n v="7"/>
    <n v="2"/>
    <x v="1"/>
    <x v="13"/>
    <s v="COMFORTABLE"/>
    <n v="0.1515"/>
    <n v="0.59"/>
    <n v="19.400000000000002"/>
    <x v="1"/>
    <n v="1"/>
    <n v="68"/>
    <x v="83"/>
    <m/>
    <s v="Week 5"/>
    <x v="0"/>
  </r>
  <r>
    <n v="676"/>
    <x v="29"/>
    <n v="11"/>
    <x v="1"/>
    <n v="7"/>
    <n v="2"/>
    <x v="1"/>
    <x v="13"/>
    <s v="COMFORTABLE"/>
    <n v="0.1515"/>
    <n v="0.59"/>
    <n v="19.400000000000002"/>
    <x v="1"/>
    <n v="2"/>
    <n v="46"/>
    <x v="61"/>
    <m/>
    <s v="Week 5"/>
    <x v="0"/>
  </r>
  <r>
    <n v="677"/>
    <x v="29"/>
    <n v="12"/>
    <x v="1"/>
    <n v="7"/>
    <n v="2"/>
    <x v="1"/>
    <x v="15"/>
    <s v="COMFORTABLE"/>
    <n v="0.21210000000000001"/>
    <n v="0.55000000000000004"/>
    <n v="10.45"/>
    <x v="1"/>
    <n v="6"/>
    <n v="62"/>
    <x v="118"/>
    <m/>
    <s v="Week 5"/>
    <x v="0"/>
  </r>
  <r>
    <n v="678"/>
    <x v="29"/>
    <n v="13"/>
    <x v="1"/>
    <n v="7"/>
    <n v="2"/>
    <x v="1"/>
    <x v="13"/>
    <s v="COMFORTABLE"/>
    <n v="0.2273"/>
    <n v="0.59"/>
    <n v="17.94158974358977"/>
    <x v="1"/>
    <n v="2"/>
    <n v="52"/>
    <x v="60"/>
    <m/>
    <s v="Week 5"/>
    <x v="0"/>
  </r>
  <r>
    <n v="679"/>
    <x v="29"/>
    <n v="14"/>
    <x v="1"/>
    <n v="7"/>
    <n v="2"/>
    <x v="1"/>
    <x v="15"/>
    <s v="COMFORTABLE"/>
    <n v="0.19700000000000001"/>
    <n v="0.55000000000000004"/>
    <n v="13.43"/>
    <x v="1"/>
    <n v="1"/>
    <n v="85"/>
    <x v="80"/>
    <m/>
    <s v="Week 5"/>
    <x v="0"/>
  </r>
  <r>
    <n v="680"/>
    <x v="29"/>
    <n v="15"/>
    <x v="1"/>
    <n v="7"/>
    <n v="2"/>
    <x v="1"/>
    <x v="13"/>
    <s v="COMFORTABLE"/>
    <n v="0.18179999999999999"/>
    <n v="0.59"/>
    <n v="13.43"/>
    <x v="1"/>
    <n v="3"/>
    <n v="41"/>
    <x v="40"/>
    <m/>
    <s v="Week 5"/>
    <x v="0"/>
  </r>
  <r>
    <n v="681"/>
    <x v="29"/>
    <n v="16"/>
    <x v="1"/>
    <n v="7"/>
    <n v="2"/>
    <x v="1"/>
    <x v="13"/>
    <s v="COMFORTABLE"/>
    <n v="0.18179999999999999"/>
    <n v="0.56000000000000005"/>
    <n v="19.400000000000002"/>
    <x v="1"/>
    <n v="3"/>
    <n v="83"/>
    <x v="80"/>
    <m/>
    <s v="Week 5"/>
    <x v="0"/>
  </r>
  <r>
    <n v="682"/>
    <x v="29"/>
    <n v="17"/>
    <x v="1"/>
    <n v="7"/>
    <n v="2"/>
    <x v="1"/>
    <x v="13"/>
    <s v="COMFORTABLE"/>
    <n v="0.1515"/>
    <n v="0.59"/>
    <n v="19.400000000000002"/>
    <x v="1"/>
    <n v="6"/>
    <n v="155"/>
    <x v="143"/>
    <m/>
    <s v="Week 5"/>
    <x v="0"/>
  </r>
  <r>
    <n v="683"/>
    <x v="29"/>
    <n v="18"/>
    <x v="1"/>
    <n v="7"/>
    <n v="2"/>
    <x v="1"/>
    <x v="13"/>
    <s v="COMFORTABLE"/>
    <n v="0.1515"/>
    <n v="0.55000000000000004"/>
    <n v="22.39"/>
    <x v="0"/>
    <n v="3"/>
    <n v="153"/>
    <x v="167"/>
    <m/>
    <s v="Week 5"/>
    <x v="0"/>
  </r>
  <r>
    <n v="684"/>
    <x v="29"/>
    <n v="19"/>
    <x v="1"/>
    <n v="7"/>
    <n v="1"/>
    <x v="0"/>
    <x v="11"/>
    <s v="WARM"/>
    <n v="0.31819999999999998"/>
    <n v="0.61"/>
    <n v="10.45"/>
    <x v="1"/>
    <n v="3"/>
    <n v="108"/>
    <x v="168"/>
    <m/>
    <s v="Week 5"/>
    <x v="0"/>
  </r>
  <r>
    <n v="685"/>
    <x v="29"/>
    <n v="20"/>
    <x v="1"/>
    <n v="7"/>
    <n v="3"/>
    <x v="2"/>
    <x v="13"/>
    <s v="COMFORTABLE"/>
    <n v="0.16669999999999999"/>
    <n v="0.59"/>
    <n v="16.420000000000002"/>
    <x v="1"/>
    <n v="0"/>
    <n v="78"/>
    <x v="53"/>
    <m/>
    <s v="Week 5"/>
    <x v="0"/>
  </r>
  <r>
    <n v="686"/>
    <x v="29"/>
    <n v="21"/>
    <x v="1"/>
    <n v="7"/>
    <n v="3"/>
    <x v="2"/>
    <x v="13"/>
    <s v="COMFORTABLE"/>
    <n v="0.19700000000000001"/>
    <n v="0.59"/>
    <n v="8.9599999999999991"/>
    <x v="1"/>
    <n v="3"/>
    <n v="53"/>
    <x v="10"/>
    <m/>
    <s v="Week 5"/>
    <x v="0"/>
  </r>
  <r>
    <n v="687"/>
    <x v="29"/>
    <n v="22"/>
    <x v="1"/>
    <n v="7"/>
    <n v="2"/>
    <x v="1"/>
    <x v="13"/>
    <s v="COMFORTABLE"/>
    <n v="0.18179999999999999"/>
    <n v="0.59"/>
    <n v="10.45"/>
    <x v="1"/>
    <n v="0"/>
    <n v="34"/>
    <x v="19"/>
    <m/>
    <s v="Week 5"/>
    <x v="0"/>
  </r>
  <r>
    <n v="688"/>
    <x v="29"/>
    <n v="23"/>
    <x v="1"/>
    <n v="7"/>
    <n v="2"/>
    <x v="1"/>
    <x v="13"/>
    <s v="COMFORTABLE"/>
    <n v="0.19700000000000001"/>
    <n v="0.64"/>
    <n v="8.9599999999999991"/>
    <x v="1"/>
    <n v="2"/>
    <n v="15"/>
    <x v="22"/>
    <m/>
    <s v="Week 5"/>
    <x v="0"/>
  </r>
  <r>
    <n v="689"/>
    <x v="30"/>
    <n v="0"/>
    <x v="1"/>
    <n v="1"/>
    <n v="2"/>
    <x v="1"/>
    <x v="13"/>
    <s v="COMFORTABLE"/>
    <n v="0.18179999999999999"/>
    <n v="0.64"/>
    <n v="10.45"/>
    <x v="1"/>
    <n v="2"/>
    <n v="6"/>
    <x v="7"/>
    <m/>
    <s v="Week 5"/>
    <x v="0"/>
  </r>
  <r>
    <n v="690"/>
    <x v="30"/>
    <n v="1"/>
    <x v="1"/>
    <n v="1"/>
    <n v="2"/>
    <x v="1"/>
    <x v="13"/>
    <s v="COMFORTABLE"/>
    <n v="0.18179999999999999"/>
    <n v="0.69"/>
    <n v="10.45"/>
    <x v="1"/>
    <n v="0"/>
    <n v="3"/>
    <x v="6"/>
    <m/>
    <s v="Week 5"/>
    <x v="0"/>
  </r>
  <r>
    <n v="691"/>
    <x v="30"/>
    <n v="2"/>
    <x v="1"/>
    <n v="1"/>
    <n v="2"/>
    <x v="1"/>
    <x v="13"/>
    <s v="COMFORTABLE"/>
    <n v="0.2273"/>
    <n v="0.69"/>
    <n v="17.94158974358977"/>
    <x v="1"/>
    <n v="0"/>
    <n v="2"/>
    <x v="5"/>
    <m/>
    <s v="Week 5"/>
    <x v="0"/>
  </r>
  <r>
    <n v="692"/>
    <x v="30"/>
    <n v="3"/>
    <x v="1"/>
    <n v="1"/>
    <n v="2"/>
    <x v="1"/>
    <x v="13"/>
    <s v="COMFORTABLE"/>
    <n v="0.2273"/>
    <n v="0.69"/>
    <n v="17.94158974358977"/>
    <x v="1"/>
    <n v="0"/>
    <n v="2"/>
    <x v="5"/>
    <m/>
    <s v="Week 5"/>
    <x v="0"/>
  </r>
  <r>
    <n v="693"/>
    <x v="30"/>
    <n v="5"/>
    <x v="1"/>
    <n v="1"/>
    <n v="3"/>
    <x v="2"/>
    <x v="14"/>
    <s v="COMFORTABLE"/>
    <n v="0.21210000000000001"/>
    <n v="0.93"/>
    <n v="17.94158974358977"/>
    <x v="1"/>
    <n v="0"/>
    <n v="3"/>
    <x v="6"/>
    <m/>
    <s v="Week 5"/>
    <x v="0"/>
  </r>
  <r>
    <n v="694"/>
    <x v="30"/>
    <n v="6"/>
    <x v="1"/>
    <n v="1"/>
    <n v="3"/>
    <x v="2"/>
    <x v="14"/>
    <s v="COMFORTABLE"/>
    <n v="0.21210000000000001"/>
    <n v="0.93"/>
    <n v="17.94158974358977"/>
    <x v="1"/>
    <n v="0"/>
    <n v="22"/>
    <x v="34"/>
    <m/>
    <s v="Week 5"/>
    <x v="0"/>
  </r>
  <r>
    <n v="695"/>
    <x v="30"/>
    <n v="7"/>
    <x v="1"/>
    <n v="1"/>
    <n v="3"/>
    <x v="2"/>
    <x v="13"/>
    <s v="COMFORTABLE"/>
    <n v="0.2273"/>
    <n v="0.93"/>
    <n v="17.94158974358977"/>
    <x v="1"/>
    <n v="0"/>
    <n v="52"/>
    <x v="46"/>
    <m/>
    <s v="Week 5"/>
    <x v="0"/>
  </r>
  <r>
    <n v="696"/>
    <x v="30"/>
    <n v="8"/>
    <x v="1"/>
    <n v="1"/>
    <n v="3"/>
    <x v="2"/>
    <x v="13"/>
    <s v="COMFORTABLE"/>
    <n v="0.2273"/>
    <n v="0.93"/>
    <n v="17.94158974358977"/>
    <x v="1"/>
    <n v="3"/>
    <n v="132"/>
    <x v="169"/>
    <m/>
    <s v="Week 5"/>
    <x v="0"/>
  </r>
  <r>
    <n v="697"/>
    <x v="30"/>
    <n v="9"/>
    <x v="1"/>
    <n v="1"/>
    <n v="2"/>
    <x v="1"/>
    <x v="13"/>
    <s v="COMFORTABLE"/>
    <n v="0.2273"/>
    <n v="0.93"/>
    <n v="17.94158974358977"/>
    <x v="1"/>
    <n v="2"/>
    <n v="114"/>
    <x v="155"/>
    <m/>
    <s v="Week 5"/>
    <x v="0"/>
  </r>
  <r>
    <n v="698"/>
    <x v="30"/>
    <n v="10"/>
    <x v="1"/>
    <n v="1"/>
    <n v="2"/>
    <x v="1"/>
    <x v="13"/>
    <s v="COMFORTABLE"/>
    <n v="0.2273"/>
    <n v="0.93"/>
    <n v="17.94158974358977"/>
    <x v="1"/>
    <n v="0"/>
    <n v="47"/>
    <x v="105"/>
    <m/>
    <s v="Week 5"/>
    <x v="0"/>
  </r>
  <r>
    <n v="699"/>
    <x v="30"/>
    <n v="11"/>
    <x v="1"/>
    <n v="1"/>
    <n v="2"/>
    <x v="1"/>
    <x v="15"/>
    <s v="COMFORTABLE"/>
    <n v="0.2424"/>
    <n v="0.86"/>
    <n v="17.94158974358977"/>
    <x v="1"/>
    <n v="2"/>
    <n v="49"/>
    <x v="41"/>
    <m/>
    <s v="Week 5"/>
    <x v="0"/>
  </r>
  <r>
    <n v="700"/>
    <x v="30"/>
    <n v="12"/>
    <x v="1"/>
    <n v="1"/>
    <n v="2"/>
    <x v="1"/>
    <x v="2"/>
    <s v="COMFORTABLE"/>
    <n v="0.2576"/>
    <n v="0.86"/>
    <n v="17.94158974358977"/>
    <x v="1"/>
    <n v="2"/>
    <n v="53"/>
    <x v="97"/>
    <m/>
    <s v="Week 5"/>
    <x v="0"/>
  </r>
  <r>
    <n v="701"/>
    <x v="30"/>
    <n v="13"/>
    <x v="1"/>
    <n v="1"/>
    <n v="2"/>
    <x v="1"/>
    <x v="2"/>
    <s v="COMFORTABLE"/>
    <n v="0.2576"/>
    <n v="0.86"/>
    <n v="17.94158974358977"/>
    <x v="1"/>
    <n v="3"/>
    <n v="49"/>
    <x v="46"/>
    <m/>
    <s v="Week 5"/>
    <x v="0"/>
  </r>
  <r>
    <n v="702"/>
    <x v="30"/>
    <n v="14"/>
    <x v="1"/>
    <n v="1"/>
    <n v="2"/>
    <x v="1"/>
    <x v="1"/>
    <s v="COMFORTABLE"/>
    <n v="0.2576"/>
    <n v="0.8"/>
    <n v="8.9599999999999991"/>
    <x v="1"/>
    <n v="5"/>
    <n v="49"/>
    <x v="60"/>
    <m/>
    <s v="Week 5"/>
    <x v="0"/>
  </r>
  <r>
    <n v="703"/>
    <x v="30"/>
    <n v="15"/>
    <x v="1"/>
    <n v="1"/>
    <n v="2"/>
    <x v="1"/>
    <x v="0"/>
    <s v="COMFORTABLE"/>
    <n v="0.28789999999999999"/>
    <n v="0.75"/>
    <n v="17.94158974358977"/>
    <x v="1"/>
    <n v="7"/>
    <n v="45"/>
    <x v="46"/>
    <m/>
    <s v="Week 5"/>
    <x v="0"/>
  </r>
  <r>
    <n v="704"/>
    <x v="30"/>
    <n v="16"/>
    <x v="1"/>
    <n v="1"/>
    <n v="2"/>
    <x v="1"/>
    <x v="0"/>
    <s v="COMFORTABLE"/>
    <n v="0.2424"/>
    <n v="0.75"/>
    <n v="13.43"/>
    <x v="1"/>
    <n v="3"/>
    <n v="61"/>
    <x v="37"/>
    <m/>
    <s v="Week 5"/>
    <x v="0"/>
  </r>
  <r>
    <n v="705"/>
    <x v="30"/>
    <n v="17"/>
    <x v="1"/>
    <n v="1"/>
    <n v="2"/>
    <x v="1"/>
    <x v="0"/>
    <s v="COMFORTABLE"/>
    <n v="0.28789999999999999"/>
    <n v="0.75"/>
    <n v="17.94158974358977"/>
    <x v="1"/>
    <n v="4"/>
    <n v="172"/>
    <x v="170"/>
    <m/>
    <s v="Week 5"/>
    <x v="0"/>
  </r>
  <r>
    <n v="706"/>
    <x v="30"/>
    <n v="18"/>
    <x v="1"/>
    <n v="1"/>
    <n v="2"/>
    <x v="1"/>
    <x v="0"/>
    <s v="COMFORTABLE"/>
    <n v="0.2576"/>
    <n v="0.81"/>
    <n v="10.45"/>
    <x v="1"/>
    <n v="3"/>
    <n v="165"/>
    <x v="171"/>
    <m/>
    <s v="Week 5"/>
    <x v="0"/>
  </r>
  <r>
    <n v="707"/>
    <x v="30"/>
    <n v="19"/>
    <x v="1"/>
    <n v="1"/>
    <n v="2"/>
    <x v="1"/>
    <x v="0"/>
    <s v="COMFORTABLE"/>
    <n v="0.2424"/>
    <n v="0.81"/>
    <n v="13.43"/>
    <x v="1"/>
    <n v="3"/>
    <n v="105"/>
    <x v="159"/>
    <m/>
    <s v="Week 5"/>
    <x v="0"/>
  </r>
  <r>
    <n v="708"/>
    <x v="30"/>
    <n v="20"/>
    <x v="1"/>
    <n v="1"/>
    <n v="2"/>
    <x v="1"/>
    <x v="1"/>
    <s v="COMFORTABLE"/>
    <n v="0.2273"/>
    <n v="0.87"/>
    <n v="13.43"/>
    <x v="1"/>
    <n v="5"/>
    <n v="69"/>
    <x v="30"/>
    <m/>
    <s v="Week 5"/>
    <x v="0"/>
  </r>
  <r>
    <n v="709"/>
    <x v="30"/>
    <n v="21"/>
    <x v="1"/>
    <n v="1"/>
    <n v="2"/>
    <x v="1"/>
    <x v="1"/>
    <s v="COMFORTABLE"/>
    <n v="0.2273"/>
    <n v="0.87"/>
    <n v="13.43"/>
    <x v="1"/>
    <n v="0"/>
    <n v="64"/>
    <x v="37"/>
    <m/>
    <s v="Week 5"/>
    <x v="0"/>
  </r>
  <r>
    <n v="710"/>
    <x v="30"/>
    <n v="22"/>
    <x v="1"/>
    <n v="1"/>
    <n v="2"/>
    <x v="1"/>
    <x v="1"/>
    <s v="COMFORTABLE"/>
    <n v="0.2576"/>
    <n v="0.87"/>
    <n v="8.9599999999999991"/>
    <x v="1"/>
    <n v="2"/>
    <n v="34"/>
    <x v="9"/>
    <m/>
    <s v="Week 5"/>
    <x v="0"/>
  </r>
  <r>
    <n v="711"/>
    <x v="30"/>
    <n v="23"/>
    <x v="1"/>
    <n v="1"/>
    <n v="3"/>
    <x v="2"/>
    <x v="2"/>
    <s v="COMFORTABLE"/>
    <n v="0.19700000000000001"/>
    <n v="0.93"/>
    <n v="19.400000000000002"/>
    <x v="1"/>
    <n v="1"/>
    <n v="15"/>
    <x v="0"/>
    <m/>
    <s v="Week 5"/>
    <x v="0"/>
  </r>
  <r>
    <n v="712"/>
    <x v="31"/>
    <n v="0"/>
    <x v="1"/>
    <n v="2"/>
    <n v="3"/>
    <x v="2"/>
    <x v="1"/>
    <s v="COMFORTABLE"/>
    <n v="0.2424"/>
    <n v="0.93"/>
    <n v="10.45"/>
    <x v="1"/>
    <n v="0"/>
    <n v="2"/>
    <x v="5"/>
    <m/>
    <s v="Week 1"/>
    <x v="1"/>
  </r>
  <r>
    <n v="713"/>
    <x v="31"/>
    <n v="1"/>
    <x v="1"/>
    <n v="2"/>
    <n v="3"/>
    <x v="2"/>
    <x v="1"/>
    <s v="COMFORTABLE"/>
    <n v="0.2273"/>
    <n v="0.93"/>
    <n v="19.400000000000002"/>
    <x v="1"/>
    <n v="0"/>
    <n v="3"/>
    <x v="6"/>
    <m/>
    <s v="Week 1"/>
    <x v="1"/>
  </r>
  <r>
    <n v="714"/>
    <x v="31"/>
    <n v="2"/>
    <x v="1"/>
    <n v="2"/>
    <n v="3"/>
    <x v="2"/>
    <x v="1"/>
    <s v="COMFORTABLE"/>
    <n v="0.2273"/>
    <n v="0.93"/>
    <n v="13.43"/>
    <x v="1"/>
    <n v="4"/>
    <n v="0"/>
    <x v="48"/>
    <m/>
    <s v="Week 1"/>
    <x v="1"/>
  </r>
  <r>
    <n v="715"/>
    <x v="31"/>
    <n v="3"/>
    <x v="1"/>
    <n v="2"/>
    <n v="3"/>
    <x v="2"/>
    <x v="1"/>
    <s v="COMFORTABLE"/>
    <n v="0.2273"/>
    <n v="0.93"/>
    <n v="13.43"/>
    <x v="1"/>
    <n v="0"/>
    <n v="1"/>
    <x v="4"/>
    <m/>
    <s v="Week 1"/>
    <x v="1"/>
  </r>
  <r>
    <n v="716"/>
    <x v="31"/>
    <n v="4"/>
    <x v="1"/>
    <n v="2"/>
    <n v="3"/>
    <x v="2"/>
    <x v="1"/>
    <s v="COMFORTABLE"/>
    <n v="0.21210000000000001"/>
    <n v="0.93"/>
    <n v="28.360000000000003"/>
    <x v="0"/>
    <n v="0"/>
    <n v="1"/>
    <x v="4"/>
    <m/>
    <s v="Week 1"/>
    <x v="1"/>
  </r>
  <r>
    <n v="717"/>
    <x v="31"/>
    <n v="5"/>
    <x v="1"/>
    <n v="2"/>
    <n v="3"/>
    <x v="2"/>
    <x v="1"/>
    <s v="COMFORTABLE"/>
    <n v="0.2424"/>
    <n v="0.93"/>
    <n v="10.45"/>
    <x v="1"/>
    <n v="0"/>
    <n v="3"/>
    <x v="6"/>
    <m/>
    <s v="Week 1"/>
    <x v="1"/>
  </r>
  <r>
    <n v="718"/>
    <x v="31"/>
    <n v="6"/>
    <x v="1"/>
    <n v="2"/>
    <n v="3"/>
    <x v="2"/>
    <x v="1"/>
    <s v="COMFORTABLE"/>
    <n v="0.2424"/>
    <n v="0.93"/>
    <n v="10.45"/>
    <x v="1"/>
    <n v="1"/>
    <n v="17"/>
    <x v="109"/>
    <m/>
    <s v="Week 1"/>
    <x v="1"/>
  </r>
  <r>
    <n v="719"/>
    <x v="31"/>
    <n v="7"/>
    <x v="1"/>
    <n v="2"/>
    <n v="3"/>
    <x v="2"/>
    <x v="1"/>
    <s v="COMFORTABLE"/>
    <n v="0.21210000000000001"/>
    <n v="0.93"/>
    <n v="22.39"/>
    <x v="0"/>
    <n v="1"/>
    <n v="48"/>
    <x v="99"/>
    <m/>
    <s v="Week 1"/>
    <x v="1"/>
  </r>
  <r>
    <n v="720"/>
    <x v="31"/>
    <n v="8"/>
    <x v="1"/>
    <n v="2"/>
    <n v="3"/>
    <x v="2"/>
    <x v="1"/>
    <s v="COMFORTABLE"/>
    <n v="0.21210000000000001"/>
    <n v="0.93"/>
    <n v="22.39"/>
    <x v="0"/>
    <n v="1"/>
    <n v="154"/>
    <x v="107"/>
    <m/>
    <s v="Week 1"/>
    <x v="1"/>
  </r>
  <r>
    <n v="721"/>
    <x v="31"/>
    <n v="9"/>
    <x v="1"/>
    <n v="2"/>
    <n v="2"/>
    <x v="1"/>
    <x v="0"/>
    <s v="COMFORTABLE"/>
    <n v="0.2576"/>
    <n v="0.93"/>
    <n v="8.9599999999999991"/>
    <x v="1"/>
    <n v="4"/>
    <n v="119"/>
    <x v="92"/>
    <m/>
    <s v="Week 1"/>
    <x v="1"/>
  </r>
  <r>
    <n v="722"/>
    <x v="31"/>
    <n v="10"/>
    <x v="1"/>
    <n v="2"/>
    <n v="2"/>
    <x v="1"/>
    <x v="1"/>
    <s v="COMFORTABLE"/>
    <n v="0.2727"/>
    <n v="1"/>
    <n v="17.94158974358977"/>
    <x v="1"/>
    <n v="2"/>
    <n v="59"/>
    <x v="42"/>
    <m/>
    <s v="Week 1"/>
    <x v="1"/>
  </r>
  <r>
    <n v="723"/>
    <x v="31"/>
    <n v="11"/>
    <x v="1"/>
    <n v="2"/>
    <n v="2"/>
    <x v="1"/>
    <x v="0"/>
    <s v="COMFORTABLE"/>
    <n v="0.2273"/>
    <n v="0.93"/>
    <n v="19.400000000000002"/>
    <x v="1"/>
    <n v="5"/>
    <n v="47"/>
    <x v="46"/>
    <m/>
    <s v="Week 1"/>
    <x v="1"/>
  </r>
  <r>
    <n v="724"/>
    <x v="31"/>
    <n v="12"/>
    <x v="1"/>
    <n v="2"/>
    <n v="2"/>
    <x v="1"/>
    <x v="0"/>
    <s v="COMFORTABLE"/>
    <n v="0.2273"/>
    <n v="0.93"/>
    <n v="22.39"/>
    <x v="0"/>
    <n v="3"/>
    <n v="61"/>
    <x v="37"/>
    <m/>
    <s v="Week 1"/>
    <x v="1"/>
  </r>
  <r>
    <n v="725"/>
    <x v="31"/>
    <n v="13"/>
    <x v="1"/>
    <n v="2"/>
    <n v="1"/>
    <x v="0"/>
    <x v="10"/>
    <s v="WARM"/>
    <n v="0.33329999999999999"/>
    <n v="0.93"/>
    <n v="16.420000000000002"/>
    <x v="1"/>
    <n v="1"/>
    <n v="74"/>
    <x v="28"/>
    <m/>
    <s v="Week 1"/>
    <x v="1"/>
  </r>
  <r>
    <n v="726"/>
    <x v="31"/>
    <n v="14"/>
    <x v="1"/>
    <n v="2"/>
    <n v="1"/>
    <x v="0"/>
    <x v="4"/>
    <s v="WARM"/>
    <n v="0.39389999999999997"/>
    <n v="0.82"/>
    <n v="38.81"/>
    <x v="2"/>
    <n v="2"/>
    <n v="61"/>
    <x v="55"/>
    <m/>
    <s v="Week 1"/>
    <x v="1"/>
  </r>
  <r>
    <n v="727"/>
    <x v="31"/>
    <n v="15"/>
    <x v="1"/>
    <n v="2"/>
    <n v="1"/>
    <x v="0"/>
    <x v="4"/>
    <s v="WARM"/>
    <n v="0.39389999999999997"/>
    <n v="0.76"/>
    <n v="32.840000000000003"/>
    <x v="2"/>
    <n v="10"/>
    <n v="66"/>
    <x v="31"/>
    <m/>
    <s v="Week 1"/>
    <x v="1"/>
  </r>
  <r>
    <n v="728"/>
    <x v="31"/>
    <n v="16"/>
    <x v="1"/>
    <n v="2"/>
    <n v="1"/>
    <x v="0"/>
    <x v="5"/>
    <s v="WARM"/>
    <n v="0.33329999999999999"/>
    <n v="0.71"/>
    <n v="29.849999999999998"/>
    <x v="0"/>
    <n v="8"/>
    <n v="95"/>
    <x v="153"/>
    <m/>
    <s v="Week 1"/>
    <x v="1"/>
  </r>
  <r>
    <n v="729"/>
    <x v="31"/>
    <n v="17"/>
    <x v="1"/>
    <n v="2"/>
    <n v="1"/>
    <x v="0"/>
    <x v="5"/>
    <s v="WARM"/>
    <n v="0.31819999999999998"/>
    <n v="0.53"/>
    <n v="52.239999999999995"/>
    <x v="2"/>
    <n v="7"/>
    <n v="183"/>
    <x v="71"/>
    <m/>
    <s v="Week 1"/>
    <x v="1"/>
  </r>
  <r>
    <n v="730"/>
    <x v="31"/>
    <n v="18"/>
    <x v="1"/>
    <n v="2"/>
    <n v="1"/>
    <x v="0"/>
    <x v="10"/>
    <s v="WARM"/>
    <n v="0.28789999999999999"/>
    <n v="0.42"/>
    <n v="55.22"/>
    <x v="2"/>
    <n v="7"/>
    <n v="175"/>
    <x v="58"/>
    <m/>
    <s v="Week 1"/>
    <x v="1"/>
  </r>
  <r>
    <n v="731"/>
    <x v="31"/>
    <n v="19"/>
    <x v="1"/>
    <n v="2"/>
    <n v="1"/>
    <x v="0"/>
    <x v="17"/>
    <s v="WARM"/>
    <n v="0.2424"/>
    <n v="0.45"/>
    <n v="49.25"/>
    <x v="2"/>
    <n v="3"/>
    <n v="88"/>
    <x v="134"/>
    <m/>
    <s v="Week 1"/>
    <x v="1"/>
  </r>
  <r>
    <n v="732"/>
    <x v="31"/>
    <n v="20"/>
    <x v="1"/>
    <n v="2"/>
    <n v="1"/>
    <x v="0"/>
    <x v="0"/>
    <s v="COMFORTABLE"/>
    <n v="0.19700000000000001"/>
    <n v="0.48"/>
    <n v="55.22"/>
    <x v="2"/>
    <n v="4"/>
    <n v="71"/>
    <x v="28"/>
    <m/>
    <s v="Week 1"/>
    <x v="1"/>
  </r>
  <r>
    <n v="733"/>
    <x v="31"/>
    <n v="21"/>
    <x v="1"/>
    <n v="2"/>
    <n v="1"/>
    <x v="0"/>
    <x v="1"/>
    <s v="COMFORTABLE"/>
    <n v="0.19700000000000001"/>
    <n v="0.47"/>
    <n v="32.840000000000003"/>
    <x v="2"/>
    <n v="1"/>
    <n v="62"/>
    <x v="55"/>
    <m/>
    <s v="Week 1"/>
    <x v="1"/>
  </r>
  <r>
    <n v="734"/>
    <x v="31"/>
    <n v="22"/>
    <x v="1"/>
    <n v="2"/>
    <n v="1"/>
    <x v="0"/>
    <x v="1"/>
    <s v="COMFORTABLE"/>
    <n v="0.21210000000000001"/>
    <n v="0.44"/>
    <n v="25.369999999999997"/>
    <x v="0"/>
    <n v="5"/>
    <n v="35"/>
    <x v="1"/>
    <m/>
    <s v="Week 1"/>
    <x v="1"/>
  </r>
  <r>
    <n v="735"/>
    <x v="31"/>
    <n v="23"/>
    <x v="1"/>
    <n v="2"/>
    <n v="1"/>
    <x v="0"/>
    <x v="2"/>
    <s v="COMFORTABLE"/>
    <n v="0.16669999999999999"/>
    <n v="0.44"/>
    <n v="44.78"/>
    <x v="2"/>
    <n v="3"/>
    <n v="29"/>
    <x v="2"/>
    <m/>
    <s v="Week 1"/>
    <x v="1"/>
  </r>
  <r>
    <n v="736"/>
    <x v="32"/>
    <n v="0"/>
    <x v="1"/>
    <n v="3"/>
    <n v="1"/>
    <x v="0"/>
    <x v="2"/>
    <s v="COMFORTABLE"/>
    <n v="0.16669999999999999"/>
    <n v="0.4"/>
    <n v="44.78"/>
    <x v="2"/>
    <n v="1"/>
    <n v="11"/>
    <x v="47"/>
    <m/>
    <s v="Week 1"/>
    <x v="1"/>
  </r>
  <r>
    <n v="737"/>
    <x v="32"/>
    <n v="1"/>
    <x v="1"/>
    <n v="3"/>
    <n v="1"/>
    <x v="0"/>
    <x v="2"/>
    <s v="COMFORTABLE"/>
    <n v="0.1515"/>
    <n v="0.44"/>
    <n v="52.239999999999995"/>
    <x v="2"/>
    <n v="0"/>
    <n v="5"/>
    <x v="36"/>
    <m/>
    <s v="Week 1"/>
    <x v="1"/>
  </r>
  <r>
    <n v="738"/>
    <x v="32"/>
    <n v="2"/>
    <x v="1"/>
    <n v="3"/>
    <n v="1"/>
    <x v="0"/>
    <x v="15"/>
    <s v="COMFORTABLE"/>
    <n v="0.16669999999999999"/>
    <n v="0.43"/>
    <n v="25.369999999999997"/>
    <x v="0"/>
    <n v="0"/>
    <n v="2"/>
    <x v="5"/>
    <m/>
    <s v="Week 1"/>
    <x v="1"/>
  </r>
  <r>
    <n v="739"/>
    <x v="32"/>
    <n v="3"/>
    <x v="1"/>
    <n v="3"/>
    <n v="1"/>
    <x v="0"/>
    <x v="15"/>
    <s v="COMFORTABLE"/>
    <n v="0.16669999999999999"/>
    <n v="0.43"/>
    <n v="25.369999999999997"/>
    <x v="0"/>
    <n v="0"/>
    <n v="1"/>
    <x v="4"/>
    <m/>
    <s v="Week 1"/>
    <x v="1"/>
  </r>
  <r>
    <n v="740"/>
    <x v="32"/>
    <n v="5"/>
    <x v="1"/>
    <n v="3"/>
    <n v="1"/>
    <x v="0"/>
    <x v="13"/>
    <s v="COMFORTABLE"/>
    <n v="0.13639999999999999"/>
    <n v="0.5"/>
    <n v="29.849999999999998"/>
    <x v="0"/>
    <n v="0"/>
    <n v="2"/>
    <x v="5"/>
    <m/>
    <s v="Week 1"/>
    <x v="1"/>
  </r>
  <r>
    <n v="741"/>
    <x v="32"/>
    <n v="6"/>
    <x v="1"/>
    <n v="3"/>
    <n v="1"/>
    <x v="0"/>
    <x v="13"/>
    <s v="COMFORTABLE"/>
    <n v="0.13639999999999999"/>
    <n v="0.43"/>
    <n v="35.82"/>
    <x v="2"/>
    <n v="0"/>
    <n v="39"/>
    <x v="21"/>
    <m/>
    <s v="Week 1"/>
    <x v="1"/>
  </r>
  <r>
    <n v="742"/>
    <x v="32"/>
    <n v="7"/>
    <x v="1"/>
    <n v="3"/>
    <n v="1"/>
    <x v="0"/>
    <x v="14"/>
    <s v="COMFORTABLE"/>
    <n v="0.1212"/>
    <n v="0.5"/>
    <n v="32.840000000000003"/>
    <x v="2"/>
    <n v="1"/>
    <n v="86"/>
    <x v="90"/>
    <m/>
    <s v="Week 1"/>
    <x v="1"/>
  </r>
  <r>
    <n v="743"/>
    <x v="32"/>
    <n v="8"/>
    <x v="1"/>
    <n v="3"/>
    <n v="1"/>
    <x v="0"/>
    <x v="14"/>
    <s v="COMFORTABLE"/>
    <n v="0.1212"/>
    <n v="0.5"/>
    <n v="35.82"/>
    <x v="2"/>
    <n v="4"/>
    <n v="184"/>
    <x v="104"/>
    <m/>
    <s v="Week 1"/>
    <x v="1"/>
  </r>
  <r>
    <n v="744"/>
    <x v="32"/>
    <n v="9"/>
    <x v="1"/>
    <n v="3"/>
    <n v="1"/>
    <x v="0"/>
    <x v="13"/>
    <s v="COMFORTABLE"/>
    <n v="0.13639999999999999"/>
    <n v="0.47"/>
    <n v="29.849999999999998"/>
    <x v="0"/>
    <n v="6"/>
    <n v="127"/>
    <x v="140"/>
    <m/>
    <s v="Week 1"/>
    <x v="1"/>
  </r>
  <r>
    <n v="745"/>
    <x v="32"/>
    <n v="10"/>
    <x v="1"/>
    <n v="3"/>
    <n v="1"/>
    <x v="0"/>
    <x v="15"/>
    <s v="COMFORTABLE"/>
    <n v="0.1515"/>
    <n v="0.43"/>
    <n v="32.840000000000003"/>
    <x v="2"/>
    <n v="2"/>
    <n v="50"/>
    <x v="46"/>
    <m/>
    <s v="Week 1"/>
    <x v="1"/>
  </r>
  <r>
    <n v="746"/>
    <x v="32"/>
    <n v="11"/>
    <x v="1"/>
    <n v="3"/>
    <n v="1"/>
    <x v="0"/>
    <x v="15"/>
    <s v="COMFORTABLE"/>
    <n v="0.13639999999999999"/>
    <n v="0.43"/>
    <n v="44.78"/>
    <x v="2"/>
    <n v="9"/>
    <n v="55"/>
    <x v="37"/>
    <m/>
    <s v="Week 1"/>
    <x v="1"/>
  </r>
  <r>
    <n v="747"/>
    <x v="32"/>
    <n v="12"/>
    <x v="1"/>
    <n v="3"/>
    <n v="1"/>
    <x v="0"/>
    <x v="2"/>
    <s v="COMFORTABLE"/>
    <n v="0.18179999999999999"/>
    <n v="0.4"/>
    <n v="35.82"/>
    <x v="2"/>
    <n v="2"/>
    <n v="67"/>
    <x v="83"/>
    <m/>
    <s v="Week 1"/>
    <x v="1"/>
  </r>
  <r>
    <n v="748"/>
    <x v="32"/>
    <n v="13"/>
    <x v="1"/>
    <n v="3"/>
    <n v="1"/>
    <x v="0"/>
    <x v="2"/>
    <s v="COMFORTABLE"/>
    <n v="0.16669999999999999"/>
    <n v="0.4"/>
    <n v="41.79"/>
    <x v="2"/>
    <n v="4"/>
    <n v="47"/>
    <x v="41"/>
    <m/>
    <s v="Week 1"/>
    <x v="1"/>
  </r>
  <r>
    <n v="749"/>
    <x v="32"/>
    <n v="14"/>
    <x v="1"/>
    <n v="3"/>
    <n v="1"/>
    <x v="0"/>
    <x v="1"/>
    <s v="COMFORTABLE"/>
    <n v="0.19700000000000001"/>
    <n v="0.37"/>
    <n v="38.81"/>
    <x v="2"/>
    <n v="4"/>
    <n v="43"/>
    <x v="105"/>
    <m/>
    <s v="Week 1"/>
    <x v="1"/>
  </r>
  <r>
    <n v="750"/>
    <x v="32"/>
    <n v="15"/>
    <x v="1"/>
    <n v="3"/>
    <n v="1"/>
    <x v="0"/>
    <x v="1"/>
    <s v="COMFORTABLE"/>
    <n v="0.19700000000000001"/>
    <n v="0.37"/>
    <n v="32.840000000000003"/>
    <x v="2"/>
    <n v="4"/>
    <n v="56"/>
    <x v="122"/>
    <m/>
    <s v="Week 1"/>
    <x v="1"/>
  </r>
  <r>
    <n v="751"/>
    <x v="32"/>
    <n v="16"/>
    <x v="1"/>
    <n v="3"/>
    <n v="1"/>
    <x v="0"/>
    <x v="1"/>
    <s v="COMFORTABLE"/>
    <n v="0.21210000000000001"/>
    <n v="0.37"/>
    <n v="25.369999999999997"/>
    <x v="0"/>
    <n v="5"/>
    <n v="73"/>
    <x v="53"/>
    <m/>
    <s v="Week 1"/>
    <x v="1"/>
  </r>
  <r>
    <n v="752"/>
    <x v="32"/>
    <n v="17"/>
    <x v="1"/>
    <n v="3"/>
    <n v="1"/>
    <x v="0"/>
    <x v="2"/>
    <s v="COMFORTABLE"/>
    <n v="0.19700000000000001"/>
    <n v="0.4"/>
    <n v="19.400000000000002"/>
    <x v="1"/>
    <n v="5"/>
    <n v="170"/>
    <x v="172"/>
    <m/>
    <s v="Week 1"/>
    <x v="1"/>
  </r>
  <r>
    <n v="753"/>
    <x v="32"/>
    <n v="18"/>
    <x v="1"/>
    <n v="3"/>
    <n v="1"/>
    <x v="0"/>
    <x v="2"/>
    <s v="COMFORTABLE"/>
    <n v="0.21210000000000001"/>
    <n v="0.4"/>
    <n v="16.420000000000002"/>
    <x v="1"/>
    <n v="2"/>
    <n v="145"/>
    <x v="173"/>
    <m/>
    <s v="Week 1"/>
    <x v="1"/>
  </r>
  <r>
    <n v="754"/>
    <x v="32"/>
    <n v="19"/>
    <x v="1"/>
    <n v="3"/>
    <n v="1"/>
    <x v="0"/>
    <x v="2"/>
    <s v="COMFORTABLE"/>
    <n v="0.2576"/>
    <n v="0.4"/>
    <n v="17.94158974358977"/>
    <x v="1"/>
    <n v="4"/>
    <n v="92"/>
    <x v="152"/>
    <m/>
    <s v="Week 1"/>
    <x v="1"/>
  </r>
  <r>
    <n v="755"/>
    <x v="32"/>
    <n v="20"/>
    <x v="1"/>
    <n v="3"/>
    <n v="1"/>
    <x v="0"/>
    <x v="2"/>
    <s v="COMFORTABLE"/>
    <n v="0.2273"/>
    <n v="0.47"/>
    <n v="8.9599999999999991"/>
    <x v="1"/>
    <n v="1"/>
    <n v="108"/>
    <x v="142"/>
    <m/>
    <s v="Week 1"/>
    <x v="1"/>
  </r>
  <r>
    <n v="756"/>
    <x v="32"/>
    <n v="21"/>
    <x v="1"/>
    <n v="3"/>
    <n v="1"/>
    <x v="0"/>
    <x v="15"/>
    <s v="COMFORTABLE"/>
    <n v="0.21210000000000001"/>
    <n v="0.55000000000000004"/>
    <n v="10.45"/>
    <x v="1"/>
    <n v="1"/>
    <n v="53"/>
    <x v="60"/>
    <m/>
    <s v="Week 1"/>
    <x v="1"/>
  </r>
  <r>
    <n v="757"/>
    <x v="32"/>
    <n v="22"/>
    <x v="1"/>
    <n v="3"/>
    <n v="1"/>
    <x v="0"/>
    <x v="15"/>
    <s v="COMFORTABLE"/>
    <n v="0.21210000000000001"/>
    <n v="0.51"/>
    <n v="8.9599999999999991"/>
    <x v="1"/>
    <n v="2"/>
    <n v="39"/>
    <x v="102"/>
    <m/>
    <s v="Week 1"/>
    <x v="1"/>
  </r>
  <r>
    <n v="758"/>
    <x v="32"/>
    <n v="23"/>
    <x v="1"/>
    <n v="3"/>
    <n v="1"/>
    <x v="0"/>
    <x v="2"/>
    <s v="COMFORTABLE"/>
    <n v="0.2273"/>
    <n v="0.47"/>
    <n v="10.45"/>
    <x v="1"/>
    <n v="4"/>
    <n v="34"/>
    <x v="103"/>
    <m/>
    <s v="Week 1"/>
    <x v="1"/>
  </r>
  <r>
    <n v="759"/>
    <x v="33"/>
    <n v="0"/>
    <x v="1"/>
    <n v="4"/>
    <n v="2"/>
    <x v="1"/>
    <x v="2"/>
    <s v="COMFORTABLE"/>
    <n v="0.2576"/>
    <n v="0.44"/>
    <n v="17.94158974358977"/>
    <x v="1"/>
    <n v="3"/>
    <n v="10"/>
    <x v="3"/>
    <m/>
    <s v="Week 1"/>
    <x v="1"/>
  </r>
  <r>
    <n v="760"/>
    <x v="33"/>
    <n v="1"/>
    <x v="1"/>
    <n v="4"/>
    <n v="2"/>
    <x v="1"/>
    <x v="13"/>
    <s v="COMFORTABLE"/>
    <n v="0.2273"/>
    <n v="0.59"/>
    <n v="17.94158974358977"/>
    <x v="1"/>
    <n v="0"/>
    <n v="7"/>
    <x v="85"/>
    <m/>
    <s v="Week 1"/>
    <x v="1"/>
  </r>
  <r>
    <n v="761"/>
    <x v="33"/>
    <n v="2"/>
    <x v="1"/>
    <n v="4"/>
    <n v="2"/>
    <x v="1"/>
    <x v="14"/>
    <s v="COMFORTABLE"/>
    <n v="0.16669999999999999"/>
    <n v="0.63"/>
    <n v="10.45"/>
    <x v="1"/>
    <n v="0"/>
    <n v="1"/>
    <x v="4"/>
    <m/>
    <s v="Week 1"/>
    <x v="1"/>
  </r>
  <r>
    <n v="762"/>
    <x v="33"/>
    <n v="3"/>
    <x v="1"/>
    <n v="4"/>
    <n v="2"/>
    <x v="1"/>
    <x v="14"/>
    <s v="COMFORTABLE"/>
    <n v="0.16669999999999999"/>
    <n v="0.63"/>
    <n v="10.45"/>
    <x v="1"/>
    <n v="0"/>
    <n v="1"/>
    <x v="4"/>
    <m/>
    <s v="Week 1"/>
    <x v="1"/>
  </r>
  <r>
    <n v="763"/>
    <x v="33"/>
    <n v="5"/>
    <x v="1"/>
    <n v="4"/>
    <n v="2"/>
    <x v="1"/>
    <x v="14"/>
    <s v="COMFORTABLE"/>
    <n v="0.1515"/>
    <n v="0.63"/>
    <n v="13.43"/>
    <x v="1"/>
    <n v="0"/>
    <n v="7"/>
    <x v="85"/>
    <m/>
    <s v="Week 1"/>
    <x v="1"/>
  </r>
  <r>
    <n v="764"/>
    <x v="33"/>
    <n v="6"/>
    <x v="1"/>
    <n v="4"/>
    <n v="2"/>
    <x v="1"/>
    <x v="13"/>
    <s v="COMFORTABLE"/>
    <n v="0.2273"/>
    <n v="0.55000000000000004"/>
    <n v="17.94158974358977"/>
    <x v="1"/>
    <n v="2"/>
    <n v="26"/>
    <x v="20"/>
    <m/>
    <s v="Week 1"/>
    <x v="1"/>
  </r>
  <r>
    <n v="765"/>
    <x v="33"/>
    <n v="7"/>
    <x v="1"/>
    <n v="4"/>
    <n v="1"/>
    <x v="0"/>
    <x v="14"/>
    <s v="COMFORTABLE"/>
    <n v="0.21210000000000001"/>
    <n v="0.59"/>
    <n v="17.94158974358977"/>
    <x v="1"/>
    <n v="0"/>
    <n v="87"/>
    <x v="90"/>
    <m/>
    <s v="Week 1"/>
    <x v="1"/>
  </r>
  <r>
    <n v="766"/>
    <x v="33"/>
    <n v="8"/>
    <x v="1"/>
    <n v="4"/>
    <n v="1"/>
    <x v="0"/>
    <x v="14"/>
    <s v="COMFORTABLE"/>
    <n v="0.1515"/>
    <n v="0.74"/>
    <n v="13.43"/>
    <x v="1"/>
    <n v="3"/>
    <n v="217"/>
    <x v="174"/>
    <m/>
    <s v="Week 1"/>
    <x v="1"/>
  </r>
  <r>
    <n v="767"/>
    <x v="33"/>
    <n v="9"/>
    <x v="1"/>
    <n v="4"/>
    <n v="2"/>
    <x v="1"/>
    <x v="13"/>
    <s v="COMFORTABLE"/>
    <n v="0.18179999999999999"/>
    <n v="0.8"/>
    <n v="13.43"/>
    <x v="1"/>
    <n v="3"/>
    <n v="124"/>
    <x v="175"/>
    <m/>
    <s v="Week 1"/>
    <x v="1"/>
  </r>
  <r>
    <n v="768"/>
    <x v="33"/>
    <n v="10"/>
    <x v="1"/>
    <n v="4"/>
    <n v="2"/>
    <x v="1"/>
    <x v="2"/>
    <s v="COMFORTABLE"/>
    <n v="0.21210000000000001"/>
    <n v="0.51"/>
    <n v="13.43"/>
    <x v="1"/>
    <n v="5"/>
    <n v="46"/>
    <x v="41"/>
    <m/>
    <s v="Week 1"/>
    <x v="1"/>
  </r>
  <r>
    <n v="769"/>
    <x v="33"/>
    <n v="11"/>
    <x v="1"/>
    <n v="4"/>
    <n v="1"/>
    <x v="0"/>
    <x v="1"/>
    <s v="COMFORTABLE"/>
    <n v="0.2273"/>
    <n v="0.51"/>
    <n v="16.420000000000002"/>
    <x v="1"/>
    <n v="3"/>
    <n v="61"/>
    <x v="37"/>
    <m/>
    <s v="Week 1"/>
    <x v="1"/>
  </r>
  <r>
    <n v="770"/>
    <x v="33"/>
    <n v="12"/>
    <x v="1"/>
    <n v="4"/>
    <n v="2"/>
    <x v="1"/>
    <x v="0"/>
    <s v="COMFORTABLE"/>
    <n v="0.2424"/>
    <n v="0.48"/>
    <n v="16.420000000000002"/>
    <x v="1"/>
    <n v="8"/>
    <n v="78"/>
    <x v="80"/>
    <m/>
    <s v="Week 1"/>
    <x v="1"/>
  </r>
  <r>
    <n v="771"/>
    <x v="33"/>
    <n v="13"/>
    <x v="1"/>
    <n v="4"/>
    <n v="2"/>
    <x v="1"/>
    <x v="12"/>
    <s v="WARM"/>
    <n v="0.2576"/>
    <n v="0.5"/>
    <n v="22.39"/>
    <x v="0"/>
    <n v="9"/>
    <n v="73"/>
    <x v="100"/>
    <m/>
    <s v="Week 1"/>
    <x v="1"/>
  </r>
  <r>
    <n v="772"/>
    <x v="33"/>
    <n v="14"/>
    <x v="1"/>
    <n v="4"/>
    <n v="2"/>
    <x v="1"/>
    <x v="17"/>
    <s v="WARM"/>
    <n v="0.2727"/>
    <n v="0.45"/>
    <n v="16.420000000000002"/>
    <x v="1"/>
    <n v="15"/>
    <n v="76"/>
    <x v="134"/>
    <m/>
    <s v="Week 1"/>
    <x v="1"/>
  </r>
  <r>
    <n v="773"/>
    <x v="33"/>
    <n v="15"/>
    <x v="1"/>
    <n v="4"/>
    <n v="2"/>
    <x v="1"/>
    <x v="17"/>
    <s v="WARM"/>
    <n v="0.2727"/>
    <n v="0.48"/>
    <n v="25.369999999999997"/>
    <x v="0"/>
    <n v="9"/>
    <n v="81"/>
    <x v="127"/>
    <m/>
    <s v="Week 1"/>
    <x v="1"/>
  </r>
  <r>
    <n v="774"/>
    <x v="33"/>
    <n v="16"/>
    <x v="1"/>
    <n v="4"/>
    <n v="2"/>
    <x v="1"/>
    <x v="11"/>
    <s v="WARM"/>
    <n v="0.28789999999999999"/>
    <n v="0.42"/>
    <n v="22.39"/>
    <x v="0"/>
    <n v="8"/>
    <n v="91"/>
    <x v="111"/>
    <m/>
    <s v="Week 1"/>
    <x v="1"/>
  </r>
  <r>
    <n v="775"/>
    <x v="33"/>
    <n v="17"/>
    <x v="1"/>
    <n v="4"/>
    <n v="2"/>
    <x v="1"/>
    <x v="12"/>
    <s v="WARM"/>
    <n v="0.2727"/>
    <n v="0.56000000000000005"/>
    <n v="13.43"/>
    <x v="1"/>
    <n v="10"/>
    <n v="195"/>
    <x v="176"/>
    <m/>
    <s v="Week 1"/>
    <x v="1"/>
  </r>
  <r>
    <n v="776"/>
    <x v="33"/>
    <n v="18"/>
    <x v="1"/>
    <n v="4"/>
    <n v="2"/>
    <x v="1"/>
    <x v="0"/>
    <s v="COMFORTABLE"/>
    <n v="0.2576"/>
    <n v="0.6"/>
    <n v="10.45"/>
    <x v="1"/>
    <n v="3"/>
    <n v="152"/>
    <x v="107"/>
    <m/>
    <s v="Week 1"/>
    <x v="1"/>
  </r>
  <r>
    <n v="777"/>
    <x v="33"/>
    <n v="19"/>
    <x v="1"/>
    <n v="4"/>
    <n v="2"/>
    <x v="1"/>
    <x v="0"/>
    <s v="COMFORTABLE"/>
    <n v="0.2424"/>
    <n v="0.65"/>
    <n v="13.43"/>
    <x v="1"/>
    <n v="1"/>
    <n v="102"/>
    <x v="153"/>
    <m/>
    <s v="Week 1"/>
    <x v="1"/>
  </r>
  <r>
    <n v="778"/>
    <x v="33"/>
    <n v="20"/>
    <x v="1"/>
    <n v="4"/>
    <n v="2"/>
    <x v="1"/>
    <x v="0"/>
    <s v="COMFORTABLE"/>
    <n v="0.2424"/>
    <n v="0.65"/>
    <n v="16.420000000000002"/>
    <x v="1"/>
    <n v="2"/>
    <n v="69"/>
    <x v="68"/>
    <m/>
    <s v="Week 1"/>
    <x v="1"/>
  </r>
  <r>
    <n v="779"/>
    <x v="33"/>
    <n v="21"/>
    <x v="1"/>
    <n v="4"/>
    <n v="2"/>
    <x v="1"/>
    <x v="0"/>
    <s v="COMFORTABLE"/>
    <n v="0.2424"/>
    <n v="0.7"/>
    <n v="16.420000000000002"/>
    <x v="1"/>
    <n v="2"/>
    <n v="41"/>
    <x v="74"/>
    <m/>
    <s v="Week 1"/>
    <x v="1"/>
  </r>
  <r>
    <n v="780"/>
    <x v="33"/>
    <n v="22"/>
    <x v="1"/>
    <n v="4"/>
    <n v="2"/>
    <x v="1"/>
    <x v="0"/>
    <s v="COMFORTABLE"/>
    <n v="0.2424"/>
    <n v="0.65"/>
    <n v="16.420000000000002"/>
    <x v="1"/>
    <n v="1"/>
    <n v="45"/>
    <x v="66"/>
    <m/>
    <s v="Week 1"/>
    <x v="1"/>
  </r>
  <r>
    <n v="781"/>
    <x v="33"/>
    <n v="23"/>
    <x v="1"/>
    <n v="4"/>
    <n v="2"/>
    <x v="1"/>
    <x v="0"/>
    <s v="COMFORTABLE"/>
    <n v="0.2424"/>
    <n v="0.7"/>
    <n v="13.43"/>
    <x v="1"/>
    <n v="1"/>
    <n v="30"/>
    <x v="35"/>
    <m/>
    <s v="Week 1"/>
    <x v="1"/>
  </r>
  <r>
    <n v="782"/>
    <x v="34"/>
    <n v="0"/>
    <x v="1"/>
    <n v="5"/>
    <n v="2"/>
    <x v="1"/>
    <x v="0"/>
    <s v="COMFORTABLE"/>
    <n v="0.2424"/>
    <n v="0.7"/>
    <n v="16.420000000000002"/>
    <x v="1"/>
    <n v="3"/>
    <n v="36"/>
    <x v="21"/>
    <m/>
    <s v="Week 1"/>
    <x v="1"/>
  </r>
  <r>
    <n v="783"/>
    <x v="34"/>
    <n v="1"/>
    <x v="1"/>
    <n v="5"/>
    <n v="2"/>
    <x v="1"/>
    <x v="0"/>
    <s v="COMFORTABLE"/>
    <n v="0.2424"/>
    <n v="0.65"/>
    <n v="16.420000000000002"/>
    <x v="1"/>
    <n v="1"/>
    <n v="17"/>
    <x v="109"/>
    <m/>
    <s v="Week 1"/>
    <x v="1"/>
  </r>
  <r>
    <n v="784"/>
    <x v="34"/>
    <n v="2"/>
    <x v="1"/>
    <n v="5"/>
    <n v="2"/>
    <x v="1"/>
    <x v="0"/>
    <s v="COMFORTABLE"/>
    <n v="0.2424"/>
    <n v="0.75"/>
    <n v="16.420000000000002"/>
    <x v="1"/>
    <n v="5"/>
    <n v="12"/>
    <x v="22"/>
    <m/>
    <s v="Week 1"/>
    <x v="1"/>
  </r>
  <r>
    <n v="785"/>
    <x v="34"/>
    <n v="3"/>
    <x v="1"/>
    <n v="5"/>
    <n v="2"/>
    <x v="1"/>
    <x v="0"/>
    <s v="COMFORTABLE"/>
    <n v="0.2424"/>
    <n v="0.75"/>
    <n v="16.420000000000002"/>
    <x v="1"/>
    <n v="1"/>
    <n v="10"/>
    <x v="62"/>
    <m/>
    <s v="Week 1"/>
    <x v="1"/>
  </r>
  <r>
    <n v="786"/>
    <x v="34"/>
    <n v="4"/>
    <x v="1"/>
    <n v="5"/>
    <n v="3"/>
    <x v="2"/>
    <x v="1"/>
    <s v="COMFORTABLE"/>
    <n v="0.2273"/>
    <n v="0.93"/>
    <n v="13.43"/>
    <x v="1"/>
    <n v="0"/>
    <n v="8"/>
    <x v="7"/>
    <m/>
    <s v="Week 1"/>
    <x v="1"/>
  </r>
  <r>
    <n v="787"/>
    <x v="34"/>
    <n v="5"/>
    <x v="1"/>
    <n v="5"/>
    <n v="3"/>
    <x v="2"/>
    <x v="2"/>
    <s v="COMFORTABLE"/>
    <n v="0.2273"/>
    <n v="1"/>
    <n v="8.9599999999999991"/>
    <x v="1"/>
    <n v="0"/>
    <n v="9"/>
    <x v="23"/>
    <m/>
    <s v="Week 1"/>
    <x v="1"/>
  </r>
  <r>
    <n v="788"/>
    <x v="34"/>
    <n v="6"/>
    <x v="1"/>
    <n v="5"/>
    <n v="3"/>
    <x v="2"/>
    <x v="2"/>
    <s v="COMFORTABLE"/>
    <n v="0.2576"/>
    <n v="1"/>
    <n v="17.94158974358977"/>
    <x v="1"/>
    <n v="0"/>
    <n v="4"/>
    <x v="48"/>
    <m/>
    <s v="Week 1"/>
    <x v="1"/>
  </r>
  <r>
    <n v="789"/>
    <x v="34"/>
    <n v="7"/>
    <x v="1"/>
    <n v="5"/>
    <n v="3"/>
    <x v="2"/>
    <x v="1"/>
    <s v="COMFORTABLE"/>
    <n v="0.2576"/>
    <n v="0.93"/>
    <n v="8.9599999999999991"/>
    <x v="1"/>
    <n v="0"/>
    <n v="4"/>
    <x v="48"/>
    <m/>
    <s v="Week 1"/>
    <x v="1"/>
  </r>
  <r>
    <n v="790"/>
    <x v="34"/>
    <n v="8"/>
    <x v="1"/>
    <n v="5"/>
    <n v="3"/>
    <x v="2"/>
    <x v="2"/>
    <s v="COMFORTABLE"/>
    <n v="0.2273"/>
    <n v="1"/>
    <n v="8.9599999999999991"/>
    <x v="1"/>
    <n v="0"/>
    <n v="10"/>
    <x v="98"/>
    <m/>
    <s v="Week 1"/>
    <x v="1"/>
  </r>
  <r>
    <n v="791"/>
    <x v="34"/>
    <n v="9"/>
    <x v="1"/>
    <n v="5"/>
    <n v="3"/>
    <x v="2"/>
    <x v="2"/>
    <s v="COMFORTABLE"/>
    <n v="0.2273"/>
    <n v="1"/>
    <n v="8.9599999999999991"/>
    <x v="1"/>
    <n v="3"/>
    <n v="17"/>
    <x v="25"/>
    <m/>
    <s v="Week 1"/>
    <x v="1"/>
  </r>
  <r>
    <n v="792"/>
    <x v="34"/>
    <n v="10"/>
    <x v="1"/>
    <n v="5"/>
    <n v="3"/>
    <x v="2"/>
    <x v="2"/>
    <s v="COMFORTABLE"/>
    <n v="0.21210000000000001"/>
    <n v="1"/>
    <n v="13.43"/>
    <x v="1"/>
    <n v="3"/>
    <n v="31"/>
    <x v="19"/>
    <m/>
    <s v="Week 1"/>
    <x v="1"/>
  </r>
  <r>
    <n v="793"/>
    <x v="34"/>
    <n v="11"/>
    <x v="1"/>
    <n v="5"/>
    <n v="3"/>
    <x v="2"/>
    <x v="1"/>
    <s v="COMFORTABLE"/>
    <n v="0.2273"/>
    <n v="1"/>
    <n v="13.43"/>
    <x v="1"/>
    <n v="1"/>
    <n v="46"/>
    <x v="105"/>
    <m/>
    <s v="Week 1"/>
    <x v="1"/>
  </r>
  <r>
    <n v="794"/>
    <x v="34"/>
    <n v="12"/>
    <x v="1"/>
    <n v="5"/>
    <n v="3"/>
    <x v="2"/>
    <x v="1"/>
    <s v="COMFORTABLE"/>
    <n v="0.2273"/>
    <n v="1"/>
    <n v="16.420000000000002"/>
    <x v="1"/>
    <n v="10"/>
    <n v="42"/>
    <x v="46"/>
    <m/>
    <s v="Week 1"/>
    <x v="1"/>
  </r>
  <r>
    <n v="795"/>
    <x v="34"/>
    <n v="13"/>
    <x v="1"/>
    <n v="5"/>
    <n v="3"/>
    <x v="2"/>
    <x v="1"/>
    <s v="COMFORTABLE"/>
    <n v="0.2273"/>
    <n v="1"/>
    <n v="16.420000000000002"/>
    <x v="1"/>
    <n v="10"/>
    <n v="62"/>
    <x v="44"/>
    <m/>
    <s v="Week 1"/>
    <x v="1"/>
  </r>
  <r>
    <n v="796"/>
    <x v="34"/>
    <n v="14"/>
    <x v="1"/>
    <n v="5"/>
    <n v="3"/>
    <x v="2"/>
    <x v="1"/>
    <s v="COMFORTABLE"/>
    <n v="0.2727"/>
    <n v="1"/>
    <n v="17.94158974358977"/>
    <x v="1"/>
    <n v="5"/>
    <n v="50"/>
    <x v="97"/>
    <m/>
    <s v="Week 1"/>
    <x v="1"/>
  </r>
  <r>
    <n v="797"/>
    <x v="34"/>
    <n v="15"/>
    <x v="1"/>
    <n v="5"/>
    <n v="3"/>
    <x v="2"/>
    <x v="1"/>
    <s v="COMFORTABLE"/>
    <n v="0.2727"/>
    <n v="1"/>
    <n v="17.94158974358977"/>
    <x v="1"/>
    <n v="11"/>
    <n v="49"/>
    <x v="122"/>
    <m/>
    <s v="Week 1"/>
    <x v="1"/>
  </r>
  <r>
    <n v="798"/>
    <x v="34"/>
    <n v="16"/>
    <x v="1"/>
    <n v="5"/>
    <n v="3"/>
    <x v="2"/>
    <x v="1"/>
    <s v="COMFORTABLE"/>
    <n v="0.2273"/>
    <n v="1"/>
    <n v="13.43"/>
    <x v="1"/>
    <n v="8"/>
    <n v="63"/>
    <x v="68"/>
    <m/>
    <s v="Week 1"/>
    <x v="1"/>
  </r>
  <r>
    <n v="799"/>
    <x v="34"/>
    <n v="17"/>
    <x v="1"/>
    <n v="5"/>
    <n v="2"/>
    <x v="1"/>
    <x v="0"/>
    <s v="COMFORTABLE"/>
    <n v="0.21210000000000001"/>
    <n v="1"/>
    <n v="28.360000000000003"/>
    <x v="0"/>
    <n v="14"/>
    <n v="64"/>
    <x v="53"/>
    <m/>
    <s v="Week 1"/>
    <x v="1"/>
  </r>
  <r>
    <n v="800"/>
    <x v="34"/>
    <n v="18"/>
    <x v="1"/>
    <n v="5"/>
    <n v="2"/>
    <x v="1"/>
    <x v="17"/>
    <s v="WARM"/>
    <n v="0.2424"/>
    <n v="0.93"/>
    <n v="44.78"/>
    <x v="2"/>
    <n v="2"/>
    <n v="81"/>
    <x v="56"/>
    <m/>
    <s v="Week 1"/>
    <x v="1"/>
  </r>
  <r>
    <n v="801"/>
    <x v="34"/>
    <n v="19"/>
    <x v="1"/>
    <n v="5"/>
    <n v="2"/>
    <x v="1"/>
    <x v="17"/>
    <s v="WARM"/>
    <n v="0.2424"/>
    <n v="0.93"/>
    <n v="44.78"/>
    <x v="2"/>
    <n v="6"/>
    <n v="78"/>
    <x v="11"/>
    <m/>
    <s v="Week 1"/>
    <x v="1"/>
  </r>
  <r>
    <n v="802"/>
    <x v="34"/>
    <n v="20"/>
    <x v="1"/>
    <n v="5"/>
    <n v="1"/>
    <x v="0"/>
    <x v="11"/>
    <s v="WARM"/>
    <n v="0.28789999999999999"/>
    <n v="0.87"/>
    <n v="25.369999999999997"/>
    <x v="0"/>
    <n v="5"/>
    <n v="64"/>
    <x v="83"/>
    <m/>
    <s v="Week 1"/>
    <x v="1"/>
  </r>
  <r>
    <n v="803"/>
    <x v="34"/>
    <n v="21"/>
    <x v="1"/>
    <n v="5"/>
    <n v="1"/>
    <x v="0"/>
    <x v="12"/>
    <s v="WARM"/>
    <n v="0.2576"/>
    <n v="1"/>
    <n v="19.400000000000002"/>
    <x v="1"/>
    <n v="3"/>
    <n v="53"/>
    <x v="10"/>
    <m/>
    <s v="Week 1"/>
    <x v="1"/>
  </r>
  <r>
    <n v="804"/>
    <x v="34"/>
    <n v="22"/>
    <x v="1"/>
    <n v="5"/>
    <n v="1"/>
    <x v="0"/>
    <x v="12"/>
    <s v="WARM"/>
    <n v="0.2727"/>
    <n v="0.93"/>
    <n v="13.43"/>
    <x v="1"/>
    <n v="2"/>
    <n v="43"/>
    <x v="79"/>
    <m/>
    <s v="Week 1"/>
    <x v="1"/>
  </r>
  <r>
    <n v="805"/>
    <x v="34"/>
    <n v="23"/>
    <x v="1"/>
    <n v="5"/>
    <n v="1"/>
    <x v="0"/>
    <x v="12"/>
    <s v="WARM"/>
    <n v="0.2576"/>
    <n v="0.93"/>
    <n v="22.39"/>
    <x v="0"/>
    <n v="7"/>
    <n v="52"/>
    <x v="29"/>
    <m/>
    <s v="Week 1"/>
    <x v="1"/>
  </r>
  <r>
    <n v="806"/>
    <x v="35"/>
    <n v="0"/>
    <x v="1"/>
    <n v="6"/>
    <n v="1"/>
    <x v="0"/>
    <x v="12"/>
    <s v="WARM"/>
    <n v="0.2576"/>
    <n v="0.7"/>
    <n v="19.400000000000002"/>
    <x v="1"/>
    <n v="2"/>
    <n v="37"/>
    <x v="21"/>
    <m/>
    <s v="Week 1"/>
    <x v="1"/>
  </r>
  <r>
    <n v="807"/>
    <x v="35"/>
    <n v="1"/>
    <x v="1"/>
    <n v="6"/>
    <n v="1"/>
    <x v="0"/>
    <x v="12"/>
    <s v="WARM"/>
    <n v="0.2273"/>
    <n v="0.65"/>
    <n v="41.79"/>
    <x v="2"/>
    <n v="4"/>
    <n v="40"/>
    <x v="40"/>
    <m/>
    <s v="Week 1"/>
    <x v="1"/>
  </r>
  <r>
    <n v="808"/>
    <x v="35"/>
    <n v="2"/>
    <x v="1"/>
    <n v="6"/>
    <n v="1"/>
    <x v="0"/>
    <x v="12"/>
    <s v="WARM"/>
    <n v="0.2273"/>
    <n v="0.6"/>
    <n v="32.840000000000003"/>
    <x v="2"/>
    <n v="0"/>
    <n v="20"/>
    <x v="25"/>
    <m/>
    <s v="Week 1"/>
    <x v="1"/>
  </r>
  <r>
    <n v="809"/>
    <x v="35"/>
    <n v="3"/>
    <x v="1"/>
    <n v="6"/>
    <n v="1"/>
    <x v="0"/>
    <x v="12"/>
    <s v="WARM"/>
    <n v="0.28789999999999999"/>
    <n v="0.6"/>
    <n v="8.9599999999999991"/>
    <x v="1"/>
    <n v="3"/>
    <n v="10"/>
    <x v="3"/>
    <m/>
    <s v="Week 1"/>
    <x v="1"/>
  </r>
  <r>
    <n v="810"/>
    <x v="35"/>
    <n v="4"/>
    <x v="1"/>
    <n v="6"/>
    <n v="1"/>
    <x v="0"/>
    <x v="12"/>
    <s v="WARM"/>
    <n v="0.2273"/>
    <n v="0.6"/>
    <n v="35.82"/>
    <x v="2"/>
    <n v="0"/>
    <n v="2"/>
    <x v="5"/>
    <m/>
    <s v="Week 1"/>
    <x v="1"/>
  </r>
  <r>
    <n v="811"/>
    <x v="35"/>
    <n v="5"/>
    <x v="1"/>
    <n v="6"/>
    <n v="1"/>
    <x v="0"/>
    <x v="12"/>
    <s v="WARM"/>
    <n v="0.2576"/>
    <n v="0.6"/>
    <n v="22.39"/>
    <x v="0"/>
    <n v="0"/>
    <n v="1"/>
    <x v="4"/>
    <m/>
    <s v="Week 1"/>
    <x v="1"/>
  </r>
  <r>
    <n v="812"/>
    <x v="35"/>
    <n v="6"/>
    <x v="1"/>
    <n v="6"/>
    <n v="1"/>
    <x v="0"/>
    <x v="12"/>
    <s v="WARM"/>
    <n v="0.2576"/>
    <n v="0.6"/>
    <n v="22.39"/>
    <x v="0"/>
    <n v="0"/>
    <n v="1"/>
    <x v="4"/>
    <m/>
    <s v="Week 1"/>
    <x v="1"/>
  </r>
  <r>
    <n v="813"/>
    <x v="35"/>
    <n v="7"/>
    <x v="1"/>
    <n v="6"/>
    <n v="1"/>
    <x v="0"/>
    <x v="0"/>
    <s v="COMFORTABLE"/>
    <n v="0.2424"/>
    <n v="0.65"/>
    <n v="16.420000000000002"/>
    <x v="1"/>
    <n v="0"/>
    <n v="8"/>
    <x v="7"/>
    <m/>
    <s v="Week 1"/>
    <x v="1"/>
  </r>
  <r>
    <n v="814"/>
    <x v="35"/>
    <n v="8"/>
    <x v="1"/>
    <n v="6"/>
    <n v="1"/>
    <x v="0"/>
    <x v="0"/>
    <s v="COMFORTABLE"/>
    <n v="0.2576"/>
    <n v="0.65"/>
    <n v="10.45"/>
    <x v="1"/>
    <n v="2"/>
    <n v="21"/>
    <x v="84"/>
    <m/>
    <s v="Week 1"/>
    <x v="1"/>
  </r>
  <r>
    <n v="815"/>
    <x v="35"/>
    <n v="9"/>
    <x v="1"/>
    <n v="6"/>
    <n v="1"/>
    <x v="0"/>
    <x v="17"/>
    <s v="WARM"/>
    <n v="0.28789999999999999"/>
    <n v="0.56000000000000005"/>
    <n v="10.45"/>
    <x v="1"/>
    <n v="7"/>
    <n v="38"/>
    <x v="79"/>
    <m/>
    <s v="Week 1"/>
    <x v="1"/>
  </r>
  <r>
    <n v="816"/>
    <x v="35"/>
    <n v="10"/>
    <x v="1"/>
    <n v="6"/>
    <n v="1"/>
    <x v="0"/>
    <x v="11"/>
    <s v="WARM"/>
    <n v="0.28789999999999999"/>
    <n v="0.52"/>
    <n v="25.369999999999997"/>
    <x v="0"/>
    <n v="15"/>
    <n v="74"/>
    <x v="70"/>
    <m/>
    <s v="Week 1"/>
    <x v="1"/>
  </r>
  <r>
    <n v="817"/>
    <x v="35"/>
    <n v="11"/>
    <x v="1"/>
    <n v="6"/>
    <n v="1"/>
    <x v="0"/>
    <x v="3"/>
    <s v="WARM"/>
    <n v="0.30299999999999999"/>
    <n v="0.49"/>
    <n v="25.369999999999997"/>
    <x v="0"/>
    <n v="28"/>
    <n v="89"/>
    <x v="126"/>
    <m/>
    <s v="Week 1"/>
    <x v="1"/>
  </r>
  <r>
    <n v="818"/>
    <x v="35"/>
    <n v="12"/>
    <x v="1"/>
    <n v="6"/>
    <n v="1"/>
    <x v="0"/>
    <x v="10"/>
    <s v="WARM"/>
    <n v="0.33329999999999999"/>
    <n v="0.46"/>
    <n v="17.94158974358977"/>
    <x v="1"/>
    <n v="48"/>
    <n v="126"/>
    <x v="177"/>
    <m/>
    <s v="Week 1"/>
    <x v="1"/>
  </r>
  <r>
    <n v="819"/>
    <x v="35"/>
    <n v="13"/>
    <x v="1"/>
    <n v="6"/>
    <n v="1"/>
    <x v="0"/>
    <x v="10"/>
    <s v="WARM"/>
    <n v="0.36359999999999998"/>
    <n v="0.46"/>
    <n v="17.94158974358977"/>
    <x v="1"/>
    <n v="47"/>
    <n v="135"/>
    <x v="58"/>
    <m/>
    <s v="Week 1"/>
    <x v="1"/>
  </r>
  <r>
    <n v="820"/>
    <x v="35"/>
    <n v="14"/>
    <x v="1"/>
    <n v="6"/>
    <n v="1"/>
    <x v="0"/>
    <x v="10"/>
    <s v="WARM"/>
    <n v="0.34849999999999998"/>
    <n v="0.46"/>
    <n v="8.9599999999999991"/>
    <x v="1"/>
    <n v="47"/>
    <n v="114"/>
    <x v="143"/>
    <m/>
    <s v="Week 1"/>
    <x v="1"/>
  </r>
  <r>
    <n v="821"/>
    <x v="35"/>
    <n v="15"/>
    <x v="1"/>
    <n v="6"/>
    <n v="1"/>
    <x v="0"/>
    <x v="10"/>
    <s v="WARM"/>
    <n v="0.34849999999999998"/>
    <n v="0.46"/>
    <n v="8.9599999999999991"/>
    <x v="1"/>
    <n v="52"/>
    <n v="130"/>
    <x v="58"/>
    <m/>
    <s v="Week 1"/>
    <x v="1"/>
  </r>
  <r>
    <n v="822"/>
    <x v="35"/>
    <n v="16"/>
    <x v="1"/>
    <n v="6"/>
    <n v="1"/>
    <x v="0"/>
    <x v="10"/>
    <s v="WARM"/>
    <n v="0.34849999999999998"/>
    <n v="0.49"/>
    <n v="10.45"/>
    <x v="1"/>
    <n v="42"/>
    <n v="115"/>
    <x v="45"/>
    <m/>
    <s v="Week 1"/>
    <x v="1"/>
  </r>
  <r>
    <n v="823"/>
    <x v="35"/>
    <n v="17"/>
    <x v="1"/>
    <n v="6"/>
    <n v="1"/>
    <x v="0"/>
    <x v="10"/>
    <s v="WARM"/>
    <n v="0.36359999999999998"/>
    <n v="0.46"/>
    <n v="17.94158974358977"/>
    <x v="1"/>
    <n v="24"/>
    <n v="97"/>
    <x v="178"/>
    <m/>
    <s v="Week 1"/>
    <x v="1"/>
  </r>
  <r>
    <n v="824"/>
    <x v="35"/>
    <n v="18"/>
    <x v="1"/>
    <n v="6"/>
    <n v="1"/>
    <x v="0"/>
    <x v="11"/>
    <s v="WARM"/>
    <n v="0.30299999999999999"/>
    <n v="0.56000000000000005"/>
    <n v="16.420000000000002"/>
    <x v="1"/>
    <n v="13"/>
    <n v="65"/>
    <x v="53"/>
    <m/>
    <s v="Week 1"/>
    <x v="1"/>
  </r>
  <r>
    <n v="825"/>
    <x v="35"/>
    <n v="19"/>
    <x v="1"/>
    <n v="6"/>
    <n v="1"/>
    <x v="0"/>
    <x v="17"/>
    <s v="WARM"/>
    <n v="0.28789999999999999"/>
    <n v="0.61"/>
    <n v="13.43"/>
    <x v="1"/>
    <n v="1"/>
    <n v="20"/>
    <x v="137"/>
    <m/>
    <s v="Week 1"/>
    <x v="1"/>
  </r>
  <r>
    <n v="826"/>
    <x v="35"/>
    <n v="20"/>
    <x v="1"/>
    <n v="6"/>
    <n v="1"/>
    <x v="0"/>
    <x v="17"/>
    <s v="WARM"/>
    <n v="0.28789999999999999"/>
    <n v="0.61"/>
    <n v="10.45"/>
    <x v="1"/>
    <n v="5"/>
    <n v="21"/>
    <x v="132"/>
    <m/>
    <s v="Week 1"/>
    <x v="1"/>
  </r>
  <r>
    <n v="827"/>
    <x v="35"/>
    <n v="21"/>
    <x v="1"/>
    <n v="6"/>
    <n v="1"/>
    <x v="0"/>
    <x v="12"/>
    <s v="WARM"/>
    <n v="0.30299999999999999"/>
    <n v="0.6"/>
    <n v="17.94158974358977"/>
    <x v="1"/>
    <n v="5"/>
    <n v="22"/>
    <x v="110"/>
    <m/>
    <s v="Week 1"/>
    <x v="1"/>
  </r>
  <r>
    <n v="828"/>
    <x v="35"/>
    <n v="22"/>
    <x v="1"/>
    <n v="6"/>
    <n v="1"/>
    <x v="0"/>
    <x v="12"/>
    <s v="WARM"/>
    <n v="0.30299999999999999"/>
    <n v="0.6"/>
    <n v="17.94158974358977"/>
    <x v="1"/>
    <n v="5"/>
    <n v="57"/>
    <x v="69"/>
    <m/>
    <s v="Week 1"/>
    <x v="1"/>
  </r>
  <r>
    <n v="829"/>
    <x v="35"/>
    <n v="23"/>
    <x v="1"/>
    <n v="6"/>
    <n v="1"/>
    <x v="0"/>
    <x v="0"/>
    <s v="COMFORTABLE"/>
    <n v="0.28789999999999999"/>
    <n v="0.65"/>
    <n v="17.94158974358977"/>
    <x v="1"/>
    <n v="4"/>
    <n v="26"/>
    <x v="33"/>
    <m/>
    <s v="Week 1"/>
    <x v="1"/>
  </r>
  <r>
    <n v="830"/>
    <x v="36"/>
    <n v="0"/>
    <x v="1"/>
    <n v="7"/>
    <n v="1"/>
    <x v="0"/>
    <x v="0"/>
    <s v="COMFORTABLE"/>
    <n v="0.28789999999999999"/>
    <n v="0.65"/>
    <n v="17.94158974358977"/>
    <x v="1"/>
    <n v="1"/>
    <n v="14"/>
    <x v="93"/>
    <m/>
    <s v="Week 1"/>
    <x v="1"/>
  </r>
  <r>
    <n v="831"/>
    <x v="36"/>
    <n v="1"/>
    <x v="1"/>
    <n v="7"/>
    <n v="1"/>
    <x v="0"/>
    <x v="1"/>
    <s v="COMFORTABLE"/>
    <n v="0.2727"/>
    <n v="0.75"/>
    <n v="17.94158974358977"/>
    <x v="1"/>
    <n v="1"/>
    <n v="4"/>
    <x v="36"/>
    <m/>
    <s v="Week 1"/>
    <x v="1"/>
  </r>
  <r>
    <n v="832"/>
    <x v="36"/>
    <n v="2"/>
    <x v="1"/>
    <n v="7"/>
    <n v="1"/>
    <x v="0"/>
    <x v="2"/>
    <s v="COMFORTABLE"/>
    <n v="0.2576"/>
    <n v="0.8"/>
    <n v="17.94158974358977"/>
    <x v="1"/>
    <n v="0"/>
    <n v="3"/>
    <x v="6"/>
    <m/>
    <s v="Week 1"/>
    <x v="1"/>
  </r>
  <r>
    <n v="833"/>
    <x v="36"/>
    <n v="3"/>
    <x v="1"/>
    <n v="7"/>
    <n v="1"/>
    <x v="0"/>
    <x v="2"/>
    <s v="COMFORTABLE"/>
    <n v="0.2576"/>
    <n v="0.86"/>
    <n v="17.94158974358977"/>
    <x v="1"/>
    <n v="0"/>
    <n v="1"/>
    <x v="4"/>
    <m/>
    <s v="Week 1"/>
    <x v="1"/>
  </r>
  <r>
    <n v="834"/>
    <x v="36"/>
    <n v="4"/>
    <x v="1"/>
    <n v="7"/>
    <n v="1"/>
    <x v="0"/>
    <x v="2"/>
    <s v="COMFORTABLE"/>
    <n v="0.2576"/>
    <n v="0.86"/>
    <n v="17.94158974358977"/>
    <x v="1"/>
    <n v="1"/>
    <n v="1"/>
    <x v="5"/>
    <m/>
    <s v="Week 1"/>
    <x v="1"/>
  </r>
  <r>
    <n v="835"/>
    <x v="36"/>
    <n v="5"/>
    <x v="1"/>
    <n v="7"/>
    <n v="1"/>
    <x v="0"/>
    <x v="2"/>
    <s v="COMFORTABLE"/>
    <n v="0.2576"/>
    <n v="0.86"/>
    <n v="17.94158974358977"/>
    <x v="1"/>
    <n v="1"/>
    <n v="9"/>
    <x v="98"/>
    <m/>
    <s v="Week 1"/>
    <x v="1"/>
  </r>
  <r>
    <n v="836"/>
    <x v="36"/>
    <n v="6"/>
    <x v="1"/>
    <n v="7"/>
    <n v="1"/>
    <x v="0"/>
    <x v="15"/>
    <s v="COMFORTABLE"/>
    <n v="0.2424"/>
    <n v="0.93"/>
    <n v="17.94158974358977"/>
    <x v="1"/>
    <n v="1"/>
    <n v="29"/>
    <x v="33"/>
    <m/>
    <s v="Week 1"/>
    <x v="1"/>
  </r>
  <r>
    <n v="837"/>
    <x v="36"/>
    <n v="7"/>
    <x v="1"/>
    <n v="7"/>
    <n v="1"/>
    <x v="0"/>
    <x v="15"/>
    <s v="COMFORTABLE"/>
    <n v="0.2424"/>
    <n v="0.86"/>
    <n v="17.94158974358977"/>
    <x v="1"/>
    <n v="6"/>
    <n v="89"/>
    <x v="76"/>
    <m/>
    <s v="Week 1"/>
    <x v="1"/>
  </r>
  <r>
    <n v="838"/>
    <x v="36"/>
    <n v="8"/>
    <x v="1"/>
    <n v="7"/>
    <n v="2"/>
    <x v="1"/>
    <x v="13"/>
    <s v="COMFORTABLE"/>
    <n v="0.2273"/>
    <n v="1"/>
    <n v="17.94158974358977"/>
    <x v="1"/>
    <n v="7"/>
    <n v="223"/>
    <x v="179"/>
    <m/>
    <s v="Week 1"/>
    <x v="1"/>
  </r>
  <r>
    <n v="839"/>
    <x v="36"/>
    <n v="9"/>
    <x v="1"/>
    <n v="7"/>
    <n v="1"/>
    <x v="0"/>
    <x v="1"/>
    <s v="COMFORTABLE"/>
    <n v="0.2727"/>
    <n v="0.8"/>
    <n v="17.94158974358977"/>
    <x v="1"/>
    <n v="3"/>
    <n v="115"/>
    <x v="130"/>
    <m/>
    <s v="Week 1"/>
    <x v="1"/>
  </r>
  <r>
    <n v="840"/>
    <x v="36"/>
    <n v="10"/>
    <x v="1"/>
    <n v="7"/>
    <n v="1"/>
    <x v="0"/>
    <x v="0"/>
    <s v="COMFORTABLE"/>
    <n v="0.2576"/>
    <n v="0.75"/>
    <n v="10.45"/>
    <x v="1"/>
    <n v="6"/>
    <n v="49"/>
    <x v="97"/>
    <m/>
    <s v="Week 1"/>
    <x v="1"/>
  </r>
  <r>
    <n v="841"/>
    <x v="36"/>
    <n v="11"/>
    <x v="1"/>
    <n v="7"/>
    <n v="1"/>
    <x v="0"/>
    <x v="11"/>
    <s v="WARM"/>
    <n v="0.31819999999999998"/>
    <n v="0.65"/>
    <n v="8.9599999999999991"/>
    <x v="1"/>
    <n v="11"/>
    <n v="36"/>
    <x v="105"/>
    <m/>
    <s v="Week 1"/>
    <x v="1"/>
  </r>
  <r>
    <n v="842"/>
    <x v="36"/>
    <n v="12"/>
    <x v="1"/>
    <n v="7"/>
    <n v="2"/>
    <x v="1"/>
    <x v="3"/>
    <s v="WARM"/>
    <n v="0.34849999999999998"/>
    <n v="0.62"/>
    <n v="17.94158974358977"/>
    <x v="1"/>
    <n v="7"/>
    <n v="59"/>
    <x v="180"/>
    <m/>
    <s v="Week 1"/>
    <x v="1"/>
  </r>
  <r>
    <n v="843"/>
    <x v="36"/>
    <n v="13"/>
    <x v="1"/>
    <n v="7"/>
    <n v="2"/>
    <x v="1"/>
    <x v="5"/>
    <s v="WARM"/>
    <n v="0.36359999999999998"/>
    <n v="0.56999999999999995"/>
    <n v="8.9599999999999991"/>
    <x v="1"/>
    <n v="10"/>
    <n v="54"/>
    <x v="37"/>
    <m/>
    <s v="Week 1"/>
    <x v="1"/>
  </r>
  <r>
    <n v="844"/>
    <x v="36"/>
    <n v="14"/>
    <x v="1"/>
    <n v="7"/>
    <n v="2"/>
    <x v="1"/>
    <x v="5"/>
    <s v="WARM"/>
    <n v="0.36359999999999998"/>
    <n v="0.56999999999999995"/>
    <n v="8.9599999999999991"/>
    <x v="1"/>
    <n v="8"/>
    <n v="52"/>
    <x v="122"/>
    <m/>
    <s v="Week 1"/>
    <x v="1"/>
  </r>
  <r>
    <n v="845"/>
    <x v="36"/>
    <n v="15"/>
    <x v="1"/>
    <n v="7"/>
    <n v="2"/>
    <x v="1"/>
    <x v="4"/>
    <s v="WARM"/>
    <n v="0.39389999999999997"/>
    <n v="0.54"/>
    <n v="8.9599999999999991"/>
    <x v="1"/>
    <n v="4"/>
    <n v="46"/>
    <x v="89"/>
    <m/>
    <s v="Week 1"/>
    <x v="1"/>
  </r>
  <r>
    <n v="846"/>
    <x v="36"/>
    <n v="16"/>
    <x v="1"/>
    <n v="7"/>
    <n v="2"/>
    <x v="1"/>
    <x v="5"/>
    <s v="WARM"/>
    <n v="0.34849999999999998"/>
    <n v="0.56999999999999995"/>
    <n v="13.43"/>
    <x v="1"/>
    <n v="16"/>
    <n v="98"/>
    <x v="181"/>
    <m/>
    <s v="Week 1"/>
    <x v="1"/>
  </r>
  <r>
    <n v="847"/>
    <x v="36"/>
    <n v="17"/>
    <x v="1"/>
    <n v="7"/>
    <n v="2"/>
    <x v="1"/>
    <x v="3"/>
    <s v="WARM"/>
    <n v="0.31819999999999998"/>
    <n v="0.7"/>
    <n v="16.420000000000002"/>
    <x v="1"/>
    <n v="9"/>
    <n v="207"/>
    <x v="182"/>
    <m/>
    <s v="Week 1"/>
    <x v="1"/>
  </r>
  <r>
    <n v="848"/>
    <x v="36"/>
    <n v="18"/>
    <x v="1"/>
    <n v="7"/>
    <n v="2"/>
    <x v="1"/>
    <x v="10"/>
    <s v="WARM"/>
    <n v="0.33329999999999999"/>
    <n v="0.66"/>
    <n v="13.43"/>
    <x v="1"/>
    <n v="5"/>
    <n v="170"/>
    <x v="172"/>
    <m/>
    <s v="Week 1"/>
    <x v="1"/>
  </r>
  <r>
    <n v="849"/>
    <x v="36"/>
    <n v="19"/>
    <x v="1"/>
    <n v="7"/>
    <n v="2"/>
    <x v="1"/>
    <x v="3"/>
    <s v="WARM"/>
    <n v="0.34849999999999998"/>
    <n v="0.7"/>
    <n v="17.94158974358977"/>
    <x v="1"/>
    <n v="5"/>
    <n v="123"/>
    <x v="116"/>
    <m/>
    <s v="Week 1"/>
    <x v="1"/>
  </r>
  <r>
    <n v="850"/>
    <x v="36"/>
    <n v="20"/>
    <x v="1"/>
    <n v="7"/>
    <n v="2"/>
    <x v="1"/>
    <x v="3"/>
    <s v="WARM"/>
    <n v="0.33329999999999999"/>
    <n v="0.7"/>
    <n v="10.45"/>
    <x v="1"/>
    <n v="6"/>
    <n v="82"/>
    <x v="39"/>
    <m/>
    <s v="Week 1"/>
    <x v="1"/>
  </r>
  <r>
    <n v="851"/>
    <x v="36"/>
    <n v="21"/>
    <x v="1"/>
    <n v="7"/>
    <n v="1"/>
    <x v="0"/>
    <x v="3"/>
    <s v="WARM"/>
    <n v="0.34849999999999998"/>
    <n v="0.7"/>
    <n v="17.94158974358977"/>
    <x v="1"/>
    <n v="3"/>
    <n v="75"/>
    <x v="53"/>
    <m/>
    <s v="Week 1"/>
    <x v="1"/>
  </r>
  <r>
    <n v="852"/>
    <x v="36"/>
    <n v="22"/>
    <x v="1"/>
    <n v="7"/>
    <n v="1"/>
    <x v="0"/>
    <x v="17"/>
    <s v="WARM"/>
    <n v="0.30299999999999999"/>
    <n v="0.81"/>
    <n v="8.9599999999999991"/>
    <x v="1"/>
    <n v="3"/>
    <n v="34"/>
    <x v="18"/>
    <m/>
    <s v="Week 1"/>
    <x v="1"/>
  </r>
  <r>
    <n v="853"/>
    <x v="36"/>
    <n v="23"/>
    <x v="1"/>
    <n v="7"/>
    <n v="2"/>
    <x v="1"/>
    <x v="11"/>
    <s v="WARM"/>
    <n v="0.33329999999999999"/>
    <n v="0.81"/>
    <n v="17.94158974358977"/>
    <x v="1"/>
    <n v="6"/>
    <n v="19"/>
    <x v="94"/>
    <m/>
    <s v="Week 1"/>
    <x v="1"/>
  </r>
  <r>
    <n v="854"/>
    <x v="37"/>
    <n v="0"/>
    <x v="1"/>
    <n v="1"/>
    <n v="2"/>
    <x v="1"/>
    <x v="17"/>
    <s v="WARM"/>
    <n v="0.31819999999999998"/>
    <n v="0.87"/>
    <n v="17.94158974358977"/>
    <x v="1"/>
    <n v="4"/>
    <n v="6"/>
    <x v="98"/>
    <m/>
    <s v="Week 1"/>
    <x v="1"/>
  </r>
  <r>
    <n v="855"/>
    <x v="37"/>
    <n v="1"/>
    <x v="1"/>
    <n v="1"/>
    <n v="2"/>
    <x v="1"/>
    <x v="17"/>
    <s v="WARM"/>
    <n v="0.31819999999999998"/>
    <n v="0.87"/>
    <n v="17.94158974358977"/>
    <x v="1"/>
    <n v="0"/>
    <n v="4"/>
    <x v="48"/>
    <m/>
    <s v="Week 1"/>
    <x v="1"/>
  </r>
  <r>
    <n v="856"/>
    <x v="37"/>
    <n v="2"/>
    <x v="1"/>
    <n v="1"/>
    <n v="2"/>
    <x v="1"/>
    <x v="12"/>
    <s v="WARM"/>
    <n v="0.2727"/>
    <n v="0.93"/>
    <n v="10.45"/>
    <x v="1"/>
    <n v="1"/>
    <n v="1"/>
    <x v="5"/>
    <m/>
    <s v="Week 1"/>
    <x v="1"/>
  </r>
  <r>
    <n v="857"/>
    <x v="37"/>
    <n v="3"/>
    <x v="1"/>
    <n v="1"/>
    <n v="3"/>
    <x v="2"/>
    <x v="17"/>
    <s v="WARM"/>
    <n v="0.2727"/>
    <n v="0.93"/>
    <n v="16.420000000000002"/>
    <x v="1"/>
    <n v="0"/>
    <n v="1"/>
    <x v="4"/>
    <m/>
    <s v="Week 1"/>
    <x v="1"/>
  </r>
  <r>
    <n v="858"/>
    <x v="37"/>
    <n v="4"/>
    <x v="1"/>
    <n v="1"/>
    <n v="1"/>
    <x v="0"/>
    <x v="12"/>
    <s v="WARM"/>
    <n v="0.2576"/>
    <n v="0.93"/>
    <n v="16.420000000000002"/>
    <x v="1"/>
    <n v="0"/>
    <n v="3"/>
    <x v="6"/>
    <m/>
    <s v="Week 1"/>
    <x v="1"/>
  </r>
  <r>
    <n v="859"/>
    <x v="37"/>
    <n v="5"/>
    <x v="1"/>
    <n v="1"/>
    <n v="1"/>
    <x v="0"/>
    <x v="12"/>
    <s v="WARM"/>
    <n v="0.2273"/>
    <n v="0.81"/>
    <n v="32.840000000000003"/>
    <x v="2"/>
    <n v="0"/>
    <n v="2"/>
    <x v="5"/>
    <m/>
    <s v="Week 1"/>
    <x v="1"/>
  </r>
  <r>
    <n v="860"/>
    <x v="37"/>
    <n v="6"/>
    <x v="1"/>
    <n v="1"/>
    <n v="1"/>
    <x v="0"/>
    <x v="12"/>
    <s v="WARM"/>
    <n v="0.2273"/>
    <n v="0.7"/>
    <n v="32.840000000000003"/>
    <x v="2"/>
    <n v="0"/>
    <n v="39"/>
    <x v="21"/>
    <m/>
    <s v="Week 1"/>
    <x v="1"/>
  </r>
  <r>
    <n v="861"/>
    <x v="37"/>
    <n v="7"/>
    <x v="1"/>
    <n v="1"/>
    <n v="1"/>
    <x v="0"/>
    <x v="0"/>
    <s v="COMFORTABLE"/>
    <n v="0.19700000000000001"/>
    <n v="0.65"/>
    <n v="41.79"/>
    <x v="2"/>
    <n v="3"/>
    <n v="97"/>
    <x v="50"/>
    <m/>
    <s v="Week 1"/>
    <x v="1"/>
  </r>
  <r>
    <n v="862"/>
    <x v="37"/>
    <n v="8"/>
    <x v="1"/>
    <n v="1"/>
    <n v="1"/>
    <x v="0"/>
    <x v="0"/>
    <s v="COMFORTABLE"/>
    <n v="0.19700000000000001"/>
    <n v="0.56000000000000005"/>
    <n v="49.25"/>
    <x v="2"/>
    <n v="7"/>
    <n v="236"/>
    <x v="183"/>
    <m/>
    <s v="Week 1"/>
    <x v="1"/>
  </r>
  <r>
    <n v="863"/>
    <x v="37"/>
    <n v="9"/>
    <x v="1"/>
    <n v="1"/>
    <n v="1"/>
    <x v="0"/>
    <x v="0"/>
    <s v="COMFORTABLE"/>
    <n v="0.19700000000000001"/>
    <n v="0.52"/>
    <n v="49.25"/>
    <x v="2"/>
    <n v="7"/>
    <n v="128"/>
    <x v="169"/>
    <m/>
    <s v="Week 1"/>
    <x v="1"/>
  </r>
  <r>
    <n v="864"/>
    <x v="37"/>
    <n v="10"/>
    <x v="1"/>
    <n v="1"/>
    <n v="1"/>
    <x v="0"/>
    <x v="1"/>
    <s v="COMFORTABLE"/>
    <n v="0.18179999999999999"/>
    <n v="0.47"/>
    <n v="55.22"/>
    <x v="2"/>
    <n v="4"/>
    <n v="44"/>
    <x v="61"/>
    <m/>
    <s v="Week 1"/>
    <x v="1"/>
  </r>
  <r>
    <n v="865"/>
    <x v="37"/>
    <n v="11"/>
    <x v="1"/>
    <n v="1"/>
    <n v="1"/>
    <x v="0"/>
    <x v="1"/>
    <s v="COMFORTABLE"/>
    <n v="0.18179999999999999"/>
    <n v="0.47"/>
    <n v="46.27"/>
    <x v="2"/>
    <n v="1"/>
    <n v="49"/>
    <x v="89"/>
    <m/>
    <s v="Week 1"/>
    <x v="1"/>
  </r>
  <r>
    <n v="866"/>
    <x v="37"/>
    <n v="12"/>
    <x v="1"/>
    <n v="1"/>
    <n v="1"/>
    <x v="0"/>
    <x v="0"/>
    <s v="COMFORTABLE"/>
    <n v="0.19700000000000001"/>
    <n v="0.38"/>
    <n v="49.25"/>
    <x v="2"/>
    <n v="2"/>
    <n v="63"/>
    <x v="32"/>
    <m/>
    <s v="Week 1"/>
    <x v="1"/>
  </r>
  <r>
    <n v="867"/>
    <x v="37"/>
    <n v="13"/>
    <x v="1"/>
    <n v="1"/>
    <n v="2"/>
    <x v="1"/>
    <x v="0"/>
    <s v="COMFORTABLE"/>
    <n v="0.19700000000000001"/>
    <n v="0.32"/>
    <n v="44.78"/>
    <x v="2"/>
    <n v="2"/>
    <n v="48"/>
    <x v="89"/>
    <m/>
    <s v="Week 1"/>
    <x v="1"/>
  </r>
  <r>
    <n v="868"/>
    <x v="37"/>
    <n v="14"/>
    <x v="1"/>
    <n v="1"/>
    <n v="1"/>
    <x v="0"/>
    <x v="1"/>
    <s v="COMFORTABLE"/>
    <n v="0.19700000000000001"/>
    <n v="0.37"/>
    <n v="41.79"/>
    <x v="2"/>
    <n v="3"/>
    <n v="61"/>
    <x v="37"/>
    <m/>
    <s v="Week 1"/>
    <x v="1"/>
  </r>
  <r>
    <n v="869"/>
    <x v="37"/>
    <n v="15"/>
    <x v="1"/>
    <n v="1"/>
    <n v="1"/>
    <x v="0"/>
    <x v="1"/>
    <s v="COMFORTABLE"/>
    <n v="0.19700000000000001"/>
    <n v="0.35"/>
    <n v="38.81"/>
    <x v="2"/>
    <n v="6"/>
    <n v="45"/>
    <x v="41"/>
    <m/>
    <s v="Week 1"/>
    <x v="1"/>
  </r>
  <r>
    <n v="870"/>
    <x v="37"/>
    <n v="16"/>
    <x v="1"/>
    <n v="1"/>
    <n v="1"/>
    <x v="0"/>
    <x v="1"/>
    <s v="COMFORTABLE"/>
    <n v="0.18179999999999999"/>
    <n v="0.35"/>
    <n v="52.239999999999995"/>
    <x v="2"/>
    <n v="4"/>
    <n v="79"/>
    <x v="56"/>
    <m/>
    <s v="Week 1"/>
    <x v="1"/>
  </r>
  <r>
    <n v="871"/>
    <x v="37"/>
    <n v="17"/>
    <x v="1"/>
    <n v="1"/>
    <n v="1"/>
    <x v="0"/>
    <x v="1"/>
    <s v="COMFORTABLE"/>
    <n v="0.18179999999999999"/>
    <n v="0.32"/>
    <n v="58.209999999999994"/>
    <x v="2"/>
    <n v="4"/>
    <n v="172"/>
    <x v="170"/>
    <m/>
    <s v="Week 1"/>
    <x v="1"/>
  </r>
  <r>
    <n v="872"/>
    <x v="37"/>
    <n v="18"/>
    <x v="1"/>
    <n v="1"/>
    <n v="1"/>
    <x v="0"/>
    <x v="2"/>
    <s v="COMFORTABLE"/>
    <n v="0.18179999999999999"/>
    <n v="0.32"/>
    <n v="38.81"/>
    <x v="2"/>
    <n v="1"/>
    <n v="151"/>
    <x v="148"/>
    <m/>
    <s v="Week 1"/>
    <x v="1"/>
  </r>
  <r>
    <n v="873"/>
    <x v="37"/>
    <n v="19"/>
    <x v="1"/>
    <n v="1"/>
    <n v="1"/>
    <x v="0"/>
    <x v="13"/>
    <s v="COMFORTABLE"/>
    <n v="0.1212"/>
    <n v="0.4"/>
    <n v="46.27"/>
    <x v="2"/>
    <n v="1"/>
    <n v="100"/>
    <x v="129"/>
    <m/>
    <s v="Week 1"/>
    <x v="1"/>
  </r>
  <r>
    <n v="874"/>
    <x v="37"/>
    <n v="20"/>
    <x v="1"/>
    <n v="1"/>
    <n v="1"/>
    <x v="0"/>
    <x v="13"/>
    <s v="COMFORTABLE"/>
    <n v="0.13639999999999999"/>
    <n v="0.4"/>
    <n v="32.840000000000003"/>
    <x v="2"/>
    <n v="3"/>
    <n v="53"/>
    <x v="10"/>
    <m/>
    <s v="Week 1"/>
    <x v="1"/>
  </r>
  <r>
    <n v="875"/>
    <x v="37"/>
    <n v="21"/>
    <x v="1"/>
    <n v="1"/>
    <n v="1"/>
    <x v="0"/>
    <x v="14"/>
    <s v="COMFORTABLE"/>
    <n v="0.1061"/>
    <n v="0.33"/>
    <n v="46.27"/>
    <x v="2"/>
    <n v="8"/>
    <n v="46"/>
    <x v="60"/>
    <m/>
    <s v="Week 1"/>
    <x v="1"/>
  </r>
  <r>
    <n v="876"/>
    <x v="37"/>
    <n v="22"/>
    <x v="1"/>
    <n v="1"/>
    <n v="1"/>
    <x v="0"/>
    <x v="16"/>
    <s v="COMFORTABLE"/>
    <n v="0.1061"/>
    <n v="0.33"/>
    <n v="35.82"/>
    <x v="2"/>
    <n v="0"/>
    <n v="29"/>
    <x v="115"/>
    <m/>
    <s v="Week 1"/>
    <x v="1"/>
  </r>
  <r>
    <n v="877"/>
    <x v="37"/>
    <n v="23"/>
    <x v="1"/>
    <n v="1"/>
    <n v="1"/>
    <x v="0"/>
    <x v="16"/>
    <s v="COMFORTABLE"/>
    <n v="0.1061"/>
    <n v="0.33"/>
    <n v="32.840000000000003"/>
    <x v="2"/>
    <n v="3"/>
    <n v="9"/>
    <x v="47"/>
    <m/>
    <s v="Week 1"/>
    <x v="1"/>
  </r>
  <r>
    <n v="878"/>
    <x v="38"/>
    <n v="0"/>
    <x v="1"/>
    <n v="2"/>
    <n v="1"/>
    <x v="0"/>
    <x v="18"/>
    <s v="COLD"/>
    <n v="7.5800000000000006E-2"/>
    <n v="0.36"/>
    <n v="35.82"/>
    <x v="2"/>
    <n v="0"/>
    <n v="17"/>
    <x v="22"/>
    <m/>
    <s v="Week 2"/>
    <x v="1"/>
  </r>
  <r>
    <n v="879"/>
    <x v="38"/>
    <n v="1"/>
    <x v="1"/>
    <n v="2"/>
    <n v="1"/>
    <x v="0"/>
    <x v="18"/>
    <s v="COLD"/>
    <n v="0.1061"/>
    <n v="0.36"/>
    <n v="22.39"/>
    <x v="0"/>
    <n v="0"/>
    <n v="7"/>
    <x v="85"/>
    <m/>
    <s v="Week 2"/>
    <x v="1"/>
  </r>
  <r>
    <n v="880"/>
    <x v="38"/>
    <n v="2"/>
    <x v="1"/>
    <n v="2"/>
    <n v="1"/>
    <x v="0"/>
    <x v="19"/>
    <s v="COLD"/>
    <n v="7.5800000000000006E-2"/>
    <n v="0.38"/>
    <n v="28.360000000000003"/>
    <x v="0"/>
    <n v="1"/>
    <n v="2"/>
    <x v="6"/>
    <m/>
    <s v="Week 2"/>
    <x v="1"/>
  </r>
  <r>
    <n v="881"/>
    <x v="38"/>
    <n v="3"/>
    <x v="1"/>
    <n v="2"/>
    <n v="1"/>
    <x v="0"/>
    <x v="20"/>
    <s v="COLD"/>
    <n v="7.5800000000000006E-2"/>
    <n v="0.45"/>
    <n v="13.43"/>
    <x v="1"/>
    <n v="0"/>
    <n v="2"/>
    <x v="5"/>
    <m/>
    <s v="Week 2"/>
    <x v="1"/>
  </r>
  <r>
    <n v="882"/>
    <x v="38"/>
    <n v="5"/>
    <x v="1"/>
    <n v="2"/>
    <n v="1"/>
    <x v="0"/>
    <x v="20"/>
    <s v="COLD"/>
    <n v="0.1061"/>
    <n v="0.45"/>
    <n v="10.45"/>
    <x v="1"/>
    <n v="0"/>
    <n v="7"/>
    <x v="85"/>
    <m/>
    <s v="Week 2"/>
    <x v="1"/>
  </r>
  <r>
    <n v="883"/>
    <x v="38"/>
    <n v="6"/>
    <x v="1"/>
    <n v="2"/>
    <n v="1"/>
    <x v="0"/>
    <x v="20"/>
    <s v="COLD"/>
    <n v="0.1515"/>
    <n v="0.45"/>
    <n v="17.94158974358977"/>
    <x v="1"/>
    <n v="0"/>
    <n v="43"/>
    <x v="74"/>
    <m/>
    <s v="Week 2"/>
    <x v="1"/>
  </r>
  <r>
    <n v="884"/>
    <x v="38"/>
    <n v="7"/>
    <x v="1"/>
    <n v="2"/>
    <n v="1"/>
    <x v="0"/>
    <x v="20"/>
    <s v="COLD"/>
    <n v="0.1061"/>
    <n v="0.49"/>
    <n v="10.45"/>
    <x v="1"/>
    <n v="4"/>
    <n v="95"/>
    <x v="111"/>
    <m/>
    <s v="Week 2"/>
    <x v="1"/>
  </r>
  <r>
    <n v="885"/>
    <x v="38"/>
    <n v="8"/>
    <x v="1"/>
    <n v="2"/>
    <n v="1"/>
    <x v="0"/>
    <x v="18"/>
    <s v="COLD"/>
    <n v="0.13639999999999999"/>
    <n v="0.42"/>
    <n v="17.94158974358977"/>
    <x v="1"/>
    <n v="1"/>
    <n v="198"/>
    <x v="184"/>
    <m/>
    <s v="Week 2"/>
    <x v="1"/>
  </r>
  <r>
    <n v="886"/>
    <x v="38"/>
    <n v="9"/>
    <x v="1"/>
    <n v="2"/>
    <n v="1"/>
    <x v="0"/>
    <x v="16"/>
    <s v="COMFORTABLE"/>
    <n v="0.13639999999999999"/>
    <n v="0.39"/>
    <n v="16.420000000000002"/>
    <x v="1"/>
    <n v="4"/>
    <n v="119"/>
    <x v="92"/>
    <m/>
    <s v="Week 2"/>
    <x v="1"/>
  </r>
  <r>
    <n v="887"/>
    <x v="38"/>
    <n v="10"/>
    <x v="1"/>
    <n v="2"/>
    <n v="1"/>
    <x v="0"/>
    <x v="14"/>
    <s v="COMFORTABLE"/>
    <n v="0.18179999999999999"/>
    <n v="0.36"/>
    <n v="17.94158974358977"/>
    <x v="1"/>
    <n v="8"/>
    <n v="51"/>
    <x v="29"/>
    <m/>
    <s v="Week 2"/>
    <x v="1"/>
  </r>
  <r>
    <n v="888"/>
    <x v="38"/>
    <n v="11"/>
    <x v="1"/>
    <n v="2"/>
    <n v="2"/>
    <x v="1"/>
    <x v="14"/>
    <s v="COMFORTABLE"/>
    <n v="0.1515"/>
    <n v="0.43"/>
    <n v="16.420000000000002"/>
    <x v="1"/>
    <n v="1"/>
    <n v="40"/>
    <x v="102"/>
    <m/>
    <s v="Week 2"/>
    <x v="1"/>
  </r>
  <r>
    <n v="889"/>
    <x v="38"/>
    <n v="12"/>
    <x v="1"/>
    <n v="2"/>
    <n v="2"/>
    <x v="1"/>
    <x v="15"/>
    <s v="COMFORTABLE"/>
    <n v="0.18179999999999999"/>
    <n v="0.4"/>
    <n v="22.39"/>
    <x v="0"/>
    <n v="4"/>
    <n v="57"/>
    <x v="42"/>
    <m/>
    <s v="Week 2"/>
    <x v="1"/>
  </r>
  <r>
    <n v="890"/>
    <x v="38"/>
    <n v="13"/>
    <x v="1"/>
    <n v="2"/>
    <n v="1"/>
    <x v="0"/>
    <x v="15"/>
    <s v="COMFORTABLE"/>
    <n v="0.16669999999999999"/>
    <n v="0.4"/>
    <n v="25.369999999999997"/>
    <x v="0"/>
    <n v="2"/>
    <n v="67"/>
    <x v="83"/>
    <m/>
    <s v="Week 2"/>
    <x v="1"/>
  </r>
  <r>
    <n v="891"/>
    <x v="38"/>
    <n v="14"/>
    <x v="1"/>
    <n v="2"/>
    <n v="1"/>
    <x v="0"/>
    <x v="2"/>
    <s v="COMFORTABLE"/>
    <n v="0.18179999999999999"/>
    <n v="0.34"/>
    <n v="29.849999999999998"/>
    <x v="0"/>
    <n v="2"/>
    <n v="56"/>
    <x v="154"/>
    <m/>
    <s v="Week 2"/>
    <x v="1"/>
  </r>
  <r>
    <n v="892"/>
    <x v="38"/>
    <n v="15"/>
    <x v="1"/>
    <n v="2"/>
    <n v="2"/>
    <x v="1"/>
    <x v="2"/>
    <s v="COMFORTABLE"/>
    <n v="0.18179999999999999"/>
    <n v="0.34"/>
    <n v="28.360000000000003"/>
    <x v="0"/>
    <n v="3"/>
    <n v="61"/>
    <x v="37"/>
    <m/>
    <s v="Week 2"/>
    <x v="1"/>
  </r>
  <r>
    <n v="893"/>
    <x v="38"/>
    <n v="16"/>
    <x v="1"/>
    <n v="2"/>
    <n v="2"/>
    <x v="1"/>
    <x v="2"/>
    <s v="COMFORTABLE"/>
    <n v="0.19700000000000001"/>
    <n v="0.37"/>
    <n v="25.369999999999997"/>
    <x v="0"/>
    <n v="7"/>
    <n v="72"/>
    <x v="67"/>
    <m/>
    <s v="Week 2"/>
    <x v="1"/>
  </r>
  <r>
    <n v="894"/>
    <x v="38"/>
    <n v="17"/>
    <x v="1"/>
    <n v="2"/>
    <n v="2"/>
    <x v="1"/>
    <x v="2"/>
    <s v="COMFORTABLE"/>
    <n v="0.19700000000000001"/>
    <n v="0.34"/>
    <n v="25.369999999999997"/>
    <x v="0"/>
    <n v="9"/>
    <n v="157"/>
    <x v="150"/>
    <m/>
    <s v="Week 2"/>
    <x v="1"/>
  </r>
  <r>
    <n v="895"/>
    <x v="38"/>
    <n v="18"/>
    <x v="1"/>
    <n v="2"/>
    <n v="2"/>
    <x v="1"/>
    <x v="15"/>
    <s v="COMFORTABLE"/>
    <n v="0.16669999999999999"/>
    <n v="0.47"/>
    <n v="29.849999999999998"/>
    <x v="0"/>
    <n v="2"/>
    <n v="168"/>
    <x v="185"/>
    <m/>
    <s v="Week 2"/>
    <x v="1"/>
  </r>
  <r>
    <n v="896"/>
    <x v="38"/>
    <n v="19"/>
    <x v="1"/>
    <n v="2"/>
    <n v="3"/>
    <x v="2"/>
    <x v="14"/>
    <s v="COMFORTABLE"/>
    <n v="0.1212"/>
    <n v="0.86"/>
    <n v="25.369999999999997"/>
    <x v="0"/>
    <n v="1"/>
    <n v="87"/>
    <x v="39"/>
    <m/>
    <s v="Week 2"/>
    <x v="1"/>
  </r>
  <r>
    <n v="897"/>
    <x v="38"/>
    <n v="20"/>
    <x v="1"/>
    <n v="2"/>
    <n v="3"/>
    <x v="2"/>
    <x v="14"/>
    <s v="COMFORTABLE"/>
    <n v="0.1515"/>
    <n v="0.86"/>
    <n v="16.420000000000002"/>
    <x v="1"/>
    <n v="0"/>
    <n v="84"/>
    <x v="11"/>
    <m/>
    <s v="Week 2"/>
    <x v="1"/>
  </r>
  <r>
    <n v="898"/>
    <x v="38"/>
    <n v="21"/>
    <x v="1"/>
    <n v="2"/>
    <n v="2"/>
    <x v="1"/>
    <x v="14"/>
    <s v="COMFORTABLE"/>
    <n v="0.1515"/>
    <n v="0.86"/>
    <n v="16.420000000000002"/>
    <x v="1"/>
    <n v="0"/>
    <n v="83"/>
    <x v="56"/>
    <m/>
    <s v="Week 2"/>
    <x v="1"/>
  </r>
  <r>
    <n v="899"/>
    <x v="38"/>
    <n v="22"/>
    <x v="1"/>
    <n v="2"/>
    <n v="3"/>
    <x v="2"/>
    <x v="13"/>
    <s v="COMFORTABLE"/>
    <n v="0.16669999999999999"/>
    <n v="0.8"/>
    <n v="16.420000000000002"/>
    <x v="1"/>
    <n v="4"/>
    <n v="42"/>
    <x v="66"/>
    <m/>
    <s v="Week 2"/>
    <x v="1"/>
  </r>
  <r>
    <n v="900"/>
    <x v="38"/>
    <n v="23"/>
    <x v="1"/>
    <n v="2"/>
    <n v="3"/>
    <x v="2"/>
    <x v="13"/>
    <s v="COMFORTABLE"/>
    <n v="0.1515"/>
    <n v="0.8"/>
    <n v="19.400000000000002"/>
    <x v="1"/>
    <n v="0"/>
    <n v="37"/>
    <x v="18"/>
    <m/>
    <s v="Week 2"/>
    <x v="1"/>
  </r>
  <r>
    <n v="901"/>
    <x v="39"/>
    <n v="0"/>
    <x v="1"/>
    <n v="3"/>
    <n v="3"/>
    <x v="2"/>
    <x v="14"/>
    <s v="COMFORTABLE"/>
    <n v="0.13639999999999999"/>
    <n v="0.86"/>
    <n v="19.400000000000002"/>
    <x v="1"/>
    <n v="0"/>
    <n v="16"/>
    <x v="0"/>
    <m/>
    <s v="Week 2"/>
    <x v="1"/>
  </r>
  <r>
    <n v="902"/>
    <x v="39"/>
    <n v="1"/>
    <x v="1"/>
    <n v="3"/>
    <n v="3"/>
    <x v="2"/>
    <x v="14"/>
    <s v="COMFORTABLE"/>
    <n v="0.1515"/>
    <n v="0.8"/>
    <n v="13.43"/>
    <x v="1"/>
    <n v="0"/>
    <n v="7"/>
    <x v="85"/>
    <m/>
    <s v="Week 2"/>
    <x v="1"/>
  </r>
  <r>
    <n v="903"/>
    <x v="39"/>
    <n v="2"/>
    <x v="1"/>
    <n v="3"/>
    <n v="3"/>
    <x v="2"/>
    <x v="14"/>
    <s v="COMFORTABLE"/>
    <n v="0.1515"/>
    <n v="0.8"/>
    <n v="13.43"/>
    <x v="1"/>
    <n v="0"/>
    <n v="3"/>
    <x v="6"/>
    <m/>
    <s v="Week 2"/>
    <x v="1"/>
  </r>
  <r>
    <n v="904"/>
    <x v="39"/>
    <n v="4"/>
    <x v="1"/>
    <n v="3"/>
    <n v="2"/>
    <x v="1"/>
    <x v="14"/>
    <s v="COMFORTABLE"/>
    <n v="0.13639999999999999"/>
    <n v="0.59"/>
    <n v="22.39"/>
    <x v="0"/>
    <n v="0"/>
    <n v="1"/>
    <x v="4"/>
    <m/>
    <s v="Week 2"/>
    <x v="1"/>
  </r>
  <r>
    <n v="905"/>
    <x v="39"/>
    <n v="5"/>
    <x v="1"/>
    <n v="3"/>
    <n v="2"/>
    <x v="1"/>
    <x v="16"/>
    <s v="COMFORTABLE"/>
    <n v="0.1212"/>
    <n v="0.5"/>
    <n v="22.39"/>
    <x v="0"/>
    <n v="0"/>
    <n v="6"/>
    <x v="24"/>
    <m/>
    <s v="Week 2"/>
    <x v="1"/>
  </r>
  <r>
    <n v="906"/>
    <x v="39"/>
    <n v="6"/>
    <x v="1"/>
    <n v="3"/>
    <n v="2"/>
    <x v="1"/>
    <x v="16"/>
    <s v="COMFORTABLE"/>
    <n v="0.1212"/>
    <n v="0.54"/>
    <n v="28.360000000000003"/>
    <x v="0"/>
    <n v="0"/>
    <n v="26"/>
    <x v="132"/>
    <m/>
    <s v="Week 2"/>
    <x v="1"/>
  </r>
  <r>
    <n v="907"/>
    <x v="39"/>
    <n v="7"/>
    <x v="1"/>
    <n v="3"/>
    <n v="1"/>
    <x v="0"/>
    <x v="18"/>
    <s v="COLD"/>
    <n v="7.5800000000000006E-2"/>
    <n v="0.5"/>
    <n v="41.79"/>
    <x v="2"/>
    <n v="0"/>
    <n v="99"/>
    <x v="111"/>
    <m/>
    <s v="Week 2"/>
    <x v="1"/>
  </r>
  <r>
    <n v="908"/>
    <x v="39"/>
    <n v="8"/>
    <x v="1"/>
    <n v="3"/>
    <n v="1"/>
    <x v="0"/>
    <x v="18"/>
    <s v="COLD"/>
    <n v="7.5800000000000006E-2"/>
    <n v="0.49"/>
    <n v="32.840000000000003"/>
    <x v="2"/>
    <n v="5"/>
    <n v="173"/>
    <x v="106"/>
    <m/>
    <s v="Week 2"/>
    <x v="1"/>
  </r>
  <r>
    <n v="909"/>
    <x v="39"/>
    <n v="9"/>
    <x v="1"/>
    <n v="3"/>
    <n v="1"/>
    <x v="0"/>
    <x v="16"/>
    <s v="COMFORTABLE"/>
    <n v="0.1061"/>
    <n v="0.42"/>
    <n v="35.82"/>
    <x v="2"/>
    <n v="1"/>
    <n v="121"/>
    <x v="78"/>
    <m/>
    <s v="Week 2"/>
    <x v="1"/>
  </r>
  <r>
    <n v="910"/>
    <x v="39"/>
    <n v="10"/>
    <x v="1"/>
    <n v="3"/>
    <n v="1"/>
    <x v="0"/>
    <x v="16"/>
    <s v="COMFORTABLE"/>
    <n v="0.1061"/>
    <n v="0.42"/>
    <n v="29.849999999999998"/>
    <x v="0"/>
    <n v="1"/>
    <n v="34"/>
    <x v="17"/>
    <m/>
    <s v="Week 2"/>
    <x v="1"/>
  </r>
  <r>
    <n v="911"/>
    <x v="39"/>
    <n v="11"/>
    <x v="1"/>
    <n v="3"/>
    <n v="1"/>
    <x v="0"/>
    <x v="14"/>
    <s v="COMFORTABLE"/>
    <n v="0.1212"/>
    <n v="0.39"/>
    <n v="35.82"/>
    <x v="2"/>
    <n v="1"/>
    <n v="44"/>
    <x v="79"/>
    <m/>
    <s v="Week 2"/>
    <x v="1"/>
  </r>
  <r>
    <n v="912"/>
    <x v="39"/>
    <n v="12"/>
    <x v="1"/>
    <n v="3"/>
    <n v="1"/>
    <x v="0"/>
    <x v="13"/>
    <s v="COMFORTABLE"/>
    <n v="0.13639999999999999"/>
    <n v="0.34"/>
    <n v="38.81"/>
    <x v="2"/>
    <n v="4"/>
    <n v="65"/>
    <x v="83"/>
    <m/>
    <s v="Week 2"/>
    <x v="1"/>
  </r>
  <r>
    <n v="913"/>
    <x v="39"/>
    <n v="13"/>
    <x v="1"/>
    <n v="3"/>
    <n v="1"/>
    <x v="0"/>
    <x v="15"/>
    <s v="COMFORTABLE"/>
    <n v="0.16669999999999999"/>
    <n v="0.28999999999999998"/>
    <n v="29.849999999999998"/>
    <x v="0"/>
    <n v="3"/>
    <n v="59"/>
    <x v="69"/>
    <m/>
    <s v="Week 2"/>
    <x v="1"/>
  </r>
  <r>
    <n v="914"/>
    <x v="39"/>
    <n v="14"/>
    <x v="1"/>
    <n v="3"/>
    <n v="1"/>
    <x v="0"/>
    <x v="2"/>
    <s v="COMFORTABLE"/>
    <n v="0.18179999999999999"/>
    <n v="0.27"/>
    <n v="28.360000000000003"/>
    <x v="0"/>
    <n v="6"/>
    <n v="42"/>
    <x v="61"/>
    <m/>
    <s v="Week 2"/>
    <x v="1"/>
  </r>
  <r>
    <n v="915"/>
    <x v="39"/>
    <n v="15"/>
    <x v="1"/>
    <n v="3"/>
    <n v="1"/>
    <x v="0"/>
    <x v="2"/>
    <s v="COMFORTABLE"/>
    <n v="0.19700000000000001"/>
    <n v="0.25"/>
    <n v="25.369999999999997"/>
    <x v="0"/>
    <n v="0"/>
    <n v="50"/>
    <x v="89"/>
    <m/>
    <s v="Week 2"/>
    <x v="1"/>
  </r>
  <r>
    <n v="916"/>
    <x v="39"/>
    <n v="16"/>
    <x v="1"/>
    <n v="3"/>
    <n v="1"/>
    <x v="0"/>
    <x v="2"/>
    <s v="COMFORTABLE"/>
    <n v="0.18179999999999999"/>
    <n v="0.27"/>
    <n v="29.849999999999998"/>
    <x v="0"/>
    <n v="4"/>
    <n v="76"/>
    <x v="138"/>
    <m/>
    <s v="Week 2"/>
    <x v="1"/>
  </r>
  <r>
    <n v="917"/>
    <x v="39"/>
    <n v="17"/>
    <x v="1"/>
    <n v="3"/>
    <n v="1"/>
    <x v="0"/>
    <x v="15"/>
    <s v="COMFORTABLE"/>
    <n v="0.18179999999999999"/>
    <n v="0.26"/>
    <n v="19.400000000000002"/>
    <x v="1"/>
    <n v="6"/>
    <n v="159"/>
    <x v="186"/>
    <m/>
    <s v="Week 2"/>
    <x v="1"/>
  </r>
  <r>
    <n v="918"/>
    <x v="39"/>
    <n v="18"/>
    <x v="1"/>
    <n v="3"/>
    <n v="1"/>
    <x v="0"/>
    <x v="13"/>
    <s v="COMFORTABLE"/>
    <n v="0.18179999999999999"/>
    <n v="0.28000000000000003"/>
    <n v="13.43"/>
    <x v="1"/>
    <n v="3"/>
    <n v="157"/>
    <x v="187"/>
    <m/>
    <s v="Week 2"/>
    <x v="1"/>
  </r>
  <r>
    <n v="919"/>
    <x v="39"/>
    <n v="19"/>
    <x v="1"/>
    <n v="3"/>
    <n v="1"/>
    <x v="0"/>
    <x v="14"/>
    <s v="COMFORTABLE"/>
    <n v="0.16669999999999999"/>
    <n v="0.28000000000000003"/>
    <n v="10.45"/>
    <x v="1"/>
    <n v="2"/>
    <n v="110"/>
    <x v="59"/>
    <m/>
    <s v="Week 2"/>
    <x v="1"/>
  </r>
  <r>
    <n v="920"/>
    <x v="39"/>
    <n v="20"/>
    <x v="1"/>
    <n v="3"/>
    <n v="1"/>
    <x v="0"/>
    <x v="14"/>
    <s v="COMFORTABLE"/>
    <n v="0.18179999999999999"/>
    <n v="0.31"/>
    <n v="8.9599999999999991"/>
    <x v="1"/>
    <n v="4"/>
    <n v="93"/>
    <x v="54"/>
    <m/>
    <s v="Week 2"/>
    <x v="1"/>
  </r>
  <r>
    <n v="921"/>
    <x v="39"/>
    <n v="21"/>
    <x v="1"/>
    <n v="3"/>
    <n v="1"/>
    <x v="0"/>
    <x v="14"/>
    <s v="COMFORTABLE"/>
    <n v="0.21210000000000001"/>
    <n v="0.39"/>
    <n v="17.94158974358977"/>
    <x v="1"/>
    <n v="2"/>
    <n v="70"/>
    <x v="44"/>
    <m/>
    <s v="Week 2"/>
    <x v="1"/>
  </r>
  <r>
    <n v="922"/>
    <x v="39"/>
    <n v="22"/>
    <x v="1"/>
    <n v="3"/>
    <n v="1"/>
    <x v="0"/>
    <x v="16"/>
    <s v="COMFORTABLE"/>
    <n v="0.19700000000000001"/>
    <n v="0.39"/>
    <n v="17.94158974358977"/>
    <x v="1"/>
    <n v="4"/>
    <n v="47"/>
    <x v="41"/>
    <m/>
    <s v="Week 2"/>
    <x v="1"/>
  </r>
  <r>
    <n v="923"/>
    <x v="39"/>
    <n v="23"/>
    <x v="1"/>
    <n v="3"/>
    <n v="1"/>
    <x v="0"/>
    <x v="16"/>
    <s v="COMFORTABLE"/>
    <n v="0.1515"/>
    <n v="0.42"/>
    <n v="10.45"/>
    <x v="1"/>
    <n v="1"/>
    <n v="33"/>
    <x v="19"/>
    <m/>
    <s v="Week 2"/>
    <x v="1"/>
  </r>
  <r>
    <n v="924"/>
    <x v="40"/>
    <n v="0"/>
    <x v="1"/>
    <n v="4"/>
    <n v="1"/>
    <x v="0"/>
    <x v="18"/>
    <s v="COLD"/>
    <n v="0.13639999999999999"/>
    <n v="0.49"/>
    <n v="10.45"/>
    <x v="1"/>
    <n v="2"/>
    <n v="12"/>
    <x v="8"/>
    <m/>
    <s v="Week 2"/>
    <x v="1"/>
  </r>
  <r>
    <n v="925"/>
    <x v="40"/>
    <n v="1"/>
    <x v="1"/>
    <n v="4"/>
    <n v="1"/>
    <x v="0"/>
    <x v="18"/>
    <s v="COLD"/>
    <n v="0.13639999999999999"/>
    <n v="0.54"/>
    <n v="8.9599999999999991"/>
    <x v="1"/>
    <n v="1"/>
    <n v="6"/>
    <x v="85"/>
    <m/>
    <s v="Week 2"/>
    <x v="1"/>
  </r>
  <r>
    <n v="926"/>
    <x v="40"/>
    <n v="2"/>
    <x v="1"/>
    <n v="4"/>
    <n v="1"/>
    <x v="0"/>
    <x v="18"/>
    <s v="COLD"/>
    <n v="0.13639999999999999"/>
    <n v="0.54"/>
    <n v="8.9599999999999991"/>
    <x v="1"/>
    <n v="0"/>
    <n v="3"/>
    <x v="6"/>
    <m/>
    <s v="Week 2"/>
    <x v="1"/>
  </r>
  <r>
    <n v="927"/>
    <x v="40"/>
    <n v="5"/>
    <x v="1"/>
    <n v="4"/>
    <n v="1"/>
    <x v="0"/>
    <x v="19"/>
    <s v="COLD"/>
    <n v="0.1212"/>
    <n v="0.63"/>
    <n v="8.9599999999999991"/>
    <x v="1"/>
    <n v="0"/>
    <n v="4"/>
    <x v="48"/>
    <m/>
    <s v="Week 2"/>
    <x v="1"/>
  </r>
  <r>
    <n v="928"/>
    <x v="40"/>
    <n v="6"/>
    <x v="1"/>
    <n v="4"/>
    <n v="1"/>
    <x v="0"/>
    <x v="18"/>
    <s v="COLD"/>
    <n v="0.18179999999999999"/>
    <n v="0.68"/>
    <n v="17.94158974358977"/>
    <x v="1"/>
    <n v="1"/>
    <n v="23"/>
    <x v="108"/>
    <m/>
    <s v="Week 2"/>
    <x v="1"/>
  </r>
  <r>
    <n v="929"/>
    <x v="40"/>
    <n v="7"/>
    <x v="1"/>
    <n v="4"/>
    <n v="1"/>
    <x v="0"/>
    <x v="19"/>
    <s v="COLD"/>
    <n v="0.16669999999999999"/>
    <n v="0.73"/>
    <n v="17.94158974358977"/>
    <x v="1"/>
    <n v="1"/>
    <n v="73"/>
    <x v="30"/>
    <m/>
    <s v="Week 2"/>
    <x v="1"/>
  </r>
  <r>
    <n v="930"/>
    <x v="40"/>
    <n v="8"/>
    <x v="1"/>
    <n v="4"/>
    <n v="1"/>
    <x v="0"/>
    <x v="18"/>
    <s v="COLD"/>
    <n v="0.1212"/>
    <n v="0.74"/>
    <n v="16.420000000000002"/>
    <x v="1"/>
    <n v="4"/>
    <n v="212"/>
    <x v="182"/>
    <m/>
    <s v="Week 2"/>
    <x v="1"/>
  </r>
  <r>
    <n v="931"/>
    <x v="40"/>
    <n v="9"/>
    <x v="1"/>
    <n v="4"/>
    <n v="1"/>
    <x v="0"/>
    <x v="16"/>
    <s v="COMFORTABLE"/>
    <n v="0.1212"/>
    <n v="0.74"/>
    <n v="22.39"/>
    <x v="0"/>
    <n v="8"/>
    <n v="132"/>
    <x v="188"/>
    <m/>
    <s v="Week 2"/>
    <x v="1"/>
  </r>
  <r>
    <n v="932"/>
    <x v="40"/>
    <n v="10"/>
    <x v="1"/>
    <n v="4"/>
    <n v="1"/>
    <x v="0"/>
    <x v="14"/>
    <s v="COMFORTABLE"/>
    <n v="0.13639999999999999"/>
    <n v="0.69"/>
    <n v="19.400000000000002"/>
    <x v="1"/>
    <n v="5"/>
    <n v="39"/>
    <x v="40"/>
    <m/>
    <s v="Week 2"/>
    <x v="1"/>
  </r>
  <r>
    <n v="933"/>
    <x v="40"/>
    <n v="11"/>
    <x v="1"/>
    <n v="4"/>
    <n v="1"/>
    <x v="0"/>
    <x v="1"/>
    <s v="COMFORTABLE"/>
    <n v="0.2273"/>
    <n v="0.47"/>
    <n v="13.43"/>
    <x v="1"/>
    <n v="12"/>
    <n v="52"/>
    <x v="37"/>
    <m/>
    <s v="Week 2"/>
    <x v="1"/>
  </r>
  <r>
    <n v="934"/>
    <x v="40"/>
    <n v="12"/>
    <x v="1"/>
    <n v="4"/>
    <n v="1"/>
    <x v="0"/>
    <x v="1"/>
    <s v="COMFORTABLE"/>
    <n v="0.2273"/>
    <n v="0.47"/>
    <n v="13.43"/>
    <x v="1"/>
    <n v="7"/>
    <n v="64"/>
    <x v="68"/>
    <m/>
    <s v="Week 2"/>
    <x v="1"/>
  </r>
  <r>
    <n v="935"/>
    <x v="40"/>
    <n v="13"/>
    <x v="1"/>
    <n v="4"/>
    <n v="1"/>
    <x v="0"/>
    <x v="0"/>
    <s v="COMFORTABLE"/>
    <n v="0.2273"/>
    <n v="0.35"/>
    <n v="19.400000000000002"/>
    <x v="1"/>
    <n v="21"/>
    <n v="89"/>
    <x v="14"/>
    <m/>
    <s v="Week 2"/>
    <x v="1"/>
  </r>
  <r>
    <n v="936"/>
    <x v="40"/>
    <n v="14"/>
    <x v="1"/>
    <n v="4"/>
    <n v="1"/>
    <x v="0"/>
    <x v="11"/>
    <s v="WARM"/>
    <n v="0.28789999999999999"/>
    <n v="0.26"/>
    <n v="25.369999999999997"/>
    <x v="0"/>
    <n v="17"/>
    <n v="67"/>
    <x v="11"/>
    <m/>
    <s v="Week 2"/>
    <x v="1"/>
  </r>
  <r>
    <n v="937"/>
    <x v="40"/>
    <n v="15"/>
    <x v="1"/>
    <n v="4"/>
    <n v="1"/>
    <x v="0"/>
    <x v="3"/>
    <s v="WARM"/>
    <n v="0.31819999999999998"/>
    <n v="0.21"/>
    <n v="16.420000000000002"/>
    <x v="1"/>
    <n v="12"/>
    <n v="62"/>
    <x v="30"/>
    <m/>
    <s v="Week 2"/>
    <x v="1"/>
  </r>
  <r>
    <n v="938"/>
    <x v="40"/>
    <n v="16"/>
    <x v="1"/>
    <n v="4"/>
    <n v="1"/>
    <x v="0"/>
    <x v="11"/>
    <s v="WARM"/>
    <n v="0.28789999999999999"/>
    <n v="0.28000000000000003"/>
    <n v="19.400000000000002"/>
    <x v="1"/>
    <n v="14"/>
    <n v="111"/>
    <x v="139"/>
    <m/>
    <s v="Week 2"/>
    <x v="1"/>
  </r>
  <r>
    <n v="939"/>
    <x v="40"/>
    <n v="17"/>
    <x v="1"/>
    <n v="4"/>
    <n v="1"/>
    <x v="0"/>
    <x v="11"/>
    <s v="WARM"/>
    <n v="0.33329999999999999"/>
    <n v="0.24"/>
    <n v="17.94158974358977"/>
    <x v="1"/>
    <n v="18"/>
    <n v="193"/>
    <x v="189"/>
    <m/>
    <s v="Week 2"/>
    <x v="1"/>
  </r>
  <r>
    <n v="940"/>
    <x v="40"/>
    <n v="18"/>
    <x v="1"/>
    <n v="4"/>
    <n v="1"/>
    <x v="0"/>
    <x v="17"/>
    <s v="WARM"/>
    <n v="0.31819999999999998"/>
    <n v="0.28000000000000003"/>
    <n v="17.94158974358977"/>
    <x v="1"/>
    <n v="9"/>
    <n v="165"/>
    <x v="177"/>
    <m/>
    <s v="Week 2"/>
    <x v="1"/>
  </r>
  <r>
    <n v="941"/>
    <x v="40"/>
    <n v="19"/>
    <x v="1"/>
    <n v="4"/>
    <n v="1"/>
    <x v="0"/>
    <x v="12"/>
    <s v="WARM"/>
    <n v="0.30299999999999999"/>
    <n v="0.33"/>
    <n v="17.94158974358977"/>
    <x v="1"/>
    <n v="7"/>
    <n v="94"/>
    <x v="129"/>
    <m/>
    <s v="Week 2"/>
    <x v="1"/>
  </r>
  <r>
    <n v="942"/>
    <x v="40"/>
    <n v="20"/>
    <x v="1"/>
    <n v="4"/>
    <n v="1"/>
    <x v="0"/>
    <x v="1"/>
    <s v="COMFORTABLE"/>
    <n v="0.2273"/>
    <n v="0.55000000000000004"/>
    <n v="13.43"/>
    <x v="1"/>
    <n v="2"/>
    <n v="61"/>
    <x v="55"/>
    <m/>
    <s v="Week 2"/>
    <x v="1"/>
  </r>
  <r>
    <n v="943"/>
    <x v="40"/>
    <n v="21"/>
    <x v="1"/>
    <n v="4"/>
    <n v="1"/>
    <x v="0"/>
    <x v="2"/>
    <s v="COMFORTABLE"/>
    <n v="0.21210000000000001"/>
    <n v="0.59"/>
    <n v="13.43"/>
    <x v="1"/>
    <n v="1"/>
    <n v="46"/>
    <x v="105"/>
    <m/>
    <s v="Week 2"/>
    <x v="1"/>
  </r>
  <r>
    <n v="944"/>
    <x v="40"/>
    <n v="22"/>
    <x v="1"/>
    <n v="4"/>
    <n v="1"/>
    <x v="0"/>
    <x v="2"/>
    <s v="COMFORTABLE"/>
    <n v="0.2273"/>
    <n v="0.64"/>
    <n v="8.9599999999999991"/>
    <x v="1"/>
    <n v="2"/>
    <n v="41"/>
    <x v="74"/>
    <m/>
    <s v="Week 2"/>
    <x v="1"/>
  </r>
  <r>
    <n v="945"/>
    <x v="40"/>
    <n v="23"/>
    <x v="1"/>
    <n v="4"/>
    <n v="1"/>
    <x v="0"/>
    <x v="15"/>
    <s v="COMFORTABLE"/>
    <n v="0.2424"/>
    <n v="0.69"/>
    <n v="17.94158974358977"/>
    <x v="1"/>
    <n v="5"/>
    <n v="48"/>
    <x v="26"/>
    <m/>
    <s v="Week 2"/>
    <x v="1"/>
  </r>
  <r>
    <n v="946"/>
    <x v="41"/>
    <n v="0"/>
    <x v="1"/>
    <n v="5"/>
    <n v="1"/>
    <x v="0"/>
    <x v="13"/>
    <s v="COMFORTABLE"/>
    <n v="0.19700000000000001"/>
    <n v="0.69"/>
    <n v="8.9599999999999991"/>
    <x v="1"/>
    <n v="3"/>
    <n v="27"/>
    <x v="33"/>
    <m/>
    <s v="Week 2"/>
    <x v="1"/>
  </r>
  <r>
    <n v="947"/>
    <x v="41"/>
    <n v="1"/>
    <x v="1"/>
    <n v="5"/>
    <n v="1"/>
    <x v="0"/>
    <x v="14"/>
    <s v="COMFORTABLE"/>
    <n v="0.21210000000000001"/>
    <n v="0.86"/>
    <n v="17.94158974358977"/>
    <x v="1"/>
    <n v="2"/>
    <n v="22"/>
    <x v="108"/>
    <m/>
    <s v="Week 2"/>
    <x v="1"/>
  </r>
  <r>
    <n v="948"/>
    <x v="41"/>
    <n v="2"/>
    <x v="1"/>
    <n v="5"/>
    <n v="1"/>
    <x v="0"/>
    <x v="14"/>
    <s v="COMFORTABLE"/>
    <n v="0.21210000000000001"/>
    <n v="0.8"/>
    <n v="17.94158974358977"/>
    <x v="1"/>
    <n v="2"/>
    <n v="13"/>
    <x v="93"/>
    <m/>
    <s v="Week 2"/>
    <x v="1"/>
  </r>
  <r>
    <n v="949"/>
    <x v="41"/>
    <n v="3"/>
    <x v="1"/>
    <n v="5"/>
    <n v="1"/>
    <x v="0"/>
    <x v="16"/>
    <s v="COMFORTABLE"/>
    <n v="0.19700000000000001"/>
    <n v="0.8"/>
    <n v="17.94158974358977"/>
    <x v="1"/>
    <n v="3"/>
    <n v="7"/>
    <x v="98"/>
    <m/>
    <s v="Week 2"/>
    <x v="1"/>
  </r>
  <r>
    <n v="950"/>
    <x v="41"/>
    <n v="4"/>
    <x v="1"/>
    <n v="5"/>
    <n v="1"/>
    <x v="0"/>
    <x v="16"/>
    <s v="COMFORTABLE"/>
    <n v="0.16669999999999999"/>
    <n v="0.74"/>
    <n v="8.9599999999999991"/>
    <x v="1"/>
    <n v="0"/>
    <n v="4"/>
    <x v="48"/>
    <m/>
    <s v="Week 2"/>
    <x v="1"/>
  </r>
  <r>
    <n v="951"/>
    <x v="41"/>
    <n v="5"/>
    <x v="1"/>
    <n v="5"/>
    <n v="1"/>
    <x v="0"/>
    <x v="16"/>
    <s v="COMFORTABLE"/>
    <n v="0.16669999999999999"/>
    <n v="0.74"/>
    <n v="8.9599999999999991"/>
    <x v="1"/>
    <n v="0"/>
    <n v="1"/>
    <x v="4"/>
    <m/>
    <s v="Week 2"/>
    <x v="1"/>
  </r>
  <r>
    <n v="952"/>
    <x v="41"/>
    <n v="6"/>
    <x v="1"/>
    <n v="5"/>
    <n v="1"/>
    <x v="0"/>
    <x v="16"/>
    <s v="COMFORTABLE"/>
    <n v="0.13639999999999999"/>
    <n v="0.93"/>
    <n v="19.400000000000002"/>
    <x v="1"/>
    <n v="1"/>
    <n v="1"/>
    <x v="5"/>
    <m/>
    <s v="Week 2"/>
    <x v="1"/>
  </r>
  <r>
    <n v="953"/>
    <x v="41"/>
    <n v="7"/>
    <x v="1"/>
    <n v="5"/>
    <n v="1"/>
    <x v="0"/>
    <x v="16"/>
    <s v="COMFORTABLE"/>
    <n v="0.1515"/>
    <n v="0.8"/>
    <n v="10.45"/>
    <x v="1"/>
    <n v="2"/>
    <n v="9"/>
    <x v="62"/>
    <m/>
    <s v="Week 2"/>
    <x v="1"/>
  </r>
  <r>
    <n v="954"/>
    <x v="41"/>
    <n v="8"/>
    <x v="1"/>
    <n v="5"/>
    <n v="1"/>
    <x v="0"/>
    <x v="14"/>
    <s v="COMFORTABLE"/>
    <n v="0.1515"/>
    <n v="0.86"/>
    <n v="13.43"/>
    <x v="1"/>
    <n v="2"/>
    <n v="28"/>
    <x v="33"/>
    <m/>
    <s v="Week 2"/>
    <x v="1"/>
  </r>
  <r>
    <n v="955"/>
    <x v="41"/>
    <n v="9"/>
    <x v="1"/>
    <n v="5"/>
    <n v="1"/>
    <x v="0"/>
    <x v="13"/>
    <s v="COMFORTABLE"/>
    <n v="0.18179999999999999"/>
    <n v="0.64"/>
    <n v="13.43"/>
    <x v="1"/>
    <n v="5"/>
    <n v="38"/>
    <x v="74"/>
    <m/>
    <s v="Week 2"/>
    <x v="1"/>
  </r>
  <r>
    <n v="956"/>
    <x v="41"/>
    <n v="10"/>
    <x v="1"/>
    <n v="5"/>
    <n v="1"/>
    <x v="0"/>
    <x v="1"/>
    <s v="COMFORTABLE"/>
    <n v="0.21210000000000001"/>
    <n v="0.41"/>
    <n v="25.369999999999997"/>
    <x v="0"/>
    <n v="13"/>
    <n v="71"/>
    <x v="11"/>
    <m/>
    <s v="Week 2"/>
    <x v="1"/>
  </r>
  <r>
    <n v="957"/>
    <x v="41"/>
    <n v="11"/>
    <x v="1"/>
    <n v="5"/>
    <n v="1"/>
    <x v="0"/>
    <x v="11"/>
    <s v="WARM"/>
    <n v="0.2727"/>
    <n v="0.28000000000000003"/>
    <n v="32.840000000000003"/>
    <x v="2"/>
    <n v="30"/>
    <n v="84"/>
    <x v="181"/>
    <m/>
    <s v="Week 2"/>
    <x v="1"/>
  </r>
  <r>
    <n v="958"/>
    <x v="41"/>
    <n v="12"/>
    <x v="1"/>
    <n v="5"/>
    <n v="1"/>
    <x v="0"/>
    <x v="11"/>
    <s v="WARM"/>
    <n v="0.2727"/>
    <n v="0.39"/>
    <n v="46.27"/>
    <x v="2"/>
    <n v="27"/>
    <n v="93"/>
    <x v="151"/>
    <m/>
    <s v="Week 2"/>
    <x v="1"/>
  </r>
  <r>
    <n v="959"/>
    <x v="41"/>
    <n v="13"/>
    <x v="1"/>
    <n v="5"/>
    <n v="1"/>
    <x v="0"/>
    <x v="11"/>
    <s v="WARM"/>
    <n v="0.2727"/>
    <n v="0.39"/>
    <n v="41.79"/>
    <x v="2"/>
    <n v="32"/>
    <n v="103"/>
    <x v="169"/>
    <m/>
    <s v="Week 2"/>
    <x v="1"/>
  </r>
  <r>
    <n v="960"/>
    <x v="41"/>
    <n v="14"/>
    <x v="1"/>
    <n v="5"/>
    <n v="1"/>
    <x v="0"/>
    <x v="10"/>
    <s v="WARM"/>
    <n v="0.31819999999999998"/>
    <n v="0.31"/>
    <n v="28.360000000000003"/>
    <x v="0"/>
    <n v="30"/>
    <n v="90"/>
    <x v="151"/>
    <m/>
    <s v="Week 2"/>
    <x v="1"/>
  </r>
  <r>
    <n v="961"/>
    <x v="41"/>
    <n v="15"/>
    <x v="1"/>
    <n v="5"/>
    <n v="1"/>
    <x v="0"/>
    <x v="10"/>
    <s v="WARM"/>
    <n v="0.30299999999999999"/>
    <n v="0.28999999999999998"/>
    <n v="41.79"/>
    <x v="2"/>
    <n v="47"/>
    <n v="127"/>
    <x v="177"/>
    <m/>
    <s v="Week 2"/>
    <x v="1"/>
  </r>
  <r>
    <n v="962"/>
    <x v="41"/>
    <n v="16"/>
    <x v="1"/>
    <n v="5"/>
    <n v="1"/>
    <x v="0"/>
    <x v="10"/>
    <s v="WARM"/>
    <n v="0.30299999999999999"/>
    <n v="0.28999999999999998"/>
    <n v="41.79"/>
    <x v="2"/>
    <n v="42"/>
    <n v="103"/>
    <x v="190"/>
    <m/>
    <s v="Week 2"/>
    <x v="1"/>
  </r>
  <r>
    <n v="963"/>
    <x v="41"/>
    <n v="17"/>
    <x v="1"/>
    <n v="5"/>
    <n v="1"/>
    <x v="0"/>
    <x v="3"/>
    <s v="WARM"/>
    <n v="0.28789999999999999"/>
    <n v="0.31"/>
    <n v="52.239999999999995"/>
    <x v="2"/>
    <n v="24"/>
    <n v="113"/>
    <x v="120"/>
    <m/>
    <s v="Week 2"/>
    <x v="1"/>
  </r>
  <r>
    <n v="964"/>
    <x v="41"/>
    <n v="18"/>
    <x v="1"/>
    <n v="5"/>
    <n v="1"/>
    <x v="0"/>
    <x v="17"/>
    <s v="WARM"/>
    <n v="0.2576"/>
    <n v="0.38"/>
    <n v="32.840000000000003"/>
    <x v="2"/>
    <n v="4"/>
    <n v="60"/>
    <x v="37"/>
    <m/>
    <s v="Week 2"/>
    <x v="1"/>
  </r>
  <r>
    <n v="965"/>
    <x v="41"/>
    <n v="19"/>
    <x v="1"/>
    <n v="5"/>
    <n v="1"/>
    <x v="0"/>
    <x v="17"/>
    <s v="WARM"/>
    <n v="0.2727"/>
    <n v="0.38"/>
    <n v="16.420000000000002"/>
    <x v="1"/>
    <n v="2"/>
    <n v="39"/>
    <x v="102"/>
    <m/>
    <s v="Week 2"/>
    <x v="1"/>
  </r>
  <r>
    <n v="966"/>
    <x v="41"/>
    <n v="20"/>
    <x v="1"/>
    <n v="5"/>
    <n v="1"/>
    <x v="0"/>
    <x v="12"/>
    <s v="WARM"/>
    <n v="0.2576"/>
    <n v="0.41"/>
    <n v="22.39"/>
    <x v="0"/>
    <n v="1"/>
    <n v="39"/>
    <x v="1"/>
    <m/>
    <s v="Week 2"/>
    <x v="1"/>
  </r>
  <r>
    <n v="967"/>
    <x v="41"/>
    <n v="21"/>
    <x v="1"/>
    <n v="5"/>
    <n v="1"/>
    <x v="0"/>
    <x v="12"/>
    <s v="WARM"/>
    <n v="0.30299999999999999"/>
    <n v="0.41"/>
    <n v="17.94158974358977"/>
    <x v="1"/>
    <n v="9"/>
    <n v="42"/>
    <x v="41"/>
    <m/>
    <s v="Week 2"/>
    <x v="1"/>
  </r>
  <r>
    <n v="968"/>
    <x v="41"/>
    <n v="22"/>
    <x v="1"/>
    <n v="5"/>
    <n v="1"/>
    <x v="0"/>
    <x v="0"/>
    <s v="COMFORTABLE"/>
    <n v="0.2576"/>
    <n v="0.44"/>
    <n v="8.9599999999999991"/>
    <x v="1"/>
    <n v="6"/>
    <n v="39"/>
    <x v="79"/>
    <m/>
    <s v="Week 2"/>
    <x v="1"/>
  </r>
  <r>
    <n v="969"/>
    <x v="41"/>
    <n v="23"/>
    <x v="1"/>
    <n v="5"/>
    <n v="1"/>
    <x v="0"/>
    <x v="1"/>
    <s v="COMFORTABLE"/>
    <n v="0.2273"/>
    <n v="0.51"/>
    <n v="13.43"/>
    <x v="1"/>
    <n v="1"/>
    <n v="31"/>
    <x v="2"/>
    <m/>
    <s v="Week 2"/>
    <x v="1"/>
  </r>
  <r>
    <n v="970"/>
    <x v="42"/>
    <n v="0"/>
    <x v="1"/>
    <n v="6"/>
    <n v="1"/>
    <x v="0"/>
    <x v="2"/>
    <s v="COMFORTABLE"/>
    <n v="0.2273"/>
    <n v="0.64"/>
    <n v="10.45"/>
    <x v="1"/>
    <n v="5"/>
    <n v="34"/>
    <x v="21"/>
    <m/>
    <s v="Week 2"/>
    <x v="1"/>
  </r>
  <r>
    <n v="971"/>
    <x v="42"/>
    <n v="1"/>
    <x v="1"/>
    <n v="6"/>
    <n v="1"/>
    <x v="0"/>
    <x v="2"/>
    <s v="COMFORTABLE"/>
    <n v="0.2273"/>
    <n v="0.59"/>
    <n v="8.9599999999999991"/>
    <x v="1"/>
    <n v="1"/>
    <n v="23"/>
    <x v="108"/>
    <m/>
    <s v="Week 2"/>
    <x v="1"/>
  </r>
  <r>
    <n v="972"/>
    <x v="42"/>
    <n v="2"/>
    <x v="1"/>
    <n v="6"/>
    <n v="2"/>
    <x v="1"/>
    <x v="2"/>
    <s v="COMFORTABLE"/>
    <n v="0.2273"/>
    <n v="0.75"/>
    <n v="8.9599999999999991"/>
    <x v="1"/>
    <n v="1"/>
    <n v="19"/>
    <x v="25"/>
    <m/>
    <s v="Week 2"/>
    <x v="1"/>
  </r>
  <r>
    <n v="973"/>
    <x v="42"/>
    <n v="3"/>
    <x v="1"/>
    <n v="6"/>
    <n v="2"/>
    <x v="1"/>
    <x v="2"/>
    <s v="COMFORTABLE"/>
    <n v="0.2273"/>
    <n v="0.69"/>
    <n v="10.45"/>
    <x v="1"/>
    <n v="4"/>
    <n v="8"/>
    <x v="47"/>
    <m/>
    <s v="Week 2"/>
    <x v="1"/>
  </r>
  <r>
    <n v="974"/>
    <x v="42"/>
    <n v="4"/>
    <x v="1"/>
    <n v="6"/>
    <n v="2"/>
    <x v="1"/>
    <x v="2"/>
    <s v="COMFORTABLE"/>
    <n v="0.21210000000000001"/>
    <n v="0.69"/>
    <n v="16.420000000000002"/>
    <x v="1"/>
    <n v="0"/>
    <n v="2"/>
    <x v="5"/>
    <m/>
    <s v="Week 2"/>
    <x v="1"/>
  </r>
  <r>
    <n v="975"/>
    <x v="42"/>
    <n v="6"/>
    <x v="1"/>
    <n v="6"/>
    <n v="2"/>
    <x v="1"/>
    <x v="2"/>
    <s v="COMFORTABLE"/>
    <n v="0.21210000000000001"/>
    <n v="0.69"/>
    <n v="13.43"/>
    <x v="1"/>
    <n v="2"/>
    <n v="3"/>
    <x v="36"/>
    <m/>
    <s v="Week 2"/>
    <x v="1"/>
  </r>
  <r>
    <n v="976"/>
    <x v="42"/>
    <n v="7"/>
    <x v="1"/>
    <n v="6"/>
    <n v="2"/>
    <x v="1"/>
    <x v="1"/>
    <s v="COMFORTABLE"/>
    <n v="0.2727"/>
    <n v="0.55000000000000004"/>
    <n v="17.94158974358977"/>
    <x v="1"/>
    <n v="0"/>
    <n v="3"/>
    <x v="6"/>
    <m/>
    <s v="Week 2"/>
    <x v="1"/>
  </r>
  <r>
    <n v="977"/>
    <x v="42"/>
    <n v="8"/>
    <x v="1"/>
    <n v="6"/>
    <n v="2"/>
    <x v="1"/>
    <x v="1"/>
    <s v="COMFORTABLE"/>
    <n v="0.2273"/>
    <n v="0.64"/>
    <n v="19.400000000000002"/>
    <x v="1"/>
    <n v="1"/>
    <n v="11"/>
    <x v="47"/>
    <m/>
    <s v="Week 2"/>
    <x v="1"/>
  </r>
  <r>
    <n v="978"/>
    <x v="42"/>
    <n v="9"/>
    <x v="1"/>
    <n v="6"/>
    <n v="2"/>
    <x v="1"/>
    <x v="0"/>
    <s v="COMFORTABLE"/>
    <n v="0.2273"/>
    <n v="0.6"/>
    <n v="22.39"/>
    <x v="0"/>
    <n v="12"/>
    <n v="35"/>
    <x v="105"/>
    <m/>
    <s v="Week 2"/>
    <x v="1"/>
  </r>
  <r>
    <n v="979"/>
    <x v="42"/>
    <n v="10"/>
    <x v="1"/>
    <n v="6"/>
    <n v="1"/>
    <x v="0"/>
    <x v="11"/>
    <s v="WARM"/>
    <n v="0.2727"/>
    <n v="0.45"/>
    <n v="32.840000000000003"/>
    <x v="2"/>
    <n v="19"/>
    <n v="86"/>
    <x v="136"/>
    <m/>
    <s v="Week 2"/>
    <x v="1"/>
  </r>
  <r>
    <n v="980"/>
    <x v="42"/>
    <n v="11"/>
    <x v="1"/>
    <n v="6"/>
    <n v="1"/>
    <x v="0"/>
    <x v="3"/>
    <s v="WARM"/>
    <n v="0.28789999999999999"/>
    <n v="0.39"/>
    <n v="44.78"/>
    <x v="2"/>
    <n v="26"/>
    <n v="86"/>
    <x v="59"/>
    <m/>
    <s v="Week 2"/>
    <x v="1"/>
  </r>
  <r>
    <n v="981"/>
    <x v="42"/>
    <n v="12"/>
    <x v="1"/>
    <n v="6"/>
    <n v="1"/>
    <x v="0"/>
    <x v="5"/>
    <s v="WARM"/>
    <n v="0.31819999999999998"/>
    <n v="0.32"/>
    <n v="46.27"/>
    <x v="2"/>
    <n v="58"/>
    <n v="94"/>
    <x v="148"/>
    <m/>
    <s v="Week 2"/>
    <x v="1"/>
  </r>
  <r>
    <n v="982"/>
    <x v="42"/>
    <n v="13"/>
    <x v="1"/>
    <n v="6"/>
    <n v="1"/>
    <x v="0"/>
    <x v="4"/>
    <s v="WARM"/>
    <n v="0.39389999999999997"/>
    <n v="0.28999999999999998"/>
    <n v="35.82"/>
    <x v="2"/>
    <n v="62"/>
    <n v="92"/>
    <x v="38"/>
    <m/>
    <s v="Week 2"/>
    <x v="1"/>
  </r>
  <r>
    <n v="983"/>
    <x v="42"/>
    <n v="14"/>
    <x v="1"/>
    <n v="6"/>
    <n v="2"/>
    <x v="1"/>
    <x v="9"/>
    <s v="WARM"/>
    <n v="0.40910000000000002"/>
    <n v="0.3"/>
    <n v="41.79"/>
    <x v="2"/>
    <n v="51"/>
    <n v="110"/>
    <x v="143"/>
    <m/>
    <s v="Week 2"/>
    <x v="1"/>
  </r>
  <r>
    <n v="984"/>
    <x v="42"/>
    <n v="15"/>
    <x v="1"/>
    <n v="6"/>
    <n v="2"/>
    <x v="1"/>
    <x v="9"/>
    <s v="WARM"/>
    <n v="0.40910000000000002"/>
    <n v="0.3"/>
    <n v="29.849999999999998"/>
    <x v="0"/>
    <n v="40"/>
    <n v="122"/>
    <x v="123"/>
    <m/>
    <s v="Week 2"/>
    <x v="1"/>
  </r>
  <r>
    <n v="985"/>
    <x v="42"/>
    <n v="16"/>
    <x v="1"/>
    <n v="6"/>
    <n v="2"/>
    <x v="1"/>
    <x v="6"/>
    <s v="WARM"/>
    <n v="0.42420000000000002"/>
    <n v="0.28000000000000003"/>
    <n v="32.840000000000003"/>
    <x v="2"/>
    <n v="28"/>
    <n v="106"/>
    <x v="87"/>
    <m/>
    <s v="Week 2"/>
    <x v="1"/>
  </r>
  <r>
    <n v="986"/>
    <x v="42"/>
    <n v="17"/>
    <x v="1"/>
    <n v="6"/>
    <n v="1"/>
    <x v="0"/>
    <x v="6"/>
    <s v="WARM"/>
    <n v="0.42420000000000002"/>
    <n v="0.28000000000000003"/>
    <n v="32.840000000000003"/>
    <x v="2"/>
    <n v="30"/>
    <n v="95"/>
    <x v="139"/>
    <m/>
    <s v="Week 2"/>
    <x v="1"/>
  </r>
  <r>
    <n v="987"/>
    <x v="42"/>
    <n v="18"/>
    <x v="1"/>
    <n v="6"/>
    <n v="1"/>
    <x v="0"/>
    <x v="9"/>
    <s v="WARM"/>
    <n v="0.40910000000000002"/>
    <n v="0.32"/>
    <n v="29.849999999999998"/>
    <x v="0"/>
    <n v="17"/>
    <n v="78"/>
    <x v="76"/>
    <m/>
    <s v="Week 2"/>
    <x v="1"/>
  </r>
  <r>
    <n v="988"/>
    <x v="42"/>
    <n v="19"/>
    <x v="1"/>
    <n v="6"/>
    <n v="1"/>
    <x v="0"/>
    <x v="9"/>
    <s v="WARM"/>
    <n v="0.40910000000000002"/>
    <n v="0.35"/>
    <n v="28.360000000000003"/>
    <x v="0"/>
    <n v="11"/>
    <n v="50"/>
    <x v="42"/>
    <m/>
    <s v="Week 2"/>
    <x v="1"/>
  </r>
  <r>
    <n v="989"/>
    <x v="42"/>
    <n v="20"/>
    <x v="1"/>
    <n v="6"/>
    <n v="1"/>
    <x v="0"/>
    <x v="9"/>
    <s v="WARM"/>
    <n v="0.40910000000000002"/>
    <n v="0.35"/>
    <n v="32.840000000000003"/>
    <x v="2"/>
    <n v="15"/>
    <n v="32"/>
    <x v="105"/>
    <m/>
    <s v="Week 2"/>
    <x v="1"/>
  </r>
  <r>
    <n v="990"/>
    <x v="42"/>
    <n v="21"/>
    <x v="1"/>
    <n v="6"/>
    <n v="1"/>
    <x v="0"/>
    <x v="9"/>
    <s v="WARM"/>
    <n v="0.40910000000000002"/>
    <n v="0.35"/>
    <n v="35.82"/>
    <x v="2"/>
    <n v="6"/>
    <n v="45"/>
    <x v="41"/>
    <m/>
    <s v="Week 2"/>
    <x v="1"/>
  </r>
  <r>
    <n v="991"/>
    <x v="42"/>
    <n v="22"/>
    <x v="1"/>
    <n v="6"/>
    <n v="1"/>
    <x v="0"/>
    <x v="9"/>
    <s v="WARM"/>
    <n v="0.40910000000000002"/>
    <n v="0.35"/>
    <n v="29.849999999999998"/>
    <x v="0"/>
    <n v="5"/>
    <n v="31"/>
    <x v="9"/>
    <m/>
    <s v="Week 2"/>
    <x v="1"/>
  </r>
  <r>
    <n v="992"/>
    <x v="42"/>
    <n v="23"/>
    <x v="1"/>
    <n v="6"/>
    <n v="1"/>
    <x v="0"/>
    <x v="9"/>
    <s v="WARM"/>
    <n v="0.40910000000000002"/>
    <n v="0.35"/>
    <n v="35.82"/>
    <x v="2"/>
    <n v="3"/>
    <n v="27"/>
    <x v="33"/>
    <m/>
    <s v="Week 2"/>
    <x v="1"/>
  </r>
  <r>
    <n v="993"/>
    <x v="43"/>
    <n v="0"/>
    <x v="1"/>
    <n v="7"/>
    <n v="1"/>
    <x v="0"/>
    <x v="4"/>
    <s v="WARM"/>
    <n v="0.39389999999999997"/>
    <n v="0.37"/>
    <n v="35.82"/>
    <x v="2"/>
    <n v="3"/>
    <n v="8"/>
    <x v="62"/>
    <m/>
    <s v="Week 2"/>
    <x v="1"/>
  </r>
  <r>
    <n v="994"/>
    <x v="43"/>
    <n v="1"/>
    <x v="1"/>
    <n v="7"/>
    <n v="1"/>
    <x v="0"/>
    <x v="4"/>
    <s v="WARM"/>
    <n v="0.39389999999999997"/>
    <n v="0.37"/>
    <n v="35.82"/>
    <x v="2"/>
    <n v="1"/>
    <n v="6"/>
    <x v="85"/>
    <m/>
    <s v="Week 2"/>
    <x v="1"/>
  </r>
  <r>
    <n v="995"/>
    <x v="43"/>
    <n v="2"/>
    <x v="1"/>
    <n v="7"/>
    <n v="1"/>
    <x v="0"/>
    <x v="5"/>
    <s v="WARM"/>
    <n v="0.33329999999999999"/>
    <n v="0.4"/>
    <n v="29.849999999999998"/>
    <x v="0"/>
    <n v="0"/>
    <n v="2"/>
    <x v="5"/>
    <m/>
    <s v="Week 2"/>
    <x v="1"/>
  </r>
  <r>
    <n v="996"/>
    <x v="43"/>
    <n v="3"/>
    <x v="1"/>
    <n v="7"/>
    <n v="1"/>
    <x v="0"/>
    <x v="10"/>
    <s v="WARM"/>
    <n v="0.31819999999999998"/>
    <n v="0.46"/>
    <n v="22.39"/>
    <x v="0"/>
    <n v="1"/>
    <n v="1"/>
    <x v="5"/>
    <m/>
    <s v="Week 2"/>
    <x v="1"/>
  </r>
  <r>
    <n v="997"/>
    <x v="43"/>
    <n v="4"/>
    <x v="1"/>
    <n v="7"/>
    <n v="1"/>
    <x v="0"/>
    <x v="3"/>
    <s v="WARM"/>
    <n v="0.30299999999999999"/>
    <n v="0.53"/>
    <n v="28.360000000000003"/>
    <x v="0"/>
    <n v="0"/>
    <n v="2"/>
    <x v="5"/>
    <m/>
    <s v="Week 2"/>
    <x v="1"/>
  </r>
  <r>
    <n v="998"/>
    <x v="43"/>
    <n v="5"/>
    <x v="1"/>
    <n v="7"/>
    <n v="1"/>
    <x v="0"/>
    <x v="3"/>
    <s v="WARM"/>
    <n v="0.30299999999999999"/>
    <n v="0.53"/>
    <n v="28.360000000000003"/>
    <x v="0"/>
    <n v="0"/>
    <n v="3"/>
    <x v="6"/>
    <m/>
    <s v="Week 2"/>
    <x v="1"/>
  </r>
  <r>
    <n v="999"/>
    <x v="43"/>
    <n v="6"/>
    <x v="1"/>
    <n v="7"/>
    <n v="1"/>
    <x v="0"/>
    <x v="10"/>
    <s v="WARM"/>
    <n v="0.30299999999999999"/>
    <n v="0.46"/>
    <n v="29.849999999999998"/>
    <x v="0"/>
    <n v="1"/>
    <n v="25"/>
    <x v="132"/>
    <m/>
    <s v="Week 2"/>
    <x v="1"/>
  </r>
  <r>
    <n v="1000"/>
    <x v="43"/>
    <n v="7"/>
    <x v="1"/>
    <n v="7"/>
    <n v="1"/>
    <x v="0"/>
    <x v="10"/>
    <s v="WARM"/>
    <n v="0.30299999999999999"/>
    <n v="0.46"/>
    <n v="29.849999999999998"/>
    <x v="0"/>
    <n v="2"/>
    <n v="96"/>
    <x v="95"/>
    <m/>
    <s v="Week 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DF3BF-DED3-4851-9234-DDFDE6F24ABA}"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X3:X4" firstHeaderRow="1" firstDataRow="1" firstDataCol="0"/>
  <pivotFields count="21">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44"/>
        <item t="default"/>
      </items>
    </pivotField>
    <pivotField showAll="0"/>
    <pivotField showAll="0"/>
    <pivotField showAll="0"/>
    <pivotField showAll="0"/>
    <pivotField showAll="0">
      <items count="4">
        <item x="0"/>
        <item x="2"/>
        <item x="1"/>
        <item t="default"/>
      </items>
    </pivotField>
    <pivotField showAll="0"/>
    <pivotField showAll="0">
      <items count="4">
        <item h="1" x="2"/>
        <item h="1" x="0"/>
        <item x="1"/>
        <item t="default"/>
      </items>
    </pivotField>
    <pivotField showAll="0"/>
    <pivotField showAll="0"/>
    <pivotField numFmtId="165" showAll="0"/>
    <pivotField showAll="0"/>
    <pivotField showAll="0"/>
    <pivotField showAll="0"/>
    <pivotField dataField="1" showAll="0"/>
    <pivotField showAll="0"/>
    <pivotField showAll="0"/>
    <pivotField showAll="0" defaultSubtotal="0">
      <items count="14">
        <item h="1" x="0"/>
        <item h="1" x="1"/>
        <item x="2"/>
        <item h="1" x="3"/>
        <item h="1" x="4"/>
        <item h="1" x="5"/>
        <item h="1" x="6"/>
        <item h="1" x="7"/>
        <item h="1" x="8"/>
        <item h="1" x="9"/>
        <item h="1" x="10"/>
        <item h="1" x="11"/>
        <item h="1" x="12"/>
        <item h="1" x="13"/>
      </items>
    </pivotField>
    <pivotField showAll="0" defaultSubtotal="0"/>
    <pivotField showAll="0" defaultSubtotal="0">
      <items count="3">
        <item x="0"/>
        <item x="1"/>
        <item x="2"/>
      </items>
    </pivotField>
  </pivotFields>
  <rowItems count="1">
    <i/>
  </rowItems>
  <colItems count="1">
    <i/>
  </colItems>
  <dataFields count="1">
    <dataField name="Sum of C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D9EFCF-3DFC-4F94-A7E2-661F457A4B67}"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5">
  <location ref="AM18:AN22" firstHeaderRow="1" firstDataRow="1" firstDataCol="1"/>
  <pivotFields count="21">
    <pivotField showAll="0"/>
    <pivotField numFmtId="164" showAll="0">
      <items count="46">
        <item h="1" x="0"/>
        <item h="1" x="1"/>
        <item h="1" x="2"/>
        <item h="1" x="3"/>
        <item h="1" x="4"/>
        <item h="1" x="5"/>
        <item h="1" x="6"/>
        <item h="1" x="7"/>
        <item h="1" x="8"/>
        <item h="1" x="9"/>
        <item h="1" x="10"/>
        <item h="1" x="11"/>
        <item h="1" x="12"/>
        <item h="1" x="13"/>
        <item h="1" x="14"/>
        <item h="1" x="15"/>
        <item h="1" x="16"/>
        <item h="1" x="17"/>
        <item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m="1"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4">
        <item x="0"/>
        <item x="2"/>
        <item x="1"/>
        <item t="default"/>
      </items>
    </pivotField>
    <pivotField showAll="0"/>
    <pivotField showAll="0">
      <items count="4">
        <item h="1" x="2"/>
        <item h="1" x="0"/>
        <item x="1"/>
        <item t="default"/>
      </items>
    </pivotField>
    <pivotField showAll="0"/>
    <pivotField showAll="0"/>
    <pivotField numFmtId="165" showAll="0"/>
    <pivotField axis="axisRow" showAll="0">
      <items count="4">
        <item x="2"/>
        <item x="1"/>
        <item x="0"/>
        <item t="default"/>
      </items>
    </pivotField>
    <pivotField showAll="0"/>
    <pivotField showAll="0"/>
    <pivotField dataField="1" showAll="0"/>
    <pivotField showAll="0"/>
    <pivotField showAll="0">
      <items count="6">
        <item x="0"/>
        <item x="1"/>
        <item x="2"/>
        <item x="3"/>
        <item x="4"/>
        <item t="default"/>
      </items>
    </pivotField>
    <pivotField showAll="0" defaultSubtotal="0">
      <items count="14">
        <item h="1" sd="0" x="0"/>
        <item h="1" sd="0" x="1"/>
        <item sd="0" x="2"/>
        <item h="1" sd="0" x="3"/>
        <item h="1" sd="0" x="4"/>
        <item h="1" sd="0" x="5"/>
        <item h="1" sd="0" x="6"/>
        <item h="1" sd="0" x="7"/>
        <item h="1" sd="0" x="8"/>
        <item h="1" sd="0" x="9"/>
        <item h="1" sd="0" x="10"/>
        <item h="1" sd="0" x="11"/>
        <item h="1" sd="0" x="12"/>
        <item h="1" sd="0" x="13"/>
      </items>
    </pivotField>
    <pivotField showAll="0" defaultSubtotal="0">
      <items count="6">
        <item sd="0" x="0"/>
        <item sd="0" x="1"/>
        <item sd="0" x="2"/>
        <item sd="0" x="3"/>
        <item sd="0" x="4"/>
        <item sd="0" x="5"/>
      </items>
    </pivotField>
    <pivotField showAll="0" defaultSubtotal="0">
      <items count="3">
        <item sd="0" x="0"/>
        <item sd="0" x="1"/>
        <item sd="0" x="2"/>
      </items>
    </pivotField>
  </pivotFields>
  <rowFields count="1">
    <field x="12"/>
  </rowFields>
  <rowItems count="4">
    <i>
      <x/>
    </i>
    <i>
      <x v="1"/>
    </i>
    <i>
      <x v="2"/>
    </i>
    <i t="grand">
      <x/>
    </i>
  </rowItems>
  <colItems count="1">
    <i/>
  </colItems>
  <dataFields count="1">
    <dataField name="Sum of Cnt" fld="15" baseField="0" baseItem="0"/>
  </dataFields>
  <chartFormats count="15">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12" count="1" selected="0">
            <x v="0"/>
          </reference>
        </references>
      </pivotArea>
    </chartFormat>
    <chartFormat chart="38" format="7">
      <pivotArea type="data" outline="0" fieldPosition="0">
        <references count="2">
          <reference field="4294967294" count="1" selected="0">
            <x v="0"/>
          </reference>
          <reference field="12" count="1" selected="0">
            <x v="1"/>
          </reference>
        </references>
      </pivotArea>
    </chartFormat>
    <chartFormat chart="38" format="8">
      <pivotArea type="data" outline="0" fieldPosition="0">
        <references count="2">
          <reference field="4294967294" count="1" selected="0">
            <x v="0"/>
          </reference>
          <reference field="12" count="1" selected="0">
            <x v="2"/>
          </reference>
        </references>
      </pivotArea>
    </chartFormat>
    <chartFormat chart="32" format="1">
      <pivotArea type="data" outline="0" fieldPosition="0">
        <references count="2">
          <reference field="4294967294" count="1" selected="0">
            <x v="0"/>
          </reference>
          <reference field="12" count="1" selected="0">
            <x v="0"/>
          </reference>
        </references>
      </pivotArea>
    </chartFormat>
    <chartFormat chart="32" format="2">
      <pivotArea type="data" outline="0" fieldPosition="0">
        <references count="2">
          <reference field="4294967294" count="1" selected="0">
            <x v="0"/>
          </reference>
          <reference field="12" count="1" selected="0">
            <x v="1"/>
          </reference>
        </references>
      </pivotArea>
    </chartFormat>
    <chartFormat chart="32"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49AA39-36AA-404C-B5B3-213CECBC0CED}"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5">
  <location ref="AB18:AC21" firstHeaderRow="1" firstDataRow="1" firstDataCol="1"/>
  <pivotFields count="21">
    <pivotField showAll="0"/>
    <pivotField numFmtId="164" showAll="0">
      <items count="46">
        <item h="1" x="0"/>
        <item h="1" x="1"/>
        <item h="1" x="2"/>
        <item h="1" x="3"/>
        <item h="1" x="4"/>
        <item h="1" x="5"/>
        <item h="1" x="6"/>
        <item h="1" x="7"/>
        <item h="1" x="8"/>
        <item h="1" x="9"/>
        <item h="1" x="10"/>
        <item h="1" x="11"/>
        <item h="1" x="12"/>
        <item h="1" x="13"/>
        <item h="1" x="14"/>
        <item h="1" x="15"/>
        <item h="1" x="16"/>
        <item h="1" x="17"/>
        <item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m="1" x="44"/>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4">
        <item x="0"/>
        <item x="2"/>
        <item x="1"/>
        <item t="default"/>
      </items>
    </pivotField>
    <pivotField showAll="0"/>
    <pivotField showAll="0">
      <items count="4">
        <item h="1" x="2"/>
        <item h="1" x="0"/>
        <item x="1"/>
        <item t="default"/>
      </items>
    </pivotField>
    <pivotField showAll="0"/>
    <pivotField showAll="0"/>
    <pivotField numFmtId="165" showAll="0"/>
    <pivotField showAll="0"/>
    <pivotField showAll="0"/>
    <pivotField showAll="0"/>
    <pivotField dataField="1" showAll="0"/>
    <pivotField showAll="0"/>
    <pivotField axis="axisRow" showAll="0">
      <items count="6">
        <item x="0"/>
        <item x="1"/>
        <item x="2"/>
        <item x="3"/>
        <item x="4"/>
        <item t="default"/>
      </items>
    </pivotField>
    <pivotField showAll="0" defaultSubtotal="0">
      <items count="14">
        <item h="1" sd="0" x="0"/>
        <item h="1" sd="0" x="1"/>
        <item sd="0" x="2"/>
        <item h="1" sd="0" x="3"/>
        <item h="1" sd="0" x="4"/>
        <item h="1" sd="0" x="5"/>
        <item h="1" sd="0" x="6"/>
        <item h="1" sd="0" x="7"/>
        <item h="1" sd="0" x="8"/>
        <item h="1" sd="0" x="9"/>
        <item h="1" sd="0" x="10"/>
        <item h="1" sd="0" x="11"/>
        <item h="1" sd="0" x="12"/>
        <item h="1" sd="0" x="13"/>
      </items>
    </pivotField>
    <pivotField showAll="0" defaultSubtotal="0">
      <items count="6">
        <item sd="0" x="0"/>
        <item sd="0" x="1"/>
        <item sd="0" x="2"/>
        <item sd="0" x="3"/>
        <item sd="0" x="4"/>
        <item sd="0" x="5"/>
      </items>
    </pivotField>
    <pivotField showAll="0" defaultSubtotal="0">
      <items count="3">
        <item sd="0" x="0"/>
        <item sd="0" x="1"/>
        <item sd="0" x="2"/>
      </items>
    </pivotField>
  </pivotFields>
  <rowFields count="1">
    <field x="17"/>
  </rowFields>
  <rowItems count="3">
    <i>
      <x/>
    </i>
    <i>
      <x v="1"/>
    </i>
    <i t="grand">
      <x/>
    </i>
  </rowItems>
  <colItems count="1">
    <i/>
  </colItems>
  <dataFields count="1">
    <dataField name="Sum of Cnt" fld="15" baseField="0" baseItem="0"/>
  </dataFields>
  <chartFormats count="7">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13A58B-8DA6-4EF4-9EE9-CD422AE7F4DC}"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B12:AB13" firstHeaderRow="1" firstDataRow="1" firstDataCol="0"/>
  <pivotFields count="21">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44"/>
        <item t="default"/>
      </items>
    </pivotField>
    <pivotField showAll="0"/>
    <pivotField showAll="0"/>
    <pivotField showAll="0"/>
    <pivotField showAll="0"/>
    <pivotField showAll="0">
      <items count="4">
        <item x="0"/>
        <item x="2"/>
        <item x="1"/>
        <item t="default"/>
      </items>
    </pivotField>
    <pivotField showAll="0"/>
    <pivotField showAll="0">
      <items count="4">
        <item h="1" x="2"/>
        <item h="1" x="0"/>
        <item x="1"/>
        <item t="default"/>
      </items>
    </pivotField>
    <pivotField showAll="0"/>
    <pivotField showAll="0"/>
    <pivotField numFmtId="165" showAll="0"/>
    <pivotField showAll="0"/>
    <pivotField showAll="0"/>
    <pivotField dataField="1" showAll="0"/>
    <pivotField showAll="0"/>
    <pivotField showAll="0"/>
    <pivotField showAll="0"/>
    <pivotField showAll="0" defaultSubtotal="0">
      <items count="14">
        <item h="1" x="0"/>
        <item h="1" x="1"/>
        <item x="2"/>
        <item h="1" x="3"/>
        <item h="1" x="4"/>
        <item h="1" x="5"/>
        <item h="1" x="6"/>
        <item h="1" x="7"/>
        <item h="1" x="8"/>
        <item h="1" x="9"/>
        <item h="1" x="10"/>
        <item h="1" x="11"/>
        <item h="1" x="12"/>
        <item h="1" x="13"/>
      </items>
    </pivotField>
    <pivotField showAll="0" defaultSubtotal="0"/>
    <pivotField showAll="0" defaultSubtotal="0">
      <items count="3">
        <item x="0"/>
        <item x="1"/>
        <item x="2"/>
      </items>
    </pivotField>
  </pivotFields>
  <rowItems count="1">
    <i/>
  </rowItems>
  <colItems count="1">
    <i/>
  </colItems>
  <dataFields count="1">
    <dataField name="Sum of Registered"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38C25D-B6DA-4E5F-8108-077939D8ECF7}"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B9:AB10" firstHeaderRow="1" firstDataRow="1" firstDataCol="0"/>
  <pivotFields count="21">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44"/>
        <item t="default"/>
      </items>
    </pivotField>
    <pivotField showAll="0"/>
    <pivotField showAll="0"/>
    <pivotField showAll="0"/>
    <pivotField showAll="0"/>
    <pivotField showAll="0">
      <items count="4">
        <item x="0"/>
        <item x="2"/>
        <item x="1"/>
        <item t="default"/>
      </items>
    </pivotField>
    <pivotField showAll="0"/>
    <pivotField showAll="0">
      <items count="4">
        <item h="1" x="2"/>
        <item h="1" x="0"/>
        <item x="1"/>
        <item t="default"/>
      </items>
    </pivotField>
    <pivotField showAll="0"/>
    <pivotField showAll="0"/>
    <pivotField numFmtId="165" showAll="0"/>
    <pivotField showAll="0"/>
    <pivotField dataField="1" showAll="0"/>
    <pivotField showAll="0"/>
    <pivotField showAll="0"/>
    <pivotField showAll="0"/>
    <pivotField showAll="0"/>
    <pivotField showAll="0" defaultSubtotal="0">
      <items count="14">
        <item h="1" x="0"/>
        <item h="1" x="1"/>
        <item x="2"/>
        <item h="1" x="3"/>
        <item h="1" x="4"/>
        <item h="1" x="5"/>
        <item h="1" x="6"/>
        <item h="1" x="7"/>
        <item h="1" x="8"/>
        <item h="1" x="9"/>
        <item h="1" x="10"/>
        <item h="1" x="11"/>
        <item h="1" x="12"/>
        <item h="1" x="13"/>
      </items>
    </pivotField>
    <pivotField showAll="0" defaultSubtotal="0"/>
    <pivotField showAll="0" defaultSubtotal="0">
      <items count="3">
        <item x="0"/>
        <item x="1"/>
        <item x="2"/>
      </items>
    </pivotField>
  </pivotFields>
  <rowItems count="1">
    <i/>
  </rowItems>
  <colItems count="1">
    <i/>
  </colItems>
  <dataFields count="1">
    <dataField name="Sum of Casual"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D72229-2D49-428D-928B-FE12803BB4B5}"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location ref="V8:W32" firstHeaderRow="1" firstDataRow="1" firstDataCol="1"/>
  <pivotFields count="21">
    <pivotField showAll="0"/>
    <pivotField numFmtId="16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m="1" x="44"/>
        <item t="default"/>
      </items>
    </pivotField>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items count="4">
        <item x="0"/>
        <item x="2"/>
        <item x="1"/>
        <item t="default"/>
      </items>
    </pivotField>
    <pivotField showAll="0"/>
    <pivotField showAll="0">
      <items count="4">
        <item h="1" x="2"/>
        <item h="1" x="0"/>
        <item x="1"/>
        <item t="default"/>
      </items>
    </pivotField>
    <pivotField showAll="0"/>
    <pivotField showAll="0"/>
    <pivotField numFmtId="165" showAll="0"/>
    <pivotField showAll="0"/>
    <pivotField showAll="0"/>
    <pivotField showAll="0"/>
    <pivotField dataField="1" showAll="0"/>
    <pivotField showAll="0"/>
    <pivotField showAll="0"/>
    <pivotField showAll="0" defaultSubtotal="0">
      <items count="14">
        <item h="1" sd="0" x="0"/>
        <item h="1" sd="0" x="1"/>
        <item sd="0" x="2"/>
        <item h="1" sd="0" x="3"/>
        <item h="1" sd="0" x="4"/>
        <item h="1" sd="0" x="5"/>
        <item h="1" sd="0" x="6"/>
        <item h="1" sd="0" x="7"/>
        <item h="1" sd="0" x="8"/>
        <item h="1" sd="0" x="9"/>
        <item h="1" sd="0" x="10"/>
        <item h="1" sd="0" x="11"/>
        <item h="1" sd="0" x="12"/>
        <item h="1" sd="0" x="13"/>
      </items>
    </pivotField>
    <pivotField showAll="0" defaultSubtotal="0">
      <items count="6">
        <item sd="0" x="0"/>
        <item sd="0" x="1"/>
        <item sd="0" x="2"/>
        <item sd="0" x="3"/>
        <item sd="0" x="4"/>
        <item sd="0" x="5"/>
      </items>
    </pivotField>
    <pivotField showAll="0" defaultSubtotal="0">
      <items count="3">
        <item sd="0" x="0"/>
        <item sd="0" x="1"/>
        <item sd="0" x="2"/>
      </items>
    </pivotField>
  </pivotFields>
  <rowFields count="1">
    <field x="2"/>
  </rowFields>
  <rowItems count="24">
    <i>
      <x/>
    </i>
    <i>
      <x v="1"/>
    </i>
    <i>
      <x v="2"/>
    </i>
    <i>
      <x v="3"/>
    </i>
    <i>
      <x v="4"/>
    </i>
    <i>
      <x v="5"/>
    </i>
    <i>
      <x v="6"/>
    </i>
    <i>
      <x v="7"/>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chartFormats count="5">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16F4F8-35F9-479D-BD1D-5AA84ABF79D6}" name="PivotTable29"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A3:C26" firstHeaderRow="0" firstDataRow="1" firstDataCol="1"/>
  <pivotFields count="20">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2"/>
        <item x="1"/>
      </items>
      <extLst>
        <ext xmlns:x14="http://schemas.microsoft.com/office/spreadsheetml/2009/9/main" uri="{2946ED86-A175-432a-8AC1-64E0C546D7DE}">
          <x14:pivotField fillDownLabels="1"/>
        </ext>
      </extLst>
    </pivotField>
    <pivotField axis="axisRow" compact="0" outline="0" showAll="0" defaultSubtotal="0">
      <items count="23">
        <item x="22"/>
        <item x="21"/>
        <item x="20"/>
        <item x="19"/>
        <item x="18"/>
        <item x="16"/>
        <item x="14"/>
        <item x="13"/>
        <item x="15"/>
        <item x="2"/>
        <item x="1"/>
        <item x="0"/>
        <item x="12"/>
        <item x="17"/>
        <item x="11"/>
        <item x="3"/>
        <item x="10"/>
        <item x="5"/>
        <item x="4"/>
        <item x="9"/>
        <item x="6"/>
        <item x="8"/>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s>
  <rowFields count="1">
    <field x="7"/>
  </rowFields>
  <rowItems count="23">
    <i>
      <x/>
    </i>
    <i>
      <x v="1"/>
    </i>
    <i>
      <x v="2"/>
    </i>
    <i>
      <x v="3"/>
    </i>
    <i>
      <x v="4"/>
    </i>
    <i>
      <x v="5"/>
    </i>
    <i>
      <x v="6"/>
    </i>
    <i>
      <x v="7"/>
    </i>
    <i>
      <x v="8"/>
    </i>
    <i>
      <x v="9"/>
    </i>
    <i>
      <x v="10"/>
    </i>
    <i>
      <x v="11"/>
    </i>
    <i>
      <x v="12"/>
    </i>
    <i>
      <x v="13"/>
    </i>
    <i>
      <x v="14"/>
    </i>
    <i>
      <x v="15"/>
    </i>
    <i>
      <x v="16"/>
    </i>
    <i>
      <x v="17"/>
    </i>
    <i>
      <x v="18"/>
    </i>
    <i>
      <x v="19"/>
    </i>
    <i>
      <x v="20"/>
    </i>
    <i>
      <x v="21"/>
    </i>
    <i>
      <x v="22"/>
    </i>
  </rowItems>
  <colFields count="1">
    <field x="-2"/>
  </colFields>
  <colItems count="2">
    <i>
      <x/>
    </i>
    <i i="1">
      <x v="1"/>
    </i>
  </colItems>
  <dataFields count="2">
    <dataField name="Sum of Cnt" fld="15" baseField="0" baseItem="0"/>
    <dataField name="Sum of Hum" fld="10" baseField="0" baseItem="0"/>
  </dataFields>
  <chartFormats count="2">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Status" xr10:uid="{5A13B6A1-DC81-40C9-89B4-ED4A464AB683}" sourceName="Temp Status">
  <pivotTables>
    <pivotTable tabId="10" name="PivotTable6"/>
    <pivotTable tabId="10" name="PivotTable1"/>
    <pivotTable tabId="10" name="PivotTable2"/>
    <pivotTable tabId="10" name="PivotTable5"/>
    <pivotTable tabId="10" name="PivotTable3"/>
    <pivotTable tabId="10" name="PivotTable7"/>
  </pivotTables>
  <data>
    <tabular pivotCacheId="47728638">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Day" xr10:uid="{7F3ACEE3-7F0E-4CE7-BF32-34234DFB0257}" sourceName="Months (Date Day)">
  <pivotTables>
    <pivotTable tabId="10" name="PivotTable6"/>
    <pivotTable tabId="10" name="PivotTable1"/>
    <pivotTable tabId="10" name="PivotTable2"/>
    <pivotTable tabId="10" name="PivotTable3"/>
    <pivotTable tabId="10" name="PivotTable5"/>
    <pivotTable tabId="10" name="PivotTable7"/>
  </pivotTables>
  <data>
    <tabular pivotCacheId="47728638">
      <items count="14">
        <i x="1"/>
        <i x="2" s="1"/>
        <i x="3" nd="1"/>
        <i x="4" nd="1"/>
        <i x="5" nd="1"/>
        <i x="6" nd="1"/>
        <i x="7" nd="1"/>
        <i x="8" nd="1"/>
        <i x="9" nd="1"/>
        <i x="10" nd="1"/>
        <i x="11" nd="1"/>
        <i x="12" nd="1"/>
        <i x="0" nd="1"/>
        <i x="1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tatus" xr10:uid="{E2805AB2-FE07-455B-92AB-301351E24056}" sourceName="Weather Status">
  <pivotTables>
    <pivotTable tabId="10" name="PivotTable6"/>
    <pivotTable tabId="10" name="PivotTable1"/>
    <pivotTable tabId="10" name="PivotTable2"/>
    <pivotTable tabId="10" name="PivotTable3"/>
    <pivotTable tabId="10" name="PivotTable5"/>
    <pivotTable tabId="10" name="PivotTable7"/>
  </pivotTables>
  <data>
    <tabular pivotCacheId="4772863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 Status" xr10:uid="{DC47DCE6-4B35-40FA-86ED-46E32CB7973F}" cache="Slicer_Temp_Status" caption="Temp Status" columnCount="2" style="SlicerStyleLight6" rowHeight="241300"/>
  <slicer name="Months (Date Day)" xr10:uid="{87C2A553-5CCF-4E01-9458-A1CC44DD8843}" cache="Slicer_Months__Date_Day" caption="Months (Date Day)" style="SlicerStyleLight6" rowHeight="241300"/>
  <slicer name="Weather Status" xr10:uid="{9025C79F-D2E5-4BF5-9E46-4F913D886129}" cache="Slicer_Weather_Status" caption="Weather Status" columnCount="2"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A866DC-AD1E-4BB1-B6C8-40FA8C17972C}" name="Table1" displayName="Table1" ref="A1:J611" totalsRowShown="0" headerRowDxfId="79" dataDxfId="77" headerRowBorderDxfId="78" tableBorderDxfId="76" totalsRowBorderDxfId="75">
  <autoFilter ref="A1:J611" xr:uid="{00000000-0001-0000-0000-000000000000}"/>
  <tableColumns count="10">
    <tableColumn id="1" xr3:uid="{4F5FEA23-00F2-486A-B7D9-687FB4C0C5A1}" name="Instant" dataDxfId="74"/>
    <tableColumn id="2" xr3:uid="{B1D951AC-FC8C-4157-934C-957C545A5B63}" name="Date Day" dataDxfId="73"/>
    <tableColumn id="3" xr3:uid="{40EC7953-828E-4D1D-ABF9-487A3E163DC6}" name="Season" dataDxfId="72"/>
    <tableColumn id="4" xr3:uid="{6B962AAC-3A1A-4559-8B19-D764426F7F53}" name="Year" dataDxfId="71"/>
    <tableColumn id="5" xr3:uid="{7EDD79FD-1396-45BD-B00D-F63F6D9FBE30}" name="Month" dataDxfId="70"/>
    <tableColumn id="6" xr3:uid="{949A4C30-7971-49D1-885B-C5723DDD05E9}" name="Hour" dataDxfId="69"/>
    <tableColumn id="7" xr3:uid="{8AFF1DB8-4D41-4E8B-9853-F712FCABC898}" name="Holiday" dataDxfId="68"/>
    <tableColumn id="8" xr3:uid="{E6253748-2CC1-464A-A716-E34C1194793B}" name="Weekday" dataDxfId="67">
      <calculatedColumnFormula>WEEKDAY($B2,2)</calculatedColumnFormula>
    </tableColumn>
    <tableColumn id="9" xr3:uid="{A9D1D4F2-C1C9-4C55-BD06-34EEF33B5354}" name="Weathersit" dataDxfId="66"/>
    <tableColumn id="10" xr3:uid="{569A9377-8442-4CA4-8540-5678A7AA9019}" name="Temp" dataDxfId="6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AB7566-ED92-41F9-B054-4FAB4E91CB33}" name="Table2" displayName="Table2" ref="A1:I611" totalsRowShown="0" headerRowDxfId="64" dataDxfId="62" headerRowBorderDxfId="63" tableBorderDxfId="61" totalsRowBorderDxfId="60">
  <autoFilter ref="A1:I611" xr:uid="{CC5E1A72-6A97-4166-9AD8-82ECDA4D1DFE}"/>
  <tableColumns count="9">
    <tableColumn id="1" xr3:uid="{3D279C10-A6CF-4C9F-AE9C-3CDD7CB8CF12}" name="Unnamed: 0" dataDxfId="59"/>
    <tableColumn id="2" xr3:uid="{A477AE5F-66E0-4CF6-BB09-914A2C2BA90E}" name="Instant" dataDxfId="58"/>
    <tableColumn id="3" xr3:uid="{A1DA5DAC-08CA-422E-AF98-2625B1F698D5}" name="Atemp" dataDxfId="57"/>
    <tableColumn id="4" xr3:uid="{1ACC297F-665C-4993-AB9D-7354030BAB09}" name="Hum" dataDxfId="56"/>
    <tableColumn id="5" xr3:uid="{AF0BE8D9-0450-47B0-9340-705D4F5684FB}" name="Windspeed" dataDxfId="55"/>
    <tableColumn id="6" xr3:uid="{8958A801-F937-4AB4-9D43-2E64F39AC22B}" name="Casual" dataDxfId="54"/>
    <tableColumn id="7" xr3:uid="{DC76E6A5-F174-4245-A9D5-726E2B547BC2}" name="Registered" dataDxfId="53"/>
    <tableColumn id="8" xr3:uid="{E6F4BE8B-D177-4FD6-82D7-5E1DC11E2140}" name="Cnt" dataDxfId="52"/>
    <tableColumn id="9" xr3:uid="{1099251B-D791-459A-8324-B1E2C52173BC}" name="Atemp Blank cells" dataDxfId="5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70CD6D-5BCD-4664-A4AF-F7B383E52D96}" name="Table3" displayName="Table3" ref="J1:L2" totalsRowShown="0" headerRowDxfId="50" dataDxfId="48" headerRowBorderDxfId="49" tableBorderDxfId="47" totalsRowBorderDxfId="46">
  <autoFilter ref="J1:L2" xr:uid="{C270CD6D-5BCD-4664-A4AF-F7B383E52D96}"/>
  <tableColumns count="3">
    <tableColumn id="1" xr3:uid="{A4EC0899-0AB6-4407-A8CF-96D5C1C9D0A3}" name="Avg_wind" dataDxfId="45">
      <calculatedColumnFormula>AVERAGE(E2:E611)</calculatedColumnFormula>
    </tableColumn>
    <tableColumn id="2" xr3:uid="{561AD36B-F771-46AA-9C11-DBBFF0FDF52B}" name="Average_Atemp after cell M" dataDxfId="44">
      <calculatedColumnFormula>AVERAGE(C2:C611)</calculatedColumnFormula>
    </tableColumn>
    <tableColumn id="3" xr3:uid="{28EAAB54-D80D-4ACD-BAEC-280FE57CCAE2}" name="Avg_Windspeed for &quot;0&quot;" dataDxfId="4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988A39-8EDC-46EF-A7E1-14BF22065FB8}" name="Table6" displayName="Table6" ref="A1:Q611" totalsRowShown="0" headerRowDxfId="42" dataDxfId="41">
  <autoFilter ref="A1:Q611" xr:uid="{45988A39-8EDC-46EF-A7E1-14BF22065FB8}">
    <filterColumn colId="1">
      <filters>
        <dateGroupItem year="2012" dateTimeGrouping="year"/>
      </filters>
    </filterColumn>
  </autoFilter>
  <tableColumns count="17">
    <tableColumn id="1" xr3:uid="{0939A75B-918E-4A41-8BEB-878264F0F946}" name="Instant" dataDxfId="40"/>
    <tableColumn id="2" xr3:uid="{EB5F6745-5229-4D71-B42D-93EE837DBA37}" name="Date Day" dataDxfId="39"/>
    <tableColumn id="3" xr3:uid="{405DBFF7-C1CD-4F7B-A450-17F449339B0A}" name="Season" dataDxfId="38"/>
    <tableColumn id="4" xr3:uid="{07E45206-6B11-4D4C-9306-1B79BCC6737E}" name="Year" dataDxfId="37"/>
    <tableColumn id="5" xr3:uid="{1675F15E-AADD-4DAA-B752-6190C046512F}" name="Month" dataDxfId="36"/>
    <tableColumn id="6" xr3:uid="{F47DB2DA-3815-4985-966D-B9E180AE0DEC}" name="Hour" dataDxfId="35"/>
    <tableColumn id="7" xr3:uid="{E8F75024-C6A5-4EE1-AD97-CBE7401A12C5}" name="Holiday" dataDxfId="34"/>
    <tableColumn id="8" xr3:uid="{A9CDE086-C197-4967-AA6D-6DB075B2E013}" name="Weekday" dataDxfId="33"/>
    <tableColumn id="9" xr3:uid="{E5347AF6-7DB6-4452-B317-B0790FA58A45}" name="Weathersit" dataDxfId="32"/>
    <tableColumn id="10" xr3:uid="{013BDA93-8DC5-4193-9D89-6124F75E6C53}" name="Temp" dataDxfId="31"/>
    <tableColumn id="13" xr3:uid="{6756E716-0294-40D7-84A8-D5371F9867BE}" name="Atemp" dataDxfId="30"/>
    <tableColumn id="14" xr3:uid="{6F49D9EE-0DDE-4F4E-9FC6-11DA2C8C84BA}" name="Hum" dataDxfId="29"/>
    <tableColumn id="15" xr3:uid="{30BA6D75-8A07-4717-A628-F0D50E64D4BB}" name="Windspeed" dataDxfId="28"/>
    <tableColumn id="16" xr3:uid="{54B4BE32-AA1F-4BF8-BF4B-5634E9EC7FD5}" name="Casual" dataDxfId="27"/>
    <tableColumn id="17" xr3:uid="{199D25E7-E4EE-4CB0-BD68-2D48C0C66F37}" name="Registered" dataDxfId="26"/>
    <tableColumn id="18" xr3:uid="{E47AD1C2-AADC-44D0-8769-D8547A54CDC4}" name="Cnt" dataDxfId="25"/>
    <tableColumn id="19" xr3:uid="{8DACA5A8-C319-4B84-B673-1198FC7832E4}" name="Atemp Blank cells" dataDxfId="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9B7E8D-9405-4822-8D79-FC053221C761}" name="Table8" displayName="Table8" ref="A33:S1033" totalsRowShown="0" headerRowDxfId="23" dataDxfId="21" headerRowBorderDxfId="22" tableBorderDxfId="20" totalsRowBorderDxfId="19">
  <autoFilter ref="A33:S1033" xr:uid="{799B7E8D-9405-4822-8D79-FC053221C761}"/>
  <tableColumns count="19">
    <tableColumn id="1" xr3:uid="{694A687F-B613-469F-AFCB-B486B2CEE2D8}" name="Instant" dataDxfId="18"/>
    <tableColumn id="2" xr3:uid="{450C66AB-C92C-48B5-84FB-79DFD715B734}" name="Date Day" dataDxfId="17"/>
    <tableColumn id="6" xr3:uid="{248977BB-C1C8-4702-8DD5-CE5A5EE70FCB}" name="Hour" dataDxfId="16"/>
    <tableColumn id="7" xr3:uid="{FC7E949D-8152-4F45-B196-3A3DF18A0CC6}" name="Holiday" dataDxfId="15">
      <calculatedColumnFormula>IF(COUNTIF(AU$36:AU$52,Table8[[#This Row],[Date Day]]) &gt; 0, TRUE, FALSE)</calculatedColumnFormula>
    </tableColumn>
    <tableColumn id="8" xr3:uid="{388E5AD5-4D96-4C9B-9DF0-CB6BCB68019F}" name="Weekdays" dataDxfId="14">
      <calculatedColumnFormula>WEEKDAY(B:B,2)</calculatedColumnFormula>
    </tableColumn>
    <tableColumn id="9" xr3:uid="{6AA2F02A-9897-40B1-A092-70AAABFB204E}" name="Weathersit" dataDxfId="13"/>
    <tableColumn id="17" xr3:uid="{2B01A972-4A17-48F1-B329-EDF7FFC8192F}" name="Weather Status" dataDxfId="12">
      <calculatedColumnFormula>IF(Table8[[#This Row],[Weathersit]]=1, "BAD", IF(Table8[[#This Row],[Weathersit]]=2, "MODERATE", IF(Table8[[#This Row],[Weathersit]]=3, "GOOD")))</calculatedColumnFormula>
    </tableColumn>
    <tableColumn id="10" xr3:uid="{B84401AD-C57D-4D03-9CC2-BE274CF27BA9}" name="Temp" dataDxfId="11"/>
    <tableColumn id="19" xr3:uid="{450150ED-B458-4084-A50B-341FEE26CFA5}" name="Temp Status" dataDxfId="10">
      <calculatedColumnFormula>IF(Table8[[#This Row],[Temp]]&lt;11, "COLD", IF(Table8[[#This Row],[Temp]]&lt;=25, "COMFORTABLE", "WARM"))</calculatedColumnFormula>
    </tableColumn>
    <tableColumn id="11" xr3:uid="{E8E97BFA-B470-43CE-8B70-01ABE088AA35}" name="Atemp" dataDxfId="9"/>
    <tableColumn id="12" xr3:uid="{E3BFC7D2-65D5-42A6-AEDE-53183DC75AF2}" name="Hum" dataDxfId="8"/>
    <tableColumn id="3" xr3:uid="{D3EFB721-54D0-49B3-A949-295AD1CE32BD}" name="Windspeed" dataDxfId="7"/>
    <tableColumn id="4" xr3:uid="{C4E2E81B-0FFD-474B-BFB3-E9D2F0CA5A0C}" name="Windspeed Range" dataDxfId="6"/>
    <tableColumn id="14" xr3:uid="{0102D37C-C4FA-4012-913B-2498B4ECB06A}" name="Casual" dataDxfId="5"/>
    <tableColumn id="15" xr3:uid="{61513E5E-2CBF-48CA-B09D-33F06EE0923A}" name="Registered" dataDxfId="4"/>
    <tableColumn id="16" xr3:uid="{95C25D0F-5BFC-448A-AB06-7DE4880CB1E4}" name="Cnt" dataDxfId="3"/>
    <tableColumn id="5" xr3:uid="{84EBC77A-F798-480B-959E-60B1CFA69B0B}" name="Column1" dataDxfId="2"/>
    <tableColumn id="13" xr3:uid="{71C0F30F-10E7-4B43-972E-77603CA53189}" name="Week" dataDxfId="1">
      <calculatedColumnFormula>"Week " &amp; INT((DAY(B34)-1)/7)+1</calculatedColumnFormula>
    </tableColumn>
    <tableColumn id="18" xr3:uid="{DCDBE2AC-1520-4E28-813A-9BCE21C3D1BA}" name="Month" dataDxfId="0">
      <calculatedColumnFormula>TEXT(Table8[[#This Row],[Date Day]],"mmm,YYYY")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pane ySplit="1" topLeftCell="A605" activePane="bottomLeft" state="frozen"/>
      <selection pane="bottomLeft" activeCell="C627" sqref="C627"/>
    </sheetView>
  </sheetViews>
  <sheetFormatPr defaultRowHeight="14.4" x14ac:dyDescent="0.3"/>
  <cols>
    <col min="2" max="2" width="16.44140625" customWidth="1"/>
    <col min="3" max="3" width="9.21875" customWidth="1"/>
    <col min="7" max="7" width="9.21875" customWidth="1"/>
    <col min="8" max="8" width="10.6640625" customWidth="1"/>
    <col min="9" max="9" width="12.21875" customWidth="1"/>
  </cols>
  <sheetData>
    <row r="1" spans="1:25" ht="15" thickBot="1" x14ac:dyDescent="0.35">
      <c r="A1" s="11" t="s">
        <v>23</v>
      </c>
      <c r="B1" s="12" t="s">
        <v>24</v>
      </c>
      <c r="C1" s="12" t="s">
        <v>25</v>
      </c>
      <c r="D1" s="12" t="s">
        <v>26</v>
      </c>
      <c r="E1" s="12" t="s">
        <v>27</v>
      </c>
      <c r="F1" s="12" t="s">
        <v>28</v>
      </c>
      <c r="G1" s="12" t="s">
        <v>29</v>
      </c>
      <c r="H1" s="12" t="s">
        <v>30</v>
      </c>
      <c r="I1" s="12" t="s">
        <v>31</v>
      </c>
      <c r="J1" s="13" t="s">
        <v>32</v>
      </c>
      <c r="K1" s="1"/>
      <c r="L1" s="1"/>
      <c r="M1" s="1"/>
      <c r="N1" s="1"/>
      <c r="O1" s="1"/>
      <c r="P1" s="1"/>
      <c r="Q1" s="1"/>
      <c r="R1" s="1"/>
      <c r="S1" s="1"/>
      <c r="T1" s="1"/>
      <c r="U1" s="1"/>
      <c r="V1" s="1"/>
      <c r="W1" s="1"/>
      <c r="X1" s="1"/>
      <c r="Y1" s="1"/>
    </row>
    <row r="2" spans="1:25" ht="15" thickBot="1" x14ac:dyDescent="0.35">
      <c r="A2" s="9">
        <v>1</v>
      </c>
      <c r="B2" s="8">
        <v>40544</v>
      </c>
      <c r="C2" s="7">
        <v>1</v>
      </c>
      <c r="D2" s="7">
        <v>0</v>
      </c>
      <c r="E2" s="7">
        <v>1</v>
      </c>
      <c r="F2" s="7">
        <v>0</v>
      </c>
      <c r="G2" s="7" t="b">
        <v>0</v>
      </c>
      <c r="H2" s="7">
        <f>WEEKDAY($B2,2)</f>
        <v>6</v>
      </c>
      <c r="I2" s="7">
        <v>1</v>
      </c>
      <c r="J2" s="10">
        <v>0.24</v>
      </c>
      <c r="K2" s="1"/>
      <c r="L2" s="1"/>
      <c r="M2" s="1"/>
      <c r="N2" s="1"/>
      <c r="O2" s="1"/>
      <c r="P2" s="1"/>
      <c r="Q2" s="1"/>
      <c r="R2" s="1"/>
      <c r="S2" s="1"/>
      <c r="T2" s="1"/>
      <c r="U2" s="1"/>
      <c r="V2" s="1"/>
      <c r="W2" s="1"/>
      <c r="X2" s="1"/>
      <c r="Y2" s="1"/>
    </row>
    <row r="3" spans="1:25" ht="15" thickBot="1" x14ac:dyDescent="0.35">
      <c r="A3" s="9">
        <v>2</v>
      </c>
      <c r="B3" s="8">
        <v>40544</v>
      </c>
      <c r="C3" s="7">
        <v>1</v>
      </c>
      <c r="D3" s="7">
        <v>0</v>
      </c>
      <c r="E3" s="7">
        <v>1</v>
      </c>
      <c r="F3" s="7">
        <v>1</v>
      </c>
      <c r="G3" s="7" t="b">
        <v>0</v>
      </c>
      <c r="H3" s="7">
        <f>WEEKDAY($B3,2)</f>
        <v>6</v>
      </c>
      <c r="I3" s="7">
        <v>1</v>
      </c>
      <c r="J3" s="10">
        <v>0.22</v>
      </c>
      <c r="K3" s="1"/>
      <c r="L3" s="1"/>
      <c r="M3" s="1"/>
      <c r="N3" s="1"/>
      <c r="O3" s="1"/>
      <c r="P3" s="1"/>
      <c r="Q3" s="1"/>
      <c r="R3" s="1"/>
      <c r="S3" s="1"/>
      <c r="T3" s="1"/>
      <c r="U3" s="1"/>
      <c r="V3" s="1"/>
      <c r="W3" s="1"/>
      <c r="X3" s="1"/>
      <c r="Y3" s="1"/>
    </row>
    <row r="4" spans="1:25" ht="15" thickBot="1" x14ac:dyDescent="0.35">
      <c r="A4" s="9">
        <v>3</v>
      </c>
      <c r="B4" s="8">
        <v>40544</v>
      </c>
      <c r="C4" s="7">
        <v>1</v>
      </c>
      <c r="D4" s="7">
        <v>0</v>
      </c>
      <c r="E4" s="7">
        <v>1</v>
      </c>
      <c r="F4" s="7">
        <v>2</v>
      </c>
      <c r="G4" s="7" t="b">
        <v>0</v>
      </c>
      <c r="H4" s="7">
        <f t="shared" ref="H4:H66" si="0">WEEKDAY($B4,2)</f>
        <v>6</v>
      </c>
      <c r="I4" s="7">
        <v>1</v>
      </c>
      <c r="J4" s="10">
        <v>0.22</v>
      </c>
      <c r="K4" s="1"/>
      <c r="L4" s="1"/>
      <c r="M4" s="1"/>
      <c r="N4" s="1"/>
      <c r="O4" s="1"/>
      <c r="P4" s="1"/>
      <c r="Q4" s="1"/>
      <c r="R4" s="1"/>
      <c r="S4" s="1"/>
      <c r="T4" s="1"/>
      <c r="U4" s="1"/>
      <c r="V4" s="1"/>
      <c r="W4" s="1"/>
      <c r="X4" s="1"/>
      <c r="Y4" s="1"/>
    </row>
    <row r="5" spans="1:25" ht="15" thickBot="1" x14ac:dyDescent="0.35">
      <c r="A5" s="9">
        <v>4</v>
      </c>
      <c r="B5" s="8">
        <v>40544</v>
      </c>
      <c r="C5" s="7">
        <v>1</v>
      </c>
      <c r="D5" s="7">
        <v>0</v>
      </c>
      <c r="E5" s="7">
        <v>1</v>
      </c>
      <c r="F5" s="7">
        <v>3</v>
      </c>
      <c r="G5" s="7" t="b">
        <v>0</v>
      </c>
      <c r="H5" s="7">
        <f t="shared" si="0"/>
        <v>6</v>
      </c>
      <c r="I5" s="7">
        <v>1</v>
      </c>
      <c r="J5" s="10">
        <v>0.24</v>
      </c>
      <c r="K5" s="1"/>
      <c r="L5" s="1"/>
      <c r="M5" s="1"/>
      <c r="N5" s="1"/>
      <c r="O5" s="1"/>
      <c r="P5" s="1"/>
      <c r="Q5" s="1"/>
      <c r="R5" s="1"/>
      <c r="S5" s="1"/>
      <c r="T5" s="1"/>
      <c r="U5" s="1"/>
      <c r="V5" s="1"/>
      <c r="W5" s="1"/>
      <c r="X5" s="1"/>
      <c r="Y5" s="1"/>
    </row>
    <row r="6" spans="1:25" ht="15" thickBot="1" x14ac:dyDescent="0.35">
      <c r="A6" s="9">
        <v>5</v>
      </c>
      <c r="B6" s="8">
        <v>40544</v>
      </c>
      <c r="C6" s="7">
        <v>1</v>
      </c>
      <c r="D6" s="7">
        <v>0</v>
      </c>
      <c r="E6" s="7">
        <v>1</v>
      </c>
      <c r="F6" s="7">
        <v>4</v>
      </c>
      <c r="G6" s="7" t="b">
        <v>0</v>
      </c>
      <c r="H6" s="7">
        <f t="shared" si="0"/>
        <v>6</v>
      </c>
      <c r="I6" s="7">
        <v>1</v>
      </c>
      <c r="J6" s="10">
        <v>0.24</v>
      </c>
      <c r="K6" s="1"/>
      <c r="L6" s="1"/>
      <c r="M6" s="1"/>
      <c r="N6" s="1"/>
      <c r="O6" s="1"/>
      <c r="P6" s="1"/>
      <c r="Q6" s="1"/>
      <c r="R6" s="1"/>
      <c r="S6" s="1"/>
      <c r="T6" s="1"/>
      <c r="U6" s="1"/>
      <c r="V6" s="1"/>
      <c r="W6" s="1"/>
      <c r="X6" s="1"/>
      <c r="Y6" s="1"/>
    </row>
    <row r="7" spans="1:25" ht="15" thickBot="1" x14ac:dyDescent="0.35">
      <c r="A7" s="9">
        <v>6</v>
      </c>
      <c r="B7" s="8">
        <v>40544</v>
      </c>
      <c r="C7" s="7">
        <v>1</v>
      </c>
      <c r="D7" s="7">
        <v>0</v>
      </c>
      <c r="E7" s="7">
        <v>1</v>
      </c>
      <c r="F7" s="7">
        <v>5</v>
      </c>
      <c r="G7" s="7" t="b">
        <v>0</v>
      </c>
      <c r="H7" s="7">
        <f t="shared" si="0"/>
        <v>6</v>
      </c>
      <c r="I7" s="7">
        <v>2</v>
      </c>
      <c r="J7" s="10">
        <v>0.24</v>
      </c>
      <c r="K7" s="1"/>
      <c r="L7" s="1"/>
      <c r="M7" s="1"/>
      <c r="N7" s="1"/>
      <c r="O7" s="1"/>
      <c r="P7" s="1"/>
      <c r="Q7" s="1"/>
      <c r="R7" s="1"/>
      <c r="S7" s="1"/>
      <c r="T7" s="1"/>
      <c r="U7" s="1"/>
      <c r="V7" s="1"/>
      <c r="W7" s="1"/>
      <c r="X7" s="1"/>
      <c r="Y7" s="1"/>
    </row>
    <row r="8" spans="1:25" ht="15" thickBot="1" x14ac:dyDescent="0.35">
      <c r="A8" s="9">
        <v>7</v>
      </c>
      <c r="B8" s="8">
        <v>40544</v>
      </c>
      <c r="C8" s="7">
        <v>1</v>
      </c>
      <c r="D8" s="7">
        <v>0</v>
      </c>
      <c r="E8" s="7">
        <v>1</v>
      </c>
      <c r="F8" s="7">
        <v>6</v>
      </c>
      <c r="G8" s="7" t="b">
        <v>0</v>
      </c>
      <c r="H8" s="7">
        <f t="shared" si="0"/>
        <v>6</v>
      </c>
      <c r="I8" s="7">
        <v>1</v>
      </c>
      <c r="J8" s="10">
        <v>0.22</v>
      </c>
      <c r="K8" s="1"/>
      <c r="L8" s="1"/>
      <c r="M8" s="1"/>
      <c r="N8" s="1"/>
      <c r="O8" s="1"/>
      <c r="P8" s="1"/>
      <c r="Q8" s="1"/>
      <c r="R8" s="1"/>
      <c r="S8" s="1"/>
      <c r="T8" s="1"/>
      <c r="U8" s="1"/>
      <c r="V8" s="1"/>
      <c r="W8" s="1"/>
      <c r="X8" s="1"/>
      <c r="Y8" s="1"/>
    </row>
    <row r="9" spans="1:25" ht="15" thickBot="1" x14ac:dyDescent="0.35">
      <c r="A9" s="9">
        <v>8</v>
      </c>
      <c r="B9" s="8">
        <v>40544</v>
      </c>
      <c r="C9" s="7">
        <v>1</v>
      </c>
      <c r="D9" s="7">
        <v>0</v>
      </c>
      <c r="E9" s="7">
        <v>1</v>
      </c>
      <c r="F9" s="7">
        <v>7</v>
      </c>
      <c r="G9" s="7" t="b">
        <v>0</v>
      </c>
      <c r="H9" s="7">
        <f t="shared" si="0"/>
        <v>6</v>
      </c>
      <c r="I9" s="7">
        <v>1</v>
      </c>
      <c r="J9" s="10">
        <v>0.2</v>
      </c>
      <c r="K9" s="1"/>
      <c r="L9" s="1"/>
      <c r="M9" s="1"/>
      <c r="N9" s="1"/>
      <c r="O9" s="1"/>
      <c r="P9" s="1"/>
      <c r="Q9" s="1"/>
      <c r="R9" s="1"/>
      <c r="S9" s="1"/>
      <c r="T9" s="1"/>
      <c r="U9" s="1"/>
      <c r="V9" s="1"/>
      <c r="W9" s="1"/>
      <c r="X9" s="1"/>
      <c r="Y9" s="1"/>
    </row>
    <row r="10" spans="1:25" ht="15" thickBot="1" x14ac:dyDescent="0.35">
      <c r="A10" s="9">
        <v>9</v>
      </c>
      <c r="B10" s="8">
        <v>40544</v>
      </c>
      <c r="C10" s="7">
        <v>1</v>
      </c>
      <c r="D10" s="7">
        <v>0</v>
      </c>
      <c r="E10" s="7">
        <v>1</v>
      </c>
      <c r="F10" s="7">
        <v>8</v>
      </c>
      <c r="G10" s="7" t="b">
        <v>0</v>
      </c>
      <c r="H10" s="7">
        <f t="shared" si="0"/>
        <v>6</v>
      </c>
      <c r="I10" s="7">
        <v>1</v>
      </c>
      <c r="J10" s="10">
        <v>0.24</v>
      </c>
      <c r="K10" s="1"/>
      <c r="L10" s="1"/>
      <c r="M10" s="1"/>
      <c r="N10" s="1"/>
      <c r="O10" s="1"/>
      <c r="P10" s="1"/>
      <c r="Q10" s="1"/>
      <c r="R10" s="1"/>
      <c r="S10" s="1"/>
      <c r="T10" s="1"/>
      <c r="U10" s="1"/>
      <c r="V10" s="1"/>
      <c r="W10" s="1"/>
      <c r="X10" s="1"/>
      <c r="Y10" s="1"/>
    </row>
    <row r="11" spans="1:25" ht="15" thickBot="1" x14ac:dyDescent="0.35">
      <c r="A11" s="9">
        <v>10</v>
      </c>
      <c r="B11" s="8">
        <v>40544</v>
      </c>
      <c r="C11" s="7">
        <v>1</v>
      </c>
      <c r="D11" s="7">
        <v>0</v>
      </c>
      <c r="E11" s="7">
        <v>1</v>
      </c>
      <c r="F11" s="7">
        <v>9</v>
      </c>
      <c r="G11" s="7" t="b">
        <v>0</v>
      </c>
      <c r="H11" s="7">
        <f t="shared" si="0"/>
        <v>6</v>
      </c>
      <c r="I11" s="7">
        <v>1</v>
      </c>
      <c r="J11" s="10">
        <v>0.32</v>
      </c>
      <c r="K11" s="1"/>
      <c r="L11" s="1"/>
      <c r="M11" s="1"/>
      <c r="N11" s="1"/>
      <c r="O11" s="1"/>
      <c r="P11" s="1"/>
      <c r="Q11" s="1"/>
      <c r="R11" s="1"/>
      <c r="S11" s="1"/>
      <c r="T11" s="1"/>
      <c r="U11" s="1"/>
      <c r="V11" s="1"/>
      <c r="W11" s="1"/>
      <c r="X11" s="1"/>
      <c r="Y11" s="1"/>
    </row>
    <row r="12" spans="1:25" ht="15" thickBot="1" x14ac:dyDescent="0.35">
      <c r="A12" s="9">
        <v>11</v>
      </c>
      <c r="B12" s="8">
        <v>40544</v>
      </c>
      <c r="C12" s="7">
        <v>1</v>
      </c>
      <c r="D12" s="7">
        <v>0</v>
      </c>
      <c r="E12" s="7">
        <v>1</v>
      </c>
      <c r="F12" s="7">
        <v>10</v>
      </c>
      <c r="G12" s="7" t="b">
        <v>0</v>
      </c>
      <c r="H12" s="7">
        <f t="shared" si="0"/>
        <v>6</v>
      </c>
      <c r="I12" s="7">
        <v>1</v>
      </c>
      <c r="J12" s="10">
        <v>0.38</v>
      </c>
      <c r="K12" s="1"/>
      <c r="L12" s="1"/>
      <c r="M12" s="1"/>
      <c r="N12" s="1"/>
      <c r="O12" s="1"/>
      <c r="P12" s="1"/>
      <c r="Q12" s="1"/>
      <c r="R12" s="1"/>
      <c r="S12" s="1"/>
      <c r="T12" s="1"/>
      <c r="U12" s="1"/>
      <c r="V12" s="1"/>
      <c r="W12" s="1"/>
      <c r="X12" s="1"/>
      <c r="Y12" s="1"/>
    </row>
    <row r="13" spans="1:25" ht="15" thickBot="1" x14ac:dyDescent="0.35">
      <c r="A13" s="9">
        <v>12</v>
      </c>
      <c r="B13" s="8">
        <v>40544</v>
      </c>
      <c r="C13" s="7">
        <v>1</v>
      </c>
      <c r="D13" s="7">
        <v>0</v>
      </c>
      <c r="E13" s="7">
        <v>1</v>
      </c>
      <c r="F13" s="7">
        <v>11</v>
      </c>
      <c r="G13" s="7" t="b">
        <v>0</v>
      </c>
      <c r="H13" s="7">
        <f t="shared" si="0"/>
        <v>6</v>
      </c>
      <c r="I13" s="7">
        <v>1</v>
      </c>
      <c r="J13" s="10">
        <v>0.36</v>
      </c>
      <c r="K13" s="1"/>
      <c r="L13" s="1"/>
      <c r="M13" s="1"/>
      <c r="N13" s="1"/>
      <c r="O13" s="1"/>
      <c r="P13" s="1"/>
      <c r="Q13" s="1"/>
      <c r="R13" s="1"/>
      <c r="S13" s="1"/>
      <c r="T13" s="1"/>
      <c r="U13" s="1"/>
      <c r="V13" s="1"/>
      <c r="W13" s="1"/>
      <c r="X13" s="1"/>
      <c r="Y13" s="1"/>
    </row>
    <row r="14" spans="1:25" ht="15" thickBot="1" x14ac:dyDescent="0.35">
      <c r="A14" s="9">
        <v>13</v>
      </c>
      <c r="B14" s="8">
        <v>40544</v>
      </c>
      <c r="C14" s="7">
        <v>1</v>
      </c>
      <c r="D14" s="7">
        <v>0</v>
      </c>
      <c r="E14" s="7">
        <v>1</v>
      </c>
      <c r="F14" s="7">
        <v>12</v>
      </c>
      <c r="G14" s="7" t="b">
        <v>0</v>
      </c>
      <c r="H14" s="7">
        <f t="shared" si="0"/>
        <v>6</v>
      </c>
      <c r="I14" s="7">
        <v>1</v>
      </c>
      <c r="J14" s="10">
        <v>0.42</v>
      </c>
      <c r="K14" s="1"/>
      <c r="L14" s="1"/>
      <c r="M14" s="1"/>
      <c r="N14" s="1"/>
      <c r="O14" s="1"/>
      <c r="P14" s="1"/>
      <c r="Q14" s="1"/>
      <c r="R14" s="1"/>
      <c r="S14" s="1"/>
      <c r="T14" s="1"/>
      <c r="U14" s="1"/>
      <c r="V14" s="1"/>
      <c r="W14" s="1"/>
      <c r="X14" s="1"/>
      <c r="Y14" s="1"/>
    </row>
    <row r="15" spans="1:25" ht="15" thickBot="1" x14ac:dyDescent="0.35">
      <c r="A15" s="9">
        <v>14</v>
      </c>
      <c r="B15" s="8">
        <v>40544</v>
      </c>
      <c r="C15" s="7">
        <v>1</v>
      </c>
      <c r="D15" s="7">
        <v>0</v>
      </c>
      <c r="E15" s="7">
        <v>1</v>
      </c>
      <c r="F15" s="7">
        <v>13</v>
      </c>
      <c r="G15" s="7" t="b">
        <v>0</v>
      </c>
      <c r="H15" s="7">
        <f t="shared" si="0"/>
        <v>6</v>
      </c>
      <c r="I15" s="7">
        <v>2</v>
      </c>
      <c r="J15" s="10">
        <v>0.46</v>
      </c>
      <c r="K15" s="1"/>
      <c r="L15" s="1"/>
      <c r="M15" s="1"/>
      <c r="N15" s="1"/>
      <c r="O15" s="1"/>
      <c r="P15" s="1"/>
      <c r="Q15" s="1"/>
      <c r="R15" s="1"/>
      <c r="S15" s="1"/>
      <c r="T15" s="1"/>
      <c r="U15" s="1"/>
      <c r="V15" s="1"/>
      <c r="W15" s="1"/>
      <c r="X15" s="1"/>
      <c r="Y15" s="1"/>
    </row>
    <row r="16" spans="1:25" ht="15" thickBot="1" x14ac:dyDescent="0.35">
      <c r="A16" s="9">
        <v>15</v>
      </c>
      <c r="B16" s="8">
        <v>40544</v>
      </c>
      <c r="C16" s="7">
        <v>1</v>
      </c>
      <c r="D16" s="7">
        <v>0</v>
      </c>
      <c r="E16" s="7">
        <v>1</v>
      </c>
      <c r="F16" s="7">
        <v>14</v>
      </c>
      <c r="G16" s="7" t="b">
        <v>0</v>
      </c>
      <c r="H16" s="7">
        <f t="shared" si="0"/>
        <v>6</v>
      </c>
      <c r="I16" s="7">
        <v>2</v>
      </c>
      <c r="J16" s="10">
        <v>0.46</v>
      </c>
      <c r="K16" s="1"/>
      <c r="L16" s="1"/>
      <c r="M16" s="1"/>
      <c r="N16" s="1"/>
      <c r="O16" s="1"/>
      <c r="P16" s="1"/>
      <c r="Q16" s="1"/>
      <c r="R16" s="1"/>
      <c r="S16" s="1"/>
      <c r="T16" s="1"/>
      <c r="U16" s="1"/>
      <c r="V16" s="1"/>
      <c r="W16" s="1"/>
      <c r="X16" s="1"/>
      <c r="Y16" s="1"/>
    </row>
    <row r="17" spans="1:25" ht="15" thickBot="1" x14ac:dyDescent="0.35">
      <c r="A17" s="9">
        <v>16</v>
      </c>
      <c r="B17" s="8">
        <v>40544</v>
      </c>
      <c r="C17" s="7">
        <v>1</v>
      </c>
      <c r="D17" s="7">
        <v>0</v>
      </c>
      <c r="E17" s="7">
        <v>1</v>
      </c>
      <c r="F17" s="7">
        <v>15</v>
      </c>
      <c r="G17" s="7" t="b">
        <v>0</v>
      </c>
      <c r="H17" s="7">
        <f t="shared" si="0"/>
        <v>6</v>
      </c>
      <c r="I17" s="7">
        <v>2</v>
      </c>
      <c r="J17" s="10">
        <v>0.44</v>
      </c>
      <c r="K17" s="1"/>
      <c r="L17" s="1"/>
      <c r="M17" s="1"/>
      <c r="N17" s="1"/>
      <c r="O17" s="1"/>
      <c r="P17" s="1"/>
      <c r="Q17" s="1"/>
      <c r="R17" s="1"/>
      <c r="S17" s="1"/>
      <c r="T17" s="1"/>
      <c r="U17" s="1"/>
      <c r="V17" s="1"/>
      <c r="W17" s="1"/>
      <c r="X17" s="1"/>
      <c r="Y17" s="1"/>
    </row>
    <row r="18" spans="1:25" ht="15" thickBot="1" x14ac:dyDescent="0.35">
      <c r="A18" s="9">
        <v>17</v>
      </c>
      <c r="B18" s="8">
        <v>40544</v>
      </c>
      <c r="C18" s="7">
        <v>1</v>
      </c>
      <c r="D18" s="7">
        <v>0</v>
      </c>
      <c r="E18" s="7">
        <v>1</v>
      </c>
      <c r="F18" s="7">
        <v>16</v>
      </c>
      <c r="G18" s="7" t="b">
        <v>0</v>
      </c>
      <c r="H18" s="7">
        <f t="shared" si="0"/>
        <v>6</v>
      </c>
      <c r="I18" s="7">
        <v>2</v>
      </c>
      <c r="J18" s="10">
        <v>0.42</v>
      </c>
      <c r="K18" s="1"/>
      <c r="L18" s="1"/>
      <c r="M18" s="1"/>
      <c r="N18" s="1"/>
      <c r="O18" s="1"/>
      <c r="P18" s="1"/>
      <c r="Q18" s="1"/>
      <c r="R18" s="1"/>
      <c r="S18" s="1"/>
      <c r="T18" s="1"/>
      <c r="U18" s="1"/>
      <c r="V18" s="1"/>
      <c r="W18" s="1"/>
      <c r="X18" s="1"/>
      <c r="Y18" s="1"/>
    </row>
    <row r="19" spans="1:25" ht="15" thickBot="1" x14ac:dyDescent="0.35">
      <c r="A19" s="9">
        <v>18</v>
      </c>
      <c r="B19" s="8">
        <v>40544</v>
      </c>
      <c r="C19" s="7">
        <v>1</v>
      </c>
      <c r="D19" s="7">
        <v>0</v>
      </c>
      <c r="E19" s="7">
        <v>1</v>
      </c>
      <c r="F19" s="7">
        <v>17</v>
      </c>
      <c r="G19" s="7" t="b">
        <v>0</v>
      </c>
      <c r="H19" s="7">
        <f t="shared" si="0"/>
        <v>6</v>
      </c>
      <c r="I19" s="7">
        <v>2</v>
      </c>
      <c r="J19" s="10">
        <v>0.44</v>
      </c>
      <c r="K19" s="1"/>
      <c r="L19" s="1"/>
      <c r="M19" s="1"/>
      <c r="N19" s="1"/>
      <c r="O19" s="1"/>
      <c r="P19" s="1"/>
      <c r="Q19" s="1"/>
      <c r="R19" s="1"/>
      <c r="S19" s="1"/>
      <c r="T19" s="1"/>
      <c r="U19" s="1"/>
      <c r="V19" s="1"/>
      <c r="W19" s="1"/>
      <c r="X19" s="1"/>
      <c r="Y19" s="1"/>
    </row>
    <row r="20" spans="1:25" ht="15" thickBot="1" x14ac:dyDescent="0.35">
      <c r="A20" s="9">
        <v>19</v>
      </c>
      <c r="B20" s="8">
        <v>40544</v>
      </c>
      <c r="C20" s="7">
        <v>1</v>
      </c>
      <c r="D20" s="7">
        <v>0</v>
      </c>
      <c r="E20" s="7">
        <v>1</v>
      </c>
      <c r="F20" s="7">
        <v>18</v>
      </c>
      <c r="G20" s="7" t="b">
        <v>0</v>
      </c>
      <c r="H20" s="7">
        <f t="shared" si="0"/>
        <v>6</v>
      </c>
      <c r="I20" s="7">
        <v>3</v>
      </c>
      <c r="J20" s="10">
        <v>0.42</v>
      </c>
      <c r="K20" s="1"/>
      <c r="L20" s="1"/>
      <c r="M20" s="1"/>
      <c r="N20" s="1"/>
      <c r="O20" s="1"/>
      <c r="P20" s="1"/>
      <c r="Q20" s="1"/>
      <c r="R20" s="1"/>
      <c r="S20" s="1"/>
      <c r="T20" s="1"/>
      <c r="U20" s="1"/>
      <c r="V20" s="1"/>
      <c r="W20" s="1"/>
      <c r="X20" s="1"/>
      <c r="Y20" s="1"/>
    </row>
    <row r="21" spans="1:25" ht="15" thickBot="1" x14ac:dyDescent="0.35">
      <c r="A21" s="9">
        <v>20</v>
      </c>
      <c r="B21" s="8">
        <v>40544</v>
      </c>
      <c r="C21" s="7">
        <v>1</v>
      </c>
      <c r="D21" s="7">
        <v>0</v>
      </c>
      <c r="E21" s="7">
        <v>1</v>
      </c>
      <c r="F21" s="7">
        <v>19</v>
      </c>
      <c r="G21" s="7" t="b">
        <v>0</v>
      </c>
      <c r="H21" s="7">
        <f t="shared" si="0"/>
        <v>6</v>
      </c>
      <c r="I21" s="7">
        <v>3</v>
      </c>
      <c r="J21" s="10">
        <v>0.42</v>
      </c>
      <c r="K21" s="1"/>
      <c r="L21" s="1"/>
      <c r="M21" s="1"/>
      <c r="N21" s="1"/>
      <c r="O21" s="1"/>
      <c r="P21" s="1"/>
      <c r="Q21" s="1"/>
      <c r="R21" s="1"/>
      <c r="S21" s="1"/>
      <c r="T21" s="1"/>
      <c r="U21" s="1"/>
      <c r="V21" s="1"/>
      <c r="W21" s="1"/>
      <c r="X21" s="1"/>
      <c r="Y21" s="1"/>
    </row>
    <row r="22" spans="1:25" ht="15" thickBot="1" x14ac:dyDescent="0.35">
      <c r="A22" s="9">
        <v>21</v>
      </c>
      <c r="B22" s="8">
        <v>40544</v>
      </c>
      <c r="C22" s="7">
        <v>1</v>
      </c>
      <c r="D22" s="7">
        <v>0</v>
      </c>
      <c r="E22" s="7">
        <v>1</v>
      </c>
      <c r="F22" s="7">
        <v>20</v>
      </c>
      <c r="G22" s="7" t="b">
        <v>0</v>
      </c>
      <c r="H22" s="7">
        <f t="shared" si="0"/>
        <v>6</v>
      </c>
      <c r="I22" s="7">
        <v>2</v>
      </c>
      <c r="J22" s="10">
        <v>0.4</v>
      </c>
      <c r="K22" s="1"/>
      <c r="L22" s="1"/>
      <c r="M22" s="1"/>
      <c r="N22" s="1"/>
      <c r="O22" s="1"/>
      <c r="P22" s="1"/>
      <c r="Q22" s="1"/>
      <c r="R22" s="1"/>
      <c r="S22" s="1"/>
      <c r="T22" s="1"/>
      <c r="U22" s="1"/>
      <c r="V22" s="1"/>
      <c r="W22" s="1"/>
      <c r="X22" s="1"/>
      <c r="Y22" s="1"/>
    </row>
    <row r="23" spans="1:25" ht="15" thickBot="1" x14ac:dyDescent="0.35">
      <c r="A23" s="9">
        <v>22</v>
      </c>
      <c r="B23" s="8">
        <v>40544</v>
      </c>
      <c r="C23" s="7">
        <v>1</v>
      </c>
      <c r="D23" s="7">
        <v>0</v>
      </c>
      <c r="E23" s="7">
        <v>1</v>
      </c>
      <c r="F23" s="7">
        <v>21</v>
      </c>
      <c r="G23" s="7" t="b">
        <v>0</v>
      </c>
      <c r="H23" s="7">
        <f t="shared" si="0"/>
        <v>6</v>
      </c>
      <c r="I23" s="7">
        <v>2</v>
      </c>
      <c r="J23" s="10">
        <v>0.4</v>
      </c>
      <c r="K23" s="1"/>
      <c r="L23" s="1"/>
      <c r="M23" s="1"/>
      <c r="N23" s="1"/>
      <c r="O23" s="1"/>
      <c r="P23" s="1"/>
      <c r="Q23" s="1"/>
      <c r="R23" s="1"/>
      <c r="S23" s="1"/>
      <c r="T23" s="1"/>
      <c r="U23" s="1"/>
      <c r="V23" s="1"/>
      <c r="W23" s="1"/>
      <c r="X23" s="1"/>
      <c r="Y23" s="1"/>
    </row>
    <row r="24" spans="1:25" ht="15" thickBot="1" x14ac:dyDescent="0.35">
      <c r="A24" s="9">
        <v>23</v>
      </c>
      <c r="B24" s="8">
        <v>40544</v>
      </c>
      <c r="C24" s="7">
        <v>1</v>
      </c>
      <c r="D24" s="7">
        <v>0</v>
      </c>
      <c r="E24" s="7">
        <v>1</v>
      </c>
      <c r="F24" s="7">
        <v>22</v>
      </c>
      <c r="G24" s="7" t="b">
        <v>0</v>
      </c>
      <c r="H24" s="7">
        <f t="shared" si="0"/>
        <v>6</v>
      </c>
      <c r="I24" s="7">
        <v>2</v>
      </c>
      <c r="J24" s="10">
        <v>0.4</v>
      </c>
      <c r="K24" s="1"/>
      <c r="L24" s="1"/>
      <c r="M24" s="1"/>
      <c r="N24" s="1"/>
      <c r="O24" s="1"/>
      <c r="P24" s="1"/>
      <c r="Q24" s="1"/>
      <c r="R24" s="1"/>
      <c r="S24" s="1"/>
      <c r="T24" s="1"/>
      <c r="U24" s="1"/>
      <c r="V24" s="1"/>
      <c r="W24" s="1"/>
      <c r="X24" s="1"/>
      <c r="Y24" s="1"/>
    </row>
    <row r="25" spans="1:25" ht="15" thickBot="1" x14ac:dyDescent="0.35">
      <c r="A25" s="9">
        <v>24</v>
      </c>
      <c r="B25" s="8">
        <v>40544</v>
      </c>
      <c r="C25" s="7">
        <v>1</v>
      </c>
      <c r="D25" s="7">
        <v>0</v>
      </c>
      <c r="E25" s="7">
        <v>1</v>
      </c>
      <c r="F25" s="7">
        <v>23</v>
      </c>
      <c r="G25" s="7" t="b">
        <v>0</v>
      </c>
      <c r="H25" s="7">
        <f t="shared" si="0"/>
        <v>6</v>
      </c>
      <c r="I25" s="7">
        <v>2</v>
      </c>
      <c r="J25" s="10">
        <v>0.46</v>
      </c>
      <c r="K25" s="1"/>
      <c r="L25" s="1"/>
      <c r="M25" s="1"/>
      <c r="N25" s="1"/>
      <c r="O25" s="1"/>
      <c r="P25" s="1"/>
      <c r="Q25" s="1"/>
      <c r="R25" s="1"/>
      <c r="S25" s="1"/>
      <c r="T25" s="1"/>
      <c r="U25" s="1"/>
      <c r="V25" s="1"/>
      <c r="W25" s="1"/>
      <c r="X25" s="1"/>
      <c r="Y25" s="1"/>
    </row>
    <row r="26" spans="1:25" ht="15" thickBot="1" x14ac:dyDescent="0.35">
      <c r="A26" s="9">
        <v>25</v>
      </c>
      <c r="B26" s="8">
        <v>40545</v>
      </c>
      <c r="C26" s="7">
        <v>1</v>
      </c>
      <c r="D26" s="7">
        <v>0</v>
      </c>
      <c r="E26" s="7">
        <v>1</v>
      </c>
      <c r="F26" s="7">
        <v>0</v>
      </c>
      <c r="G26" s="7" t="b">
        <v>0</v>
      </c>
      <c r="H26" s="7">
        <f t="shared" si="0"/>
        <v>7</v>
      </c>
      <c r="I26" s="7">
        <v>2</v>
      </c>
      <c r="J26" s="10">
        <v>0.46</v>
      </c>
      <c r="K26" s="1"/>
      <c r="L26" s="1"/>
      <c r="M26" s="1"/>
      <c r="N26" s="1"/>
      <c r="O26" s="1"/>
      <c r="P26" s="1"/>
      <c r="Q26" s="1"/>
      <c r="R26" s="1"/>
      <c r="S26" s="1"/>
      <c r="T26" s="1"/>
      <c r="U26" s="1"/>
      <c r="V26" s="1"/>
      <c r="W26" s="1"/>
      <c r="X26" s="1"/>
      <c r="Y26" s="1"/>
    </row>
    <row r="27" spans="1:25" ht="15" thickBot="1" x14ac:dyDescent="0.35">
      <c r="A27" s="9">
        <v>26</v>
      </c>
      <c r="B27" s="8">
        <v>40545</v>
      </c>
      <c r="C27" s="7">
        <v>1</v>
      </c>
      <c r="D27" s="7">
        <v>0</v>
      </c>
      <c r="E27" s="7">
        <v>1</v>
      </c>
      <c r="F27" s="7">
        <v>1</v>
      </c>
      <c r="G27" s="7" t="b">
        <v>0</v>
      </c>
      <c r="H27" s="7">
        <f t="shared" si="0"/>
        <v>7</v>
      </c>
      <c r="I27" s="7">
        <v>2</v>
      </c>
      <c r="J27" s="10">
        <v>0.44</v>
      </c>
      <c r="K27" s="1"/>
      <c r="L27" s="1"/>
      <c r="M27" s="1"/>
      <c r="N27" s="1"/>
      <c r="O27" s="1"/>
      <c r="P27" s="1"/>
      <c r="Q27" s="1"/>
      <c r="R27" s="1"/>
      <c r="S27" s="1"/>
      <c r="T27" s="1"/>
      <c r="U27" s="1"/>
      <c r="V27" s="1"/>
      <c r="W27" s="1"/>
      <c r="X27" s="1"/>
      <c r="Y27" s="1"/>
    </row>
    <row r="28" spans="1:25" ht="15" thickBot="1" x14ac:dyDescent="0.35">
      <c r="A28" s="9">
        <v>27</v>
      </c>
      <c r="B28" s="8">
        <v>40545</v>
      </c>
      <c r="C28" s="7">
        <v>1</v>
      </c>
      <c r="D28" s="7">
        <v>0</v>
      </c>
      <c r="E28" s="7">
        <v>1</v>
      </c>
      <c r="F28" s="7">
        <v>2</v>
      </c>
      <c r="G28" s="7" t="b">
        <v>0</v>
      </c>
      <c r="H28" s="7">
        <f t="shared" si="0"/>
        <v>7</v>
      </c>
      <c r="I28" s="7">
        <v>2</v>
      </c>
      <c r="J28" s="10">
        <v>0.42</v>
      </c>
      <c r="K28" s="1"/>
      <c r="L28" s="1"/>
      <c r="M28" s="1"/>
      <c r="N28" s="1"/>
      <c r="O28" s="1"/>
      <c r="P28" s="1"/>
      <c r="Q28" s="1"/>
      <c r="R28" s="1"/>
      <c r="S28" s="1"/>
      <c r="T28" s="1"/>
      <c r="U28" s="1"/>
      <c r="V28" s="1"/>
      <c r="W28" s="1"/>
      <c r="X28" s="1"/>
      <c r="Y28" s="1"/>
    </row>
    <row r="29" spans="1:25" ht="15" thickBot="1" x14ac:dyDescent="0.35">
      <c r="A29" s="9">
        <v>28</v>
      </c>
      <c r="B29" s="8">
        <v>40545</v>
      </c>
      <c r="C29" s="7">
        <v>1</v>
      </c>
      <c r="D29" s="7">
        <v>0</v>
      </c>
      <c r="E29" s="7">
        <v>1</v>
      </c>
      <c r="F29" s="7">
        <v>3</v>
      </c>
      <c r="G29" s="7" t="b">
        <v>0</v>
      </c>
      <c r="H29" s="7">
        <f t="shared" si="0"/>
        <v>7</v>
      </c>
      <c r="I29" s="7">
        <v>2</v>
      </c>
      <c r="J29" s="10">
        <v>0.46</v>
      </c>
      <c r="K29" s="1"/>
      <c r="L29" s="1"/>
      <c r="M29" s="1"/>
      <c r="N29" s="1"/>
      <c r="O29" s="1"/>
      <c r="P29" s="1"/>
      <c r="Q29" s="1"/>
      <c r="R29" s="1"/>
      <c r="S29" s="1"/>
      <c r="T29" s="1"/>
      <c r="U29" s="1"/>
      <c r="V29" s="1"/>
      <c r="W29" s="1"/>
      <c r="X29" s="1"/>
      <c r="Y29" s="1"/>
    </row>
    <row r="30" spans="1:25" ht="15" thickBot="1" x14ac:dyDescent="0.35">
      <c r="A30" s="9">
        <v>29</v>
      </c>
      <c r="B30" s="8">
        <v>40545</v>
      </c>
      <c r="C30" s="7">
        <v>1</v>
      </c>
      <c r="D30" s="7">
        <v>0</v>
      </c>
      <c r="E30" s="7">
        <v>1</v>
      </c>
      <c r="F30" s="7">
        <v>4</v>
      </c>
      <c r="G30" s="7" t="b">
        <v>0</v>
      </c>
      <c r="H30" s="7">
        <f t="shared" si="0"/>
        <v>7</v>
      </c>
      <c r="I30" s="7">
        <v>2</v>
      </c>
      <c r="J30" s="10">
        <v>0.46</v>
      </c>
      <c r="K30" s="1"/>
      <c r="L30" s="1"/>
      <c r="M30" s="1"/>
      <c r="N30" s="1"/>
      <c r="O30" s="1"/>
      <c r="P30" s="1"/>
      <c r="Q30" s="1"/>
      <c r="R30" s="1"/>
      <c r="S30" s="1"/>
      <c r="T30" s="1"/>
      <c r="U30" s="1"/>
      <c r="V30" s="1"/>
      <c r="W30" s="1"/>
      <c r="X30" s="1"/>
      <c r="Y30" s="1"/>
    </row>
    <row r="31" spans="1:25" ht="15" thickBot="1" x14ac:dyDescent="0.35">
      <c r="A31" s="9">
        <v>30</v>
      </c>
      <c r="B31" s="8">
        <v>40545</v>
      </c>
      <c r="C31" s="7">
        <v>1</v>
      </c>
      <c r="D31" s="7">
        <v>0</v>
      </c>
      <c r="E31" s="7">
        <v>1</v>
      </c>
      <c r="F31" s="7">
        <v>6</v>
      </c>
      <c r="G31" s="7" t="b">
        <v>0</v>
      </c>
      <c r="H31" s="7">
        <f t="shared" si="0"/>
        <v>7</v>
      </c>
      <c r="I31" s="7">
        <v>3</v>
      </c>
      <c r="J31" s="10">
        <v>0.42</v>
      </c>
      <c r="K31" s="1"/>
      <c r="L31" s="1"/>
      <c r="M31" s="1"/>
      <c r="N31" s="1"/>
      <c r="O31" s="1"/>
      <c r="P31" s="1"/>
      <c r="Q31" s="1"/>
      <c r="R31" s="1"/>
      <c r="S31" s="1"/>
      <c r="T31" s="1"/>
      <c r="U31" s="1"/>
      <c r="V31" s="1"/>
      <c r="W31" s="1"/>
      <c r="X31" s="1"/>
      <c r="Y31" s="1"/>
    </row>
    <row r="32" spans="1:25" ht="15" thickBot="1" x14ac:dyDescent="0.35">
      <c r="A32" s="9">
        <v>31</v>
      </c>
      <c r="B32" s="8">
        <v>40545</v>
      </c>
      <c r="C32" s="7">
        <v>1</v>
      </c>
      <c r="D32" s="7">
        <v>0</v>
      </c>
      <c r="E32" s="7">
        <v>1</v>
      </c>
      <c r="F32" s="7">
        <v>7</v>
      </c>
      <c r="G32" s="7" t="b">
        <v>0</v>
      </c>
      <c r="H32" s="7">
        <f t="shared" si="0"/>
        <v>7</v>
      </c>
      <c r="I32" s="7">
        <v>2</v>
      </c>
      <c r="J32" s="10">
        <v>0.4</v>
      </c>
      <c r="K32" s="1"/>
      <c r="L32" s="1"/>
      <c r="M32" s="1"/>
      <c r="N32" s="1"/>
      <c r="O32" s="1"/>
      <c r="P32" s="1"/>
      <c r="Q32" s="1"/>
      <c r="R32" s="1"/>
      <c r="S32" s="1"/>
      <c r="T32" s="1"/>
      <c r="U32" s="1"/>
      <c r="V32" s="1"/>
      <c r="W32" s="1"/>
      <c r="X32" s="1"/>
      <c r="Y32" s="1"/>
    </row>
    <row r="33" spans="1:25" ht="15" thickBot="1" x14ac:dyDescent="0.35">
      <c r="A33" s="9">
        <v>32</v>
      </c>
      <c r="B33" s="8">
        <v>40545</v>
      </c>
      <c r="C33" s="7">
        <v>1</v>
      </c>
      <c r="D33" s="7">
        <v>0</v>
      </c>
      <c r="E33" s="7">
        <v>1</v>
      </c>
      <c r="F33" s="7">
        <v>8</v>
      </c>
      <c r="G33" s="7" t="b">
        <v>0</v>
      </c>
      <c r="H33" s="7">
        <f t="shared" si="0"/>
        <v>7</v>
      </c>
      <c r="I33" s="7">
        <v>3</v>
      </c>
      <c r="J33" s="10">
        <v>0.4</v>
      </c>
      <c r="K33" s="1"/>
      <c r="L33" s="1"/>
      <c r="M33" s="1"/>
      <c r="N33" s="1"/>
      <c r="O33" s="1"/>
      <c r="P33" s="1"/>
      <c r="Q33" s="1"/>
      <c r="R33" s="1"/>
      <c r="S33" s="1"/>
      <c r="T33" s="1"/>
      <c r="U33" s="1"/>
      <c r="V33" s="1"/>
      <c r="W33" s="1"/>
      <c r="X33" s="1"/>
      <c r="Y33" s="1"/>
    </row>
    <row r="34" spans="1:25" ht="15" thickBot="1" x14ac:dyDescent="0.35">
      <c r="A34" s="9">
        <v>33</v>
      </c>
      <c r="B34" s="8">
        <v>40545</v>
      </c>
      <c r="C34" s="7">
        <v>1</v>
      </c>
      <c r="D34" s="7">
        <v>0</v>
      </c>
      <c r="E34" s="7">
        <v>1</v>
      </c>
      <c r="F34" s="7">
        <v>9</v>
      </c>
      <c r="G34" s="7" t="b">
        <v>0</v>
      </c>
      <c r="H34" s="7">
        <f t="shared" si="0"/>
        <v>7</v>
      </c>
      <c r="I34" s="7">
        <v>2</v>
      </c>
      <c r="J34" s="10">
        <v>0.38</v>
      </c>
      <c r="K34" s="1"/>
      <c r="L34" s="1"/>
      <c r="M34" s="1"/>
      <c r="N34" s="1"/>
      <c r="O34" s="1"/>
      <c r="P34" s="1"/>
      <c r="Q34" s="1"/>
      <c r="R34" s="1"/>
      <c r="S34" s="1"/>
      <c r="T34" s="1"/>
      <c r="U34" s="1"/>
      <c r="V34" s="1"/>
      <c r="W34" s="1"/>
      <c r="X34" s="1"/>
      <c r="Y34" s="1"/>
    </row>
    <row r="35" spans="1:25" ht="15" thickBot="1" x14ac:dyDescent="0.35">
      <c r="A35" s="9">
        <v>34</v>
      </c>
      <c r="B35" s="8">
        <v>40545</v>
      </c>
      <c r="C35" s="7">
        <v>1</v>
      </c>
      <c r="D35" s="7">
        <v>0</v>
      </c>
      <c r="E35" s="7">
        <v>1</v>
      </c>
      <c r="F35" s="7">
        <v>10</v>
      </c>
      <c r="G35" s="7" t="b">
        <v>0</v>
      </c>
      <c r="H35" s="7">
        <f t="shared" si="0"/>
        <v>7</v>
      </c>
      <c r="I35" s="7">
        <v>2</v>
      </c>
      <c r="J35" s="10">
        <v>0.36</v>
      </c>
      <c r="K35" s="1"/>
      <c r="L35" s="1"/>
      <c r="M35" s="1"/>
      <c r="N35" s="1"/>
      <c r="O35" s="1"/>
      <c r="P35" s="1"/>
      <c r="Q35" s="1"/>
      <c r="R35" s="1"/>
      <c r="S35" s="1"/>
      <c r="T35" s="1"/>
      <c r="U35" s="1"/>
      <c r="V35" s="1"/>
      <c r="W35" s="1"/>
      <c r="X35" s="1"/>
      <c r="Y35" s="1"/>
    </row>
    <row r="36" spans="1:25" ht="15" thickBot="1" x14ac:dyDescent="0.35">
      <c r="A36" s="9">
        <v>35</v>
      </c>
      <c r="B36" s="8">
        <v>40545</v>
      </c>
      <c r="C36" s="7">
        <v>1</v>
      </c>
      <c r="D36" s="7">
        <v>0</v>
      </c>
      <c r="E36" s="7">
        <v>1</v>
      </c>
      <c r="F36" s="7">
        <v>11</v>
      </c>
      <c r="G36" s="7" t="b">
        <v>0</v>
      </c>
      <c r="H36" s="7">
        <f t="shared" si="0"/>
        <v>7</v>
      </c>
      <c r="I36" s="7">
        <v>2</v>
      </c>
      <c r="J36" s="10">
        <v>0.36</v>
      </c>
      <c r="K36" s="1"/>
      <c r="L36" s="1"/>
      <c r="M36" s="1"/>
      <c r="N36" s="1"/>
      <c r="O36" s="1"/>
      <c r="P36" s="1"/>
      <c r="Q36" s="1"/>
      <c r="R36" s="1"/>
      <c r="S36" s="1"/>
      <c r="T36" s="1"/>
      <c r="U36" s="1"/>
      <c r="V36" s="1"/>
      <c r="W36" s="1"/>
      <c r="X36" s="1"/>
      <c r="Y36" s="1"/>
    </row>
    <row r="37" spans="1:25" ht="15" thickBot="1" x14ac:dyDescent="0.35">
      <c r="A37" s="9">
        <v>36</v>
      </c>
      <c r="B37" s="8">
        <v>40545</v>
      </c>
      <c r="C37" s="7">
        <v>1</v>
      </c>
      <c r="D37" s="7">
        <v>0</v>
      </c>
      <c r="E37" s="7">
        <v>1</v>
      </c>
      <c r="F37" s="7">
        <v>12</v>
      </c>
      <c r="G37" s="7" t="b">
        <v>0</v>
      </c>
      <c r="H37" s="7">
        <f t="shared" si="0"/>
        <v>7</v>
      </c>
      <c r="I37" s="7">
        <v>2</v>
      </c>
      <c r="J37" s="10">
        <v>0.36</v>
      </c>
      <c r="K37" s="1"/>
      <c r="L37" s="1"/>
      <c r="M37" s="1"/>
      <c r="N37" s="1"/>
      <c r="O37" s="1"/>
      <c r="P37" s="1"/>
      <c r="Q37" s="1"/>
      <c r="R37" s="1"/>
      <c r="S37" s="1"/>
      <c r="T37" s="1"/>
      <c r="U37" s="1"/>
      <c r="V37" s="1"/>
      <c r="W37" s="1"/>
      <c r="X37" s="1"/>
      <c r="Y37" s="1"/>
    </row>
    <row r="38" spans="1:25" ht="15" thickBot="1" x14ac:dyDescent="0.35">
      <c r="A38" s="9">
        <v>37</v>
      </c>
      <c r="B38" s="8">
        <v>40545</v>
      </c>
      <c r="C38" s="7">
        <v>1</v>
      </c>
      <c r="D38" s="7">
        <v>0</v>
      </c>
      <c r="E38" s="7">
        <v>1</v>
      </c>
      <c r="F38" s="7">
        <v>13</v>
      </c>
      <c r="G38" s="7" t="b">
        <v>0</v>
      </c>
      <c r="H38" s="7">
        <f t="shared" si="0"/>
        <v>7</v>
      </c>
      <c r="I38" s="7">
        <v>2</v>
      </c>
      <c r="J38" s="10">
        <v>0.36</v>
      </c>
      <c r="K38" s="1"/>
      <c r="L38" s="1"/>
      <c r="M38" s="1"/>
      <c r="N38" s="1"/>
      <c r="O38" s="1"/>
      <c r="P38" s="1"/>
      <c r="Q38" s="1"/>
      <c r="R38" s="1"/>
      <c r="S38" s="1"/>
      <c r="T38" s="1"/>
      <c r="U38" s="1"/>
      <c r="V38" s="1"/>
      <c r="W38" s="1"/>
      <c r="X38" s="1"/>
      <c r="Y38" s="1"/>
    </row>
    <row r="39" spans="1:25" ht="15" thickBot="1" x14ac:dyDescent="0.35">
      <c r="A39" s="9">
        <v>38</v>
      </c>
      <c r="B39" s="8">
        <v>40545</v>
      </c>
      <c r="C39" s="7">
        <v>1</v>
      </c>
      <c r="D39" s="7">
        <v>0</v>
      </c>
      <c r="E39" s="7">
        <v>1</v>
      </c>
      <c r="F39" s="7">
        <v>14</v>
      </c>
      <c r="G39" s="7" t="b">
        <v>0</v>
      </c>
      <c r="H39" s="7">
        <f t="shared" si="0"/>
        <v>7</v>
      </c>
      <c r="I39" s="7">
        <v>3</v>
      </c>
      <c r="J39" s="10">
        <v>0.36</v>
      </c>
      <c r="K39" s="1"/>
      <c r="L39" s="1"/>
      <c r="M39" s="1"/>
      <c r="N39" s="1"/>
      <c r="O39" s="1"/>
      <c r="P39" s="1"/>
      <c r="Q39" s="1"/>
      <c r="R39" s="1"/>
      <c r="S39" s="1"/>
      <c r="T39" s="1"/>
      <c r="U39" s="1"/>
      <c r="V39" s="1"/>
      <c r="W39" s="1"/>
      <c r="X39" s="1"/>
      <c r="Y39" s="1"/>
    </row>
    <row r="40" spans="1:25" ht="15" thickBot="1" x14ac:dyDescent="0.35">
      <c r="A40" s="9">
        <v>39</v>
      </c>
      <c r="B40" s="8">
        <v>40545</v>
      </c>
      <c r="C40" s="7">
        <v>1</v>
      </c>
      <c r="D40" s="7">
        <v>0</v>
      </c>
      <c r="E40" s="7">
        <v>1</v>
      </c>
      <c r="F40" s="7">
        <v>15</v>
      </c>
      <c r="G40" s="7" t="b">
        <v>0</v>
      </c>
      <c r="H40" s="7">
        <f t="shared" si="0"/>
        <v>7</v>
      </c>
      <c r="I40" s="7">
        <v>3</v>
      </c>
      <c r="J40" s="10">
        <v>0.34</v>
      </c>
      <c r="K40" s="1"/>
      <c r="L40" s="1"/>
      <c r="M40" s="1"/>
      <c r="N40" s="1"/>
      <c r="O40" s="1"/>
      <c r="P40" s="1"/>
      <c r="Q40" s="1"/>
      <c r="R40" s="1"/>
      <c r="S40" s="1"/>
      <c r="T40" s="1"/>
      <c r="U40" s="1"/>
      <c r="V40" s="1"/>
      <c r="W40" s="1"/>
      <c r="X40" s="1"/>
      <c r="Y40" s="1"/>
    </row>
    <row r="41" spans="1:25" ht="15" thickBot="1" x14ac:dyDescent="0.35">
      <c r="A41" s="9">
        <v>40</v>
      </c>
      <c r="B41" s="8">
        <v>40545</v>
      </c>
      <c r="C41" s="7">
        <v>1</v>
      </c>
      <c r="D41" s="7">
        <v>0</v>
      </c>
      <c r="E41" s="7">
        <v>1</v>
      </c>
      <c r="F41" s="7">
        <v>16</v>
      </c>
      <c r="G41" s="7" t="b">
        <v>0</v>
      </c>
      <c r="H41" s="7">
        <f t="shared" si="0"/>
        <v>7</v>
      </c>
      <c r="I41" s="7">
        <v>3</v>
      </c>
      <c r="J41" s="10">
        <v>0.34</v>
      </c>
      <c r="K41" s="1"/>
      <c r="L41" s="1"/>
      <c r="M41" s="1"/>
      <c r="N41" s="1"/>
      <c r="O41" s="1"/>
      <c r="P41" s="1"/>
      <c r="Q41" s="1"/>
      <c r="R41" s="1"/>
      <c r="S41" s="1"/>
      <c r="T41" s="1"/>
      <c r="U41" s="1"/>
      <c r="V41" s="1"/>
      <c r="W41" s="1"/>
      <c r="X41" s="1"/>
      <c r="Y41" s="1"/>
    </row>
    <row r="42" spans="1:25" ht="15" thickBot="1" x14ac:dyDescent="0.35">
      <c r="A42" s="9">
        <v>41</v>
      </c>
      <c r="B42" s="8">
        <v>40545</v>
      </c>
      <c r="C42" s="7">
        <v>1</v>
      </c>
      <c r="D42" s="7">
        <v>0</v>
      </c>
      <c r="E42" s="7">
        <v>1</v>
      </c>
      <c r="F42" s="7">
        <v>17</v>
      </c>
      <c r="G42" s="7" t="b">
        <v>0</v>
      </c>
      <c r="H42" s="7">
        <f t="shared" si="0"/>
        <v>7</v>
      </c>
      <c r="I42" s="7">
        <v>1</v>
      </c>
      <c r="J42" s="10">
        <v>0.34</v>
      </c>
      <c r="K42" s="1"/>
      <c r="L42" s="1"/>
      <c r="M42" s="1"/>
      <c r="N42" s="1"/>
      <c r="O42" s="1"/>
      <c r="P42" s="1"/>
      <c r="Q42" s="1"/>
      <c r="R42" s="1"/>
      <c r="S42" s="1"/>
      <c r="T42" s="1"/>
      <c r="U42" s="1"/>
      <c r="V42" s="1"/>
      <c r="W42" s="1"/>
      <c r="X42" s="1"/>
      <c r="Y42" s="1"/>
    </row>
    <row r="43" spans="1:25" ht="15" thickBot="1" x14ac:dyDescent="0.35">
      <c r="A43" s="9">
        <v>42</v>
      </c>
      <c r="B43" s="8">
        <v>40545</v>
      </c>
      <c r="C43" s="7">
        <v>1</v>
      </c>
      <c r="D43" s="7">
        <v>0</v>
      </c>
      <c r="E43" s="7">
        <v>1</v>
      </c>
      <c r="F43" s="7">
        <v>18</v>
      </c>
      <c r="G43" s="7" t="b">
        <v>0</v>
      </c>
      <c r="H43" s="7">
        <f t="shared" si="0"/>
        <v>7</v>
      </c>
      <c r="I43" s="7">
        <v>2</v>
      </c>
      <c r="J43" s="10">
        <v>0.36</v>
      </c>
      <c r="K43" s="1"/>
      <c r="L43" s="1"/>
      <c r="M43" s="1"/>
      <c r="N43" s="1"/>
      <c r="O43" s="1"/>
      <c r="P43" s="1"/>
      <c r="Q43" s="1"/>
      <c r="R43" s="1"/>
      <c r="S43" s="1"/>
      <c r="T43" s="1"/>
      <c r="U43" s="1"/>
      <c r="V43" s="1"/>
      <c r="W43" s="1"/>
      <c r="X43" s="1"/>
      <c r="Y43" s="1"/>
    </row>
    <row r="44" spans="1:25" ht="15" thickBot="1" x14ac:dyDescent="0.35">
      <c r="A44" s="9">
        <v>43</v>
      </c>
      <c r="B44" s="8">
        <v>40545</v>
      </c>
      <c r="C44" s="7">
        <v>1</v>
      </c>
      <c r="D44" s="7">
        <v>0</v>
      </c>
      <c r="E44" s="7">
        <v>1</v>
      </c>
      <c r="F44" s="7">
        <v>19</v>
      </c>
      <c r="G44" s="7" t="b">
        <v>0</v>
      </c>
      <c r="H44" s="7">
        <f t="shared" si="0"/>
        <v>7</v>
      </c>
      <c r="I44" s="7">
        <v>1</v>
      </c>
      <c r="J44" s="10">
        <v>0.32</v>
      </c>
      <c r="K44" s="1"/>
      <c r="L44" s="1"/>
      <c r="M44" s="1"/>
      <c r="N44" s="1"/>
      <c r="O44" s="1"/>
      <c r="P44" s="1"/>
      <c r="Q44" s="1"/>
      <c r="R44" s="1"/>
      <c r="S44" s="1"/>
      <c r="T44" s="1"/>
      <c r="U44" s="1"/>
      <c r="V44" s="1"/>
      <c r="W44" s="1"/>
      <c r="X44" s="1"/>
      <c r="Y44" s="1"/>
    </row>
    <row r="45" spans="1:25" ht="15" thickBot="1" x14ac:dyDescent="0.35">
      <c r="A45" s="9">
        <v>44</v>
      </c>
      <c r="B45" s="8">
        <v>40545</v>
      </c>
      <c r="C45" s="7">
        <v>1</v>
      </c>
      <c r="D45" s="7">
        <v>0</v>
      </c>
      <c r="E45" s="7">
        <v>1</v>
      </c>
      <c r="F45" s="7">
        <v>20</v>
      </c>
      <c r="G45" s="7" t="b">
        <v>0</v>
      </c>
      <c r="H45" s="7">
        <f t="shared" si="0"/>
        <v>7</v>
      </c>
      <c r="I45" s="7">
        <v>1</v>
      </c>
      <c r="J45" s="10">
        <v>0.3</v>
      </c>
      <c r="K45" s="1"/>
      <c r="L45" s="1"/>
      <c r="M45" s="1"/>
      <c r="N45" s="1"/>
      <c r="O45" s="1"/>
      <c r="P45" s="1"/>
      <c r="Q45" s="1"/>
      <c r="R45" s="1"/>
      <c r="S45" s="1"/>
      <c r="T45" s="1"/>
      <c r="U45" s="1"/>
      <c r="V45" s="1"/>
      <c r="W45" s="1"/>
      <c r="X45" s="1"/>
      <c r="Y45" s="1"/>
    </row>
    <row r="46" spans="1:25" ht="15" thickBot="1" x14ac:dyDescent="0.35">
      <c r="A46" s="9">
        <v>45</v>
      </c>
      <c r="B46" s="8">
        <v>40545</v>
      </c>
      <c r="C46" s="7">
        <v>1</v>
      </c>
      <c r="D46" s="7">
        <v>0</v>
      </c>
      <c r="E46" s="7">
        <v>1</v>
      </c>
      <c r="F46" s="7">
        <v>21</v>
      </c>
      <c r="G46" s="7" t="b">
        <v>0</v>
      </c>
      <c r="H46" s="7">
        <f t="shared" si="0"/>
        <v>7</v>
      </c>
      <c r="I46" s="7">
        <v>1</v>
      </c>
      <c r="J46" s="10">
        <v>0.26</v>
      </c>
      <c r="K46" s="1"/>
      <c r="L46" s="1"/>
      <c r="M46" s="1"/>
      <c r="N46" s="1"/>
      <c r="O46" s="1"/>
      <c r="P46" s="1"/>
      <c r="Q46" s="1"/>
      <c r="R46" s="1"/>
      <c r="S46" s="1"/>
      <c r="T46" s="1"/>
      <c r="U46" s="1"/>
      <c r="V46" s="1"/>
      <c r="W46" s="1"/>
      <c r="X46" s="1"/>
      <c r="Y46" s="1"/>
    </row>
    <row r="47" spans="1:25" ht="15" thickBot="1" x14ac:dyDescent="0.35">
      <c r="A47" s="9">
        <v>46</v>
      </c>
      <c r="B47" s="8">
        <v>40545</v>
      </c>
      <c r="C47" s="7">
        <v>1</v>
      </c>
      <c r="D47" s="7">
        <v>0</v>
      </c>
      <c r="E47" s="7">
        <v>1</v>
      </c>
      <c r="F47" s="7">
        <v>22</v>
      </c>
      <c r="G47" s="7" t="b">
        <v>0</v>
      </c>
      <c r="H47" s="7">
        <f t="shared" si="0"/>
        <v>7</v>
      </c>
      <c r="I47" s="7">
        <v>1</v>
      </c>
      <c r="J47" s="10">
        <v>0.24</v>
      </c>
      <c r="K47" s="1"/>
      <c r="L47" s="1"/>
      <c r="M47" s="1"/>
      <c r="N47" s="1"/>
      <c r="O47" s="1"/>
      <c r="P47" s="1"/>
      <c r="Q47" s="1"/>
      <c r="R47" s="1"/>
      <c r="S47" s="1"/>
      <c r="T47" s="1"/>
      <c r="U47" s="1"/>
      <c r="V47" s="1"/>
      <c r="W47" s="1"/>
      <c r="X47" s="1"/>
      <c r="Y47" s="1"/>
    </row>
    <row r="48" spans="1:25" ht="15" thickBot="1" x14ac:dyDescent="0.35">
      <c r="A48" s="9">
        <v>47</v>
      </c>
      <c r="B48" s="8">
        <v>40545</v>
      </c>
      <c r="C48" s="7">
        <v>1</v>
      </c>
      <c r="D48" s="7">
        <v>0</v>
      </c>
      <c r="E48" s="7">
        <v>1</v>
      </c>
      <c r="F48" s="7">
        <v>23</v>
      </c>
      <c r="G48" s="7" t="b">
        <v>0</v>
      </c>
      <c r="H48" s="7">
        <f t="shared" si="0"/>
        <v>7</v>
      </c>
      <c r="I48" s="7">
        <v>1</v>
      </c>
      <c r="J48" s="10">
        <v>0.22</v>
      </c>
      <c r="K48" s="1"/>
      <c r="L48" s="1"/>
      <c r="M48" s="1"/>
      <c r="N48" s="1"/>
      <c r="O48" s="1"/>
      <c r="P48" s="1"/>
      <c r="Q48" s="1"/>
      <c r="R48" s="1"/>
      <c r="S48" s="1"/>
      <c r="T48" s="1"/>
      <c r="U48" s="1"/>
      <c r="V48" s="1"/>
      <c r="W48" s="1"/>
      <c r="X48" s="1"/>
      <c r="Y48" s="1"/>
    </row>
    <row r="49" spans="1:25" ht="15" thickBot="1" x14ac:dyDescent="0.35">
      <c r="A49" s="9">
        <v>48</v>
      </c>
      <c r="B49" s="8">
        <v>40546</v>
      </c>
      <c r="C49" s="7">
        <v>1</v>
      </c>
      <c r="D49" s="7">
        <v>0</v>
      </c>
      <c r="E49" s="7">
        <v>1</v>
      </c>
      <c r="F49" s="7">
        <v>0</v>
      </c>
      <c r="G49" s="7" t="b">
        <v>0</v>
      </c>
      <c r="H49" s="7">
        <f t="shared" si="0"/>
        <v>1</v>
      </c>
      <c r="I49" s="7">
        <v>1</v>
      </c>
      <c r="J49" s="10">
        <v>0.22</v>
      </c>
      <c r="K49" s="1"/>
      <c r="L49" s="1"/>
      <c r="M49" s="1"/>
      <c r="N49" s="1"/>
      <c r="O49" s="1"/>
      <c r="P49" s="1"/>
      <c r="Q49" s="1"/>
      <c r="R49" s="1"/>
      <c r="S49" s="1"/>
      <c r="T49" s="1"/>
      <c r="U49" s="1"/>
      <c r="V49" s="1"/>
      <c r="W49" s="1"/>
      <c r="X49" s="1"/>
      <c r="Y49" s="1"/>
    </row>
    <row r="50" spans="1:25" ht="15" thickBot="1" x14ac:dyDescent="0.35">
      <c r="A50" s="9">
        <v>49</v>
      </c>
      <c r="B50" s="8">
        <v>40546</v>
      </c>
      <c r="C50" s="7">
        <v>1</v>
      </c>
      <c r="D50" s="7">
        <v>0</v>
      </c>
      <c r="E50" s="7">
        <v>1</v>
      </c>
      <c r="F50" s="7">
        <v>1</v>
      </c>
      <c r="G50" s="7" t="b">
        <v>0</v>
      </c>
      <c r="H50" s="7">
        <f t="shared" si="0"/>
        <v>1</v>
      </c>
      <c r="I50" s="7">
        <v>1</v>
      </c>
      <c r="J50" s="10">
        <v>0.2</v>
      </c>
      <c r="K50" s="1"/>
      <c r="L50" s="1"/>
      <c r="M50" s="1"/>
      <c r="N50" s="1"/>
      <c r="O50" s="1"/>
      <c r="P50" s="1"/>
      <c r="Q50" s="1"/>
      <c r="R50" s="1"/>
      <c r="S50" s="1"/>
      <c r="T50" s="1"/>
      <c r="U50" s="1"/>
      <c r="V50" s="1"/>
      <c r="W50" s="1"/>
      <c r="X50" s="1"/>
      <c r="Y50" s="1"/>
    </row>
    <row r="51" spans="1:25" ht="15" thickBot="1" x14ac:dyDescent="0.35">
      <c r="A51" s="9">
        <v>50</v>
      </c>
      <c r="B51" s="8">
        <v>40546</v>
      </c>
      <c r="C51" s="7">
        <v>1</v>
      </c>
      <c r="D51" s="7">
        <v>0</v>
      </c>
      <c r="E51" s="7">
        <v>1</v>
      </c>
      <c r="F51" s="7">
        <v>4</v>
      </c>
      <c r="G51" s="7" t="b">
        <v>0</v>
      </c>
      <c r="H51" s="7">
        <f t="shared" si="0"/>
        <v>1</v>
      </c>
      <c r="I51" s="7">
        <v>1</v>
      </c>
      <c r="J51" s="10">
        <v>0.16</v>
      </c>
      <c r="K51" s="1"/>
      <c r="L51" s="1"/>
      <c r="M51" s="1"/>
      <c r="N51" s="1"/>
      <c r="O51" s="1"/>
      <c r="P51" s="1"/>
      <c r="Q51" s="1"/>
      <c r="R51" s="1"/>
      <c r="S51" s="1"/>
      <c r="T51" s="1"/>
      <c r="U51" s="1"/>
      <c r="V51" s="1"/>
      <c r="W51" s="1"/>
      <c r="X51" s="1"/>
      <c r="Y51" s="1"/>
    </row>
    <row r="52" spans="1:25" ht="15" thickBot="1" x14ac:dyDescent="0.35">
      <c r="A52" s="9">
        <v>51</v>
      </c>
      <c r="B52" s="8">
        <v>40546</v>
      </c>
      <c r="C52" s="7">
        <v>1</v>
      </c>
      <c r="D52" s="7">
        <v>0</v>
      </c>
      <c r="E52" s="7">
        <v>1</v>
      </c>
      <c r="F52" s="7">
        <v>5</v>
      </c>
      <c r="G52" s="7" t="b">
        <v>0</v>
      </c>
      <c r="H52" s="7">
        <f t="shared" si="0"/>
        <v>1</v>
      </c>
      <c r="I52" s="7">
        <v>1</v>
      </c>
      <c r="J52" s="10">
        <v>0.16</v>
      </c>
      <c r="K52" s="1"/>
      <c r="L52" s="1"/>
      <c r="M52" s="1"/>
      <c r="N52" s="1"/>
      <c r="O52" s="1"/>
      <c r="P52" s="1"/>
      <c r="Q52" s="1"/>
      <c r="R52" s="1"/>
      <c r="S52" s="1"/>
      <c r="T52" s="1"/>
      <c r="U52" s="1"/>
      <c r="V52" s="1"/>
      <c r="W52" s="1"/>
      <c r="X52" s="1"/>
      <c r="Y52" s="1"/>
    </row>
    <row r="53" spans="1:25" ht="15" thickBot="1" x14ac:dyDescent="0.35">
      <c r="A53" s="9">
        <v>52</v>
      </c>
      <c r="B53" s="8">
        <v>40546</v>
      </c>
      <c r="C53" s="7">
        <v>1</v>
      </c>
      <c r="D53" s="7">
        <v>0</v>
      </c>
      <c r="E53" s="7">
        <v>1</v>
      </c>
      <c r="F53" s="7">
        <v>6</v>
      </c>
      <c r="G53" s="7" t="b">
        <v>0</v>
      </c>
      <c r="H53" s="7">
        <f t="shared" si="0"/>
        <v>1</v>
      </c>
      <c r="I53" s="7">
        <v>1</v>
      </c>
      <c r="J53" s="10">
        <v>0.14000000000000001</v>
      </c>
      <c r="K53" s="1"/>
      <c r="L53" s="1"/>
      <c r="M53" s="1"/>
      <c r="N53" s="1"/>
      <c r="O53" s="1"/>
      <c r="P53" s="1"/>
      <c r="Q53" s="1"/>
      <c r="R53" s="1"/>
      <c r="S53" s="1"/>
      <c r="T53" s="1"/>
      <c r="U53" s="1"/>
      <c r="V53" s="1"/>
      <c r="W53" s="1"/>
      <c r="X53" s="1"/>
      <c r="Y53" s="1"/>
    </row>
    <row r="54" spans="1:25" ht="15" thickBot="1" x14ac:dyDescent="0.35">
      <c r="A54" s="9">
        <v>53</v>
      </c>
      <c r="B54" s="8">
        <v>40546</v>
      </c>
      <c r="C54" s="7">
        <v>1</v>
      </c>
      <c r="D54" s="7">
        <v>0</v>
      </c>
      <c r="E54" s="7">
        <v>1</v>
      </c>
      <c r="F54" s="7">
        <v>7</v>
      </c>
      <c r="G54" s="7" t="b">
        <v>0</v>
      </c>
      <c r="H54" s="7">
        <f t="shared" si="0"/>
        <v>1</v>
      </c>
      <c r="I54" s="7">
        <v>1</v>
      </c>
      <c r="J54" s="10">
        <v>0.14000000000000001</v>
      </c>
      <c r="K54" s="1"/>
      <c r="L54" s="1"/>
      <c r="M54" s="1"/>
      <c r="N54" s="1"/>
      <c r="O54" s="1"/>
      <c r="P54" s="1"/>
      <c r="Q54" s="1"/>
      <c r="R54" s="1"/>
      <c r="S54" s="1"/>
      <c r="T54" s="1"/>
      <c r="U54" s="1"/>
      <c r="V54" s="1"/>
      <c r="W54" s="1"/>
      <c r="X54" s="1"/>
      <c r="Y54" s="1"/>
    </row>
    <row r="55" spans="1:25" ht="15" thickBot="1" x14ac:dyDescent="0.35">
      <c r="A55" s="9">
        <v>54</v>
      </c>
      <c r="B55" s="8">
        <v>40546</v>
      </c>
      <c r="C55" s="7">
        <v>1</v>
      </c>
      <c r="D55" s="7">
        <v>0</v>
      </c>
      <c r="E55" s="7">
        <v>1</v>
      </c>
      <c r="F55" s="7">
        <v>8</v>
      </c>
      <c r="G55" s="7" t="b">
        <v>0</v>
      </c>
      <c r="H55" s="7">
        <f t="shared" si="0"/>
        <v>1</v>
      </c>
      <c r="I55" s="7">
        <v>1</v>
      </c>
      <c r="J55" s="10">
        <v>0.14000000000000001</v>
      </c>
      <c r="K55" s="1"/>
      <c r="L55" s="1"/>
      <c r="M55" s="1"/>
      <c r="N55" s="1"/>
      <c r="O55" s="1"/>
      <c r="P55" s="1"/>
      <c r="Q55" s="1"/>
      <c r="R55" s="1"/>
      <c r="S55" s="1"/>
      <c r="T55" s="1"/>
      <c r="U55" s="1"/>
      <c r="V55" s="1"/>
      <c r="W55" s="1"/>
      <c r="X55" s="1"/>
      <c r="Y55" s="1"/>
    </row>
    <row r="56" spans="1:25" ht="15" thickBot="1" x14ac:dyDescent="0.35">
      <c r="A56" s="9">
        <v>55</v>
      </c>
      <c r="B56" s="8">
        <v>40546</v>
      </c>
      <c r="C56" s="7">
        <v>1</v>
      </c>
      <c r="D56" s="7">
        <v>0</v>
      </c>
      <c r="E56" s="7">
        <v>1</v>
      </c>
      <c r="F56" s="7">
        <v>9</v>
      </c>
      <c r="G56" s="7" t="b">
        <v>0</v>
      </c>
      <c r="H56" s="7">
        <f t="shared" si="0"/>
        <v>1</v>
      </c>
      <c r="I56" s="7">
        <v>1</v>
      </c>
      <c r="J56" s="10">
        <v>0.16</v>
      </c>
      <c r="K56" s="1"/>
      <c r="L56" s="1"/>
      <c r="M56" s="1"/>
      <c r="N56" s="1"/>
      <c r="O56" s="1"/>
      <c r="P56" s="1"/>
      <c r="Q56" s="1"/>
      <c r="R56" s="1"/>
      <c r="S56" s="1"/>
      <c r="T56" s="1"/>
      <c r="U56" s="1"/>
      <c r="V56" s="1"/>
      <c r="W56" s="1"/>
      <c r="X56" s="1"/>
      <c r="Y56" s="1"/>
    </row>
    <row r="57" spans="1:25" ht="15" thickBot="1" x14ac:dyDescent="0.35">
      <c r="A57" s="9">
        <v>56</v>
      </c>
      <c r="B57" s="8">
        <v>40546</v>
      </c>
      <c r="C57" s="7">
        <v>1</v>
      </c>
      <c r="D57" s="7">
        <v>0</v>
      </c>
      <c r="E57" s="7">
        <v>1</v>
      </c>
      <c r="F57" s="7">
        <v>10</v>
      </c>
      <c r="G57" s="7" t="b">
        <v>0</v>
      </c>
      <c r="H57" s="7">
        <f t="shared" si="0"/>
        <v>1</v>
      </c>
      <c r="I57" s="7">
        <v>1</v>
      </c>
      <c r="J57" s="10">
        <v>0.18</v>
      </c>
      <c r="K57" s="1"/>
      <c r="L57" s="1"/>
      <c r="M57" s="1"/>
      <c r="N57" s="1"/>
      <c r="O57" s="1"/>
      <c r="P57" s="1"/>
      <c r="Q57" s="1"/>
      <c r="R57" s="1"/>
      <c r="S57" s="1"/>
      <c r="T57" s="1"/>
      <c r="U57" s="1"/>
      <c r="V57" s="1"/>
      <c r="W57" s="1"/>
      <c r="X57" s="1"/>
      <c r="Y57" s="1"/>
    </row>
    <row r="58" spans="1:25" ht="15" thickBot="1" x14ac:dyDescent="0.35">
      <c r="A58" s="9">
        <v>57</v>
      </c>
      <c r="B58" s="8">
        <v>40546</v>
      </c>
      <c r="C58" s="7">
        <v>1</v>
      </c>
      <c r="D58" s="7">
        <v>0</v>
      </c>
      <c r="E58" s="7">
        <v>1</v>
      </c>
      <c r="F58" s="7">
        <v>11</v>
      </c>
      <c r="G58" s="7" t="b">
        <v>0</v>
      </c>
      <c r="H58" s="7">
        <f t="shared" si="0"/>
        <v>1</v>
      </c>
      <c r="I58" s="7">
        <v>1</v>
      </c>
      <c r="J58" s="10">
        <v>0.2</v>
      </c>
      <c r="K58" s="1"/>
      <c r="L58" s="1"/>
      <c r="M58" s="1"/>
      <c r="N58" s="1"/>
      <c r="O58" s="1"/>
      <c r="P58" s="1"/>
      <c r="Q58" s="1"/>
      <c r="R58" s="1"/>
      <c r="S58" s="1"/>
      <c r="T58" s="1"/>
      <c r="U58" s="1"/>
      <c r="V58" s="1"/>
      <c r="W58" s="1"/>
      <c r="X58" s="1"/>
      <c r="Y58" s="1"/>
    </row>
    <row r="59" spans="1:25" ht="15" thickBot="1" x14ac:dyDescent="0.35">
      <c r="A59" s="9">
        <v>58</v>
      </c>
      <c r="B59" s="8">
        <v>40546</v>
      </c>
      <c r="C59" s="7">
        <v>1</v>
      </c>
      <c r="D59" s="7">
        <v>0</v>
      </c>
      <c r="E59" s="7">
        <v>1</v>
      </c>
      <c r="F59" s="7">
        <v>12</v>
      </c>
      <c r="G59" s="7" t="b">
        <v>0</v>
      </c>
      <c r="H59" s="7">
        <f t="shared" si="0"/>
        <v>1</v>
      </c>
      <c r="I59" s="7">
        <v>1</v>
      </c>
      <c r="J59" s="10">
        <v>0.22</v>
      </c>
      <c r="K59" s="1"/>
      <c r="L59" s="1"/>
      <c r="M59" s="1"/>
      <c r="N59" s="1"/>
      <c r="O59" s="1"/>
      <c r="P59" s="1"/>
      <c r="Q59" s="1"/>
      <c r="R59" s="1"/>
      <c r="S59" s="1"/>
      <c r="T59" s="1"/>
      <c r="U59" s="1"/>
      <c r="V59" s="1"/>
      <c r="W59" s="1"/>
      <c r="X59" s="1"/>
      <c r="Y59" s="1"/>
    </row>
    <row r="60" spans="1:25" ht="15" thickBot="1" x14ac:dyDescent="0.35">
      <c r="A60" s="9">
        <v>59</v>
      </c>
      <c r="B60" s="8">
        <v>40546</v>
      </c>
      <c r="C60" s="7">
        <v>1</v>
      </c>
      <c r="D60" s="7">
        <v>0</v>
      </c>
      <c r="E60" s="7">
        <v>1</v>
      </c>
      <c r="F60" s="7">
        <v>13</v>
      </c>
      <c r="G60" s="7" t="b">
        <v>0</v>
      </c>
      <c r="H60" s="7">
        <f t="shared" si="0"/>
        <v>1</v>
      </c>
      <c r="I60" s="7">
        <v>1</v>
      </c>
      <c r="J60" s="10">
        <v>0.24</v>
      </c>
      <c r="K60" s="1"/>
      <c r="L60" s="1"/>
      <c r="M60" s="1"/>
      <c r="N60" s="1"/>
      <c r="O60" s="1"/>
      <c r="P60" s="1"/>
      <c r="Q60" s="1"/>
      <c r="R60" s="1"/>
      <c r="S60" s="1"/>
      <c r="T60" s="1"/>
      <c r="U60" s="1"/>
      <c r="V60" s="1"/>
      <c r="W60" s="1"/>
      <c r="X60" s="1"/>
      <c r="Y60" s="1"/>
    </row>
    <row r="61" spans="1:25" ht="15" thickBot="1" x14ac:dyDescent="0.35">
      <c r="A61" s="9">
        <v>60</v>
      </c>
      <c r="B61" s="8">
        <v>40546</v>
      </c>
      <c r="C61" s="7">
        <v>1</v>
      </c>
      <c r="D61" s="7">
        <v>0</v>
      </c>
      <c r="E61" s="7">
        <v>1</v>
      </c>
      <c r="F61" s="7">
        <v>14</v>
      </c>
      <c r="G61" s="7" t="b">
        <v>0</v>
      </c>
      <c r="H61" s="7">
        <f t="shared" si="0"/>
        <v>1</v>
      </c>
      <c r="I61" s="7">
        <v>1</v>
      </c>
      <c r="J61" s="10">
        <v>0.26</v>
      </c>
      <c r="K61" s="1"/>
      <c r="L61" s="1"/>
      <c r="M61" s="1"/>
      <c r="N61" s="1"/>
      <c r="O61" s="1"/>
      <c r="P61" s="1"/>
      <c r="Q61" s="1"/>
      <c r="R61" s="1"/>
      <c r="S61" s="1"/>
      <c r="T61" s="1"/>
      <c r="U61" s="1"/>
      <c r="V61" s="1"/>
      <c r="W61" s="1"/>
      <c r="X61" s="1"/>
      <c r="Y61" s="1"/>
    </row>
    <row r="62" spans="1:25" ht="15" thickBot="1" x14ac:dyDescent="0.35">
      <c r="A62" s="9">
        <v>61</v>
      </c>
      <c r="B62" s="8">
        <v>40546</v>
      </c>
      <c r="C62" s="7">
        <v>1</v>
      </c>
      <c r="D62" s="7">
        <v>0</v>
      </c>
      <c r="E62" s="7">
        <v>1</v>
      </c>
      <c r="F62" s="7">
        <v>15</v>
      </c>
      <c r="G62" s="7" t="b">
        <v>0</v>
      </c>
      <c r="H62" s="7">
        <f t="shared" si="0"/>
        <v>1</v>
      </c>
      <c r="I62" s="7">
        <v>1</v>
      </c>
      <c r="J62" s="10">
        <v>0.26</v>
      </c>
      <c r="K62" s="1"/>
      <c r="L62" s="1"/>
      <c r="M62" s="1"/>
      <c r="N62" s="1"/>
      <c r="O62" s="1"/>
      <c r="P62" s="1"/>
      <c r="Q62" s="1"/>
      <c r="R62" s="1"/>
      <c r="S62" s="1"/>
      <c r="T62" s="1"/>
      <c r="U62" s="1"/>
      <c r="V62" s="1"/>
      <c r="W62" s="1"/>
      <c r="X62" s="1"/>
      <c r="Y62" s="1"/>
    </row>
    <row r="63" spans="1:25" ht="15" thickBot="1" x14ac:dyDescent="0.35">
      <c r="A63" s="9">
        <v>62</v>
      </c>
      <c r="B63" s="8">
        <v>40546</v>
      </c>
      <c r="C63" s="7">
        <v>1</v>
      </c>
      <c r="D63" s="7">
        <v>0</v>
      </c>
      <c r="E63" s="7">
        <v>1</v>
      </c>
      <c r="F63" s="7">
        <v>16</v>
      </c>
      <c r="G63" s="7" t="b">
        <v>0</v>
      </c>
      <c r="H63" s="7">
        <f t="shared" si="0"/>
        <v>1</v>
      </c>
      <c r="I63" s="7">
        <v>1</v>
      </c>
      <c r="J63" s="10">
        <v>0.26</v>
      </c>
      <c r="K63" s="1"/>
      <c r="L63" s="1"/>
      <c r="M63" s="1"/>
      <c r="N63" s="1"/>
      <c r="O63" s="1"/>
      <c r="P63" s="1"/>
      <c r="Q63" s="1"/>
      <c r="R63" s="1"/>
      <c r="S63" s="1"/>
      <c r="T63" s="1"/>
      <c r="U63" s="1"/>
      <c r="V63" s="1"/>
      <c r="W63" s="1"/>
      <c r="X63" s="1"/>
      <c r="Y63" s="1"/>
    </row>
    <row r="64" spans="1:25" ht="15" thickBot="1" x14ac:dyDescent="0.35">
      <c r="A64" s="9">
        <v>63</v>
      </c>
      <c r="B64" s="8">
        <v>40546</v>
      </c>
      <c r="C64" s="7">
        <v>1</v>
      </c>
      <c r="D64" s="7">
        <v>0</v>
      </c>
      <c r="E64" s="7">
        <v>1</v>
      </c>
      <c r="F64" s="7">
        <v>17</v>
      </c>
      <c r="G64" s="7" t="b">
        <v>0</v>
      </c>
      <c r="H64" s="7">
        <f t="shared" si="0"/>
        <v>1</v>
      </c>
      <c r="I64" s="7">
        <v>1</v>
      </c>
      <c r="J64" s="10">
        <v>0.24</v>
      </c>
      <c r="K64" s="1"/>
      <c r="L64" s="1"/>
      <c r="M64" s="1"/>
      <c r="N64" s="1"/>
      <c r="O64" s="1"/>
      <c r="P64" s="1"/>
      <c r="Q64" s="1"/>
      <c r="R64" s="1"/>
      <c r="S64" s="1"/>
      <c r="T64" s="1"/>
      <c r="U64" s="1"/>
      <c r="V64" s="1"/>
      <c r="W64" s="1"/>
      <c r="X64" s="1"/>
      <c r="Y64" s="1"/>
    </row>
    <row r="65" spans="1:25" ht="15" thickBot="1" x14ac:dyDescent="0.35">
      <c r="A65" s="9">
        <v>64</v>
      </c>
      <c r="B65" s="8">
        <v>40546</v>
      </c>
      <c r="C65" s="7">
        <v>1</v>
      </c>
      <c r="D65" s="7">
        <v>0</v>
      </c>
      <c r="E65" s="7">
        <v>1</v>
      </c>
      <c r="F65" s="7">
        <v>18</v>
      </c>
      <c r="G65" s="7" t="b">
        <v>0</v>
      </c>
      <c r="H65" s="7">
        <f t="shared" si="0"/>
        <v>1</v>
      </c>
      <c r="I65" s="7">
        <v>1</v>
      </c>
      <c r="J65" s="10">
        <v>0.24</v>
      </c>
      <c r="K65" s="1"/>
      <c r="L65" s="1"/>
      <c r="M65" s="1"/>
      <c r="N65" s="1"/>
      <c r="O65" s="1"/>
      <c r="P65" s="1"/>
      <c r="Q65" s="1"/>
      <c r="R65" s="1"/>
      <c r="S65" s="1"/>
      <c r="T65" s="1"/>
      <c r="U65" s="1"/>
      <c r="V65" s="1"/>
      <c r="W65" s="1"/>
      <c r="X65" s="1"/>
      <c r="Y65" s="1"/>
    </row>
    <row r="66" spans="1:25" ht="15" thickBot="1" x14ac:dyDescent="0.35">
      <c r="A66" s="9">
        <v>65</v>
      </c>
      <c r="B66" s="8">
        <v>40546</v>
      </c>
      <c r="C66" s="7">
        <v>1</v>
      </c>
      <c r="D66" s="7">
        <v>0</v>
      </c>
      <c r="E66" s="7">
        <v>1</v>
      </c>
      <c r="F66" s="7">
        <v>19</v>
      </c>
      <c r="G66" s="7" t="b">
        <v>0</v>
      </c>
      <c r="H66" s="7">
        <f t="shared" si="0"/>
        <v>1</v>
      </c>
      <c r="I66" s="7">
        <v>1</v>
      </c>
      <c r="J66" s="10">
        <v>0.2</v>
      </c>
      <c r="K66" s="1"/>
      <c r="L66" s="1"/>
      <c r="M66" s="1"/>
      <c r="N66" s="1"/>
      <c r="O66" s="1"/>
      <c r="P66" s="1"/>
      <c r="Q66" s="1"/>
      <c r="R66" s="1"/>
      <c r="S66" s="1"/>
      <c r="T66" s="1"/>
      <c r="U66" s="1"/>
      <c r="V66" s="1"/>
      <c r="W66" s="1"/>
      <c r="X66" s="1"/>
      <c r="Y66" s="1"/>
    </row>
    <row r="67" spans="1:25" ht="15" thickBot="1" x14ac:dyDescent="0.35">
      <c r="A67" s="9">
        <v>66</v>
      </c>
      <c r="B67" s="8">
        <v>40546</v>
      </c>
      <c r="C67" s="7">
        <v>1</v>
      </c>
      <c r="D67" s="7">
        <v>0</v>
      </c>
      <c r="E67" s="7">
        <v>1</v>
      </c>
      <c r="F67" s="7">
        <v>20</v>
      </c>
      <c r="G67" s="7" t="b">
        <v>0</v>
      </c>
      <c r="H67" s="7">
        <f t="shared" ref="H67:H130" si="1">WEEKDAY($B67,2)</f>
        <v>1</v>
      </c>
      <c r="I67" s="7">
        <v>1</v>
      </c>
      <c r="J67" s="10">
        <v>0.2</v>
      </c>
      <c r="K67" s="1"/>
      <c r="L67" s="1"/>
      <c r="M67" s="1"/>
      <c r="N67" s="1"/>
      <c r="O67" s="1"/>
      <c r="P67" s="1"/>
      <c r="Q67" s="1"/>
      <c r="R67" s="1"/>
      <c r="S67" s="1"/>
      <c r="T67" s="1"/>
      <c r="U67" s="1"/>
      <c r="V67" s="1"/>
      <c r="W67" s="1"/>
      <c r="X67" s="1"/>
      <c r="Y67" s="1"/>
    </row>
    <row r="68" spans="1:25" ht="15" thickBot="1" x14ac:dyDescent="0.35">
      <c r="A68" s="9">
        <v>67</v>
      </c>
      <c r="B68" s="8">
        <v>40546</v>
      </c>
      <c r="C68" s="7">
        <v>1</v>
      </c>
      <c r="D68" s="7">
        <v>0</v>
      </c>
      <c r="E68" s="7">
        <v>1</v>
      </c>
      <c r="F68" s="7">
        <v>21</v>
      </c>
      <c r="G68" s="7" t="b">
        <v>0</v>
      </c>
      <c r="H68" s="7">
        <f t="shared" si="1"/>
        <v>1</v>
      </c>
      <c r="I68" s="7">
        <v>1</v>
      </c>
      <c r="J68" s="10">
        <v>0.18</v>
      </c>
      <c r="K68" s="1"/>
      <c r="L68" s="1"/>
      <c r="M68" s="1"/>
      <c r="N68" s="1"/>
      <c r="O68" s="1"/>
      <c r="P68" s="1"/>
      <c r="Q68" s="1"/>
      <c r="R68" s="1"/>
      <c r="S68" s="1"/>
      <c r="T68" s="1"/>
      <c r="U68" s="1"/>
      <c r="V68" s="1"/>
      <c r="W68" s="1"/>
      <c r="X68" s="1"/>
      <c r="Y68" s="1"/>
    </row>
    <row r="69" spans="1:25" ht="15" thickBot="1" x14ac:dyDescent="0.35">
      <c r="A69" s="9">
        <v>68</v>
      </c>
      <c r="B69" s="8">
        <v>40546</v>
      </c>
      <c r="C69" s="7">
        <v>1</v>
      </c>
      <c r="D69" s="7">
        <v>0</v>
      </c>
      <c r="E69" s="7">
        <v>1</v>
      </c>
      <c r="F69" s="7">
        <v>22</v>
      </c>
      <c r="G69" s="7" t="b">
        <v>0</v>
      </c>
      <c r="H69" s="7">
        <f t="shared" si="1"/>
        <v>1</v>
      </c>
      <c r="I69" s="7">
        <v>1</v>
      </c>
      <c r="J69" s="10">
        <v>0.14000000000000001</v>
      </c>
      <c r="K69" s="1"/>
      <c r="L69" s="1"/>
      <c r="M69" s="1"/>
      <c r="N69" s="1"/>
      <c r="O69" s="1"/>
      <c r="P69" s="1"/>
      <c r="Q69" s="1"/>
      <c r="R69" s="1"/>
      <c r="S69" s="1"/>
      <c r="T69" s="1"/>
      <c r="U69" s="1"/>
      <c r="V69" s="1"/>
      <c r="W69" s="1"/>
      <c r="X69" s="1"/>
      <c r="Y69" s="1"/>
    </row>
    <row r="70" spans="1:25" ht="15" thickBot="1" x14ac:dyDescent="0.35">
      <c r="A70" s="9">
        <v>69</v>
      </c>
      <c r="B70" s="8">
        <v>40546</v>
      </c>
      <c r="C70" s="7">
        <v>1</v>
      </c>
      <c r="D70" s="7">
        <v>0</v>
      </c>
      <c r="E70" s="7">
        <v>1</v>
      </c>
      <c r="F70" s="7">
        <v>23</v>
      </c>
      <c r="G70" s="7" t="b">
        <v>0</v>
      </c>
      <c r="H70" s="7">
        <f t="shared" si="1"/>
        <v>1</v>
      </c>
      <c r="I70" s="7">
        <v>1</v>
      </c>
      <c r="J70" s="10">
        <v>0.18</v>
      </c>
      <c r="K70" s="1"/>
      <c r="L70" s="1"/>
      <c r="M70" s="1"/>
      <c r="N70" s="1"/>
      <c r="O70" s="1"/>
      <c r="P70" s="1"/>
      <c r="Q70" s="1"/>
      <c r="R70" s="1"/>
      <c r="S70" s="1"/>
      <c r="T70" s="1"/>
      <c r="U70" s="1"/>
      <c r="V70" s="1"/>
      <c r="W70" s="1"/>
      <c r="X70" s="1"/>
      <c r="Y70" s="1"/>
    </row>
    <row r="71" spans="1:25" ht="15" thickBot="1" x14ac:dyDescent="0.35">
      <c r="A71" s="9">
        <v>70</v>
      </c>
      <c r="B71" s="8">
        <v>40547</v>
      </c>
      <c r="C71" s="7">
        <v>1</v>
      </c>
      <c r="D71" s="7">
        <v>0</v>
      </c>
      <c r="E71" s="7">
        <v>1</v>
      </c>
      <c r="F71" s="7">
        <v>0</v>
      </c>
      <c r="G71" s="7" t="b">
        <v>0</v>
      </c>
      <c r="H71" s="7">
        <f t="shared" si="1"/>
        <v>2</v>
      </c>
      <c r="I71" s="7">
        <v>1</v>
      </c>
      <c r="J71" s="10">
        <v>0.16</v>
      </c>
      <c r="K71" s="1"/>
      <c r="L71" s="1"/>
      <c r="M71" s="1"/>
      <c r="N71" s="1"/>
      <c r="O71" s="1"/>
      <c r="P71" s="1"/>
      <c r="Q71" s="1"/>
      <c r="R71" s="1"/>
      <c r="S71" s="1"/>
      <c r="T71" s="1"/>
      <c r="U71" s="1"/>
      <c r="V71" s="1"/>
      <c r="W71" s="1"/>
      <c r="X71" s="1"/>
      <c r="Y71" s="1"/>
    </row>
    <row r="72" spans="1:25" ht="15" thickBot="1" x14ac:dyDescent="0.35">
      <c r="A72" s="9">
        <v>71</v>
      </c>
      <c r="B72" s="8">
        <v>40547</v>
      </c>
      <c r="C72" s="7">
        <v>1</v>
      </c>
      <c r="D72" s="7">
        <v>0</v>
      </c>
      <c r="E72" s="7">
        <v>1</v>
      </c>
      <c r="F72" s="7">
        <v>1</v>
      </c>
      <c r="G72" s="7" t="b">
        <v>0</v>
      </c>
      <c r="H72" s="7">
        <f t="shared" si="1"/>
        <v>2</v>
      </c>
      <c r="I72" s="7">
        <v>1</v>
      </c>
      <c r="J72" s="10">
        <v>0.16</v>
      </c>
      <c r="K72" s="1"/>
      <c r="L72" s="1"/>
      <c r="M72" s="1"/>
      <c r="N72" s="1"/>
      <c r="O72" s="1"/>
      <c r="P72" s="1"/>
      <c r="Q72" s="1"/>
      <c r="R72" s="1"/>
      <c r="S72" s="1"/>
      <c r="T72" s="1"/>
      <c r="U72" s="1"/>
      <c r="V72" s="1"/>
      <c r="W72" s="1"/>
      <c r="X72" s="1"/>
      <c r="Y72" s="1"/>
    </row>
    <row r="73" spans="1:25" ht="15" thickBot="1" x14ac:dyDescent="0.35">
      <c r="A73" s="9">
        <v>72</v>
      </c>
      <c r="B73" s="8">
        <v>40547</v>
      </c>
      <c r="C73" s="7">
        <v>1</v>
      </c>
      <c r="D73" s="7">
        <v>0</v>
      </c>
      <c r="E73" s="7">
        <v>1</v>
      </c>
      <c r="F73" s="7">
        <v>2</v>
      </c>
      <c r="G73" s="7" t="b">
        <v>0</v>
      </c>
      <c r="H73" s="7">
        <f t="shared" si="1"/>
        <v>2</v>
      </c>
      <c r="I73" s="7">
        <v>1</v>
      </c>
      <c r="J73" s="10">
        <v>0.14000000000000001</v>
      </c>
      <c r="K73" s="1"/>
      <c r="L73" s="1"/>
      <c r="M73" s="1"/>
      <c r="N73" s="1"/>
      <c r="O73" s="1"/>
      <c r="P73" s="1"/>
      <c r="Q73" s="1"/>
      <c r="R73" s="1"/>
      <c r="S73" s="1"/>
      <c r="T73" s="1"/>
      <c r="U73" s="1"/>
      <c r="V73" s="1"/>
      <c r="W73" s="1"/>
      <c r="X73" s="1"/>
      <c r="Y73" s="1"/>
    </row>
    <row r="74" spans="1:25" ht="15" thickBot="1" x14ac:dyDescent="0.35">
      <c r="A74" s="9">
        <v>73</v>
      </c>
      <c r="B74" s="8">
        <v>40547</v>
      </c>
      <c r="C74" s="7">
        <v>1</v>
      </c>
      <c r="D74" s="7">
        <v>0</v>
      </c>
      <c r="E74" s="7">
        <v>1</v>
      </c>
      <c r="F74" s="7">
        <v>4</v>
      </c>
      <c r="G74" s="7" t="b">
        <v>0</v>
      </c>
      <c r="H74" s="7">
        <f t="shared" si="1"/>
        <v>2</v>
      </c>
      <c r="I74" s="7">
        <v>1</v>
      </c>
      <c r="J74" s="10">
        <v>0.14000000000000001</v>
      </c>
      <c r="K74" s="1"/>
      <c r="L74" s="1"/>
      <c r="M74" s="1"/>
      <c r="N74" s="1"/>
      <c r="O74" s="1"/>
      <c r="P74" s="1"/>
      <c r="Q74" s="1"/>
      <c r="R74" s="1"/>
      <c r="S74" s="1"/>
      <c r="T74" s="1"/>
      <c r="U74" s="1"/>
      <c r="V74" s="1"/>
      <c r="W74" s="1"/>
      <c r="X74" s="1"/>
      <c r="Y74" s="1"/>
    </row>
    <row r="75" spans="1:25" ht="15" thickBot="1" x14ac:dyDescent="0.35">
      <c r="A75" s="9">
        <v>74</v>
      </c>
      <c r="B75" s="8">
        <v>40547</v>
      </c>
      <c r="C75" s="7">
        <v>1</v>
      </c>
      <c r="D75" s="7">
        <v>0</v>
      </c>
      <c r="E75" s="7">
        <v>1</v>
      </c>
      <c r="F75" s="7">
        <v>5</v>
      </c>
      <c r="G75" s="7" t="b">
        <v>0</v>
      </c>
      <c r="H75" s="7">
        <f t="shared" si="1"/>
        <v>2</v>
      </c>
      <c r="I75" s="7">
        <v>1</v>
      </c>
      <c r="J75" s="10">
        <v>0.12</v>
      </c>
      <c r="K75" s="1"/>
      <c r="L75" s="1"/>
      <c r="M75" s="1"/>
      <c r="N75" s="1"/>
      <c r="O75" s="1"/>
      <c r="P75" s="1"/>
      <c r="Q75" s="1"/>
      <c r="R75" s="1"/>
      <c r="S75" s="1"/>
      <c r="T75" s="1"/>
      <c r="U75" s="1"/>
      <c r="V75" s="1"/>
      <c r="W75" s="1"/>
      <c r="X75" s="1"/>
      <c r="Y75" s="1"/>
    </row>
    <row r="76" spans="1:25" ht="15" thickBot="1" x14ac:dyDescent="0.35">
      <c r="A76" s="9">
        <v>75</v>
      </c>
      <c r="B76" s="8">
        <v>40547</v>
      </c>
      <c r="C76" s="7">
        <v>1</v>
      </c>
      <c r="D76" s="7">
        <v>0</v>
      </c>
      <c r="E76" s="7">
        <v>1</v>
      </c>
      <c r="F76" s="7">
        <v>6</v>
      </c>
      <c r="G76" s="7" t="b">
        <v>0</v>
      </c>
      <c r="H76" s="7">
        <f t="shared" si="1"/>
        <v>2</v>
      </c>
      <c r="I76" s="7">
        <v>1</v>
      </c>
      <c r="J76" s="10">
        <v>0.12</v>
      </c>
      <c r="K76" s="1"/>
      <c r="L76" s="1"/>
      <c r="M76" s="1"/>
      <c r="N76" s="1"/>
      <c r="O76" s="1"/>
      <c r="P76" s="1"/>
      <c r="Q76" s="1"/>
      <c r="R76" s="1"/>
      <c r="S76" s="1"/>
      <c r="T76" s="1"/>
      <c r="U76" s="1"/>
      <c r="V76" s="1"/>
      <c r="W76" s="1"/>
      <c r="X76" s="1"/>
      <c r="Y76" s="1"/>
    </row>
    <row r="77" spans="1:25" ht="15" thickBot="1" x14ac:dyDescent="0.35">
      <c r="A77" s="9">
        <v>76</v>
      </c>
      <c r="B77" s="8">
        <v>40547</v>
      </c>
      <c r="C77" s="7">
        <v>1</v>
      </c>
      <c r="D77" s="7">
        <v>0</v>
      </c>
      <c r="E77" s="7">
        <v>1</v>
      </c>
      <c r="F77" s="7">
        <v>7</v>
      </c>
      <c r="G77" s="7" t="b">
        <v>0</v>
      </c>
      <c r="H77" s="7">
        <f t="shared" si="1"/>
        <v>2</v>
      </c>
      <c r="I77" s="7">
        <v>1</v>
      </c>
      <c r="J77" s="10">
        <v>0.12</v>
      </c>
      <c r="K77" s="1"/>
      <c r="L77" s="1"/>
      <c r="M77" s="1"/>
      <c r="N77" s="1"/>
      <c r="O77" s="1"/>
      <c r="P77" s="1"/>
      <c r="Q77" s="1"/>
      <c r="R77" s="1"/>
      <c r="S77" s="1"/>
      <c r="T77" s="1"/>
      <c r="U77" s="1"/>
      <c r="V77" s="1"/>
      <c r="W77" s="1"/>
      <c r="X77" s="1"/>
      <c r="Y77" s="1"/>
    </row>
    <row r="78" spans="1:25" ht="15" thickBot="1" x14ac:dyDescent="0.35">
      <c r="A78" s="9">
        <v>77</v>
      </c>
      <c r="B78" s="8">
        <v>40547</v>
      </c>
      <c r="C78" s="7">
        <v>1</v>
      </c>
      <c r="D78" s="7">
        <v>0</v>
      </c>
      <c r="E78" s="7">
        <v>1</v>
      </c>
      <c r="F78" s="7">
        <v>8</v>
      </c>
      <c r="G78" s="7" t="b">
        <v>0</v>
      </c>
      <c r="H78" s="7">
        <f t="shared" si="1"/>
        <v>2</v>
      </c>
      <c r="I78" s="7">
        <v>1</v>
      </c>
      <c r="J78" s="10">
        <v>0.14000000000000001</v>
      </c>
      <c r="K78" s="1"/>
      <c r="L78" s="1"/>
      <c r="M78" s="1"/>
      <c r="N78" s="1"/>
      <c r="O78" s="1"/>
      <c r="P78" s="1"/>
      <c r="Q78" s="1"/>
      <c r="R78" s="1"/>
      <c r="S78" s="1"/>
      <c r="T78" s="1"/>
      <c r="U78" s="1"/>
      <c r="V78" s="1"/>
      <c r="W78" s="1"/>
      <c r="X78" s="1"/>
      <c r="Y78" s="1"/>
    </row>
    <row r="79" spans="1:25" ht="15" thickBot="1" x14ac:dyDescent="0.35">
      <c r="A79" s="9">
        <v>78</v>
      </c>
      <c r="B79" s="8">
        <v>40547</v>
      </c>
      <c r="C79" s="7">
        <v>1</v>
      </c>
      <c r="D79" s="7">
        <v>0</v>
      </c>
      <c r="E79" s="7">
        <v>1</v>
      </c>
      <c r="F79" s="7">
        <v>9</v>
      </c>
      <c r="G79" s="7" t="b">
        <v>0</v>
      </c>
      <c r="H79" s="7">
        <f t="shared" si="1"/>
        <v>2</v>
      </c>
      <c r="I79" s="7">
        <v>1</v>
      </c>
      <c r="J79" s="10">
        <v>0.16</v>
      </c>
      <c r="K79" s="1"/>
      <c r="L79" s="1"/>
      <c r="M79" s="1"/>
      <c r="N79" s="1"/>
      <c r="O79" s="1"/>
      <c r="P79" s="1"/>
      <c r="Q79" s="1"/>
      <c r="R79" s="1"/>
      <c r="S79" s="1"/>
      <c r="T79" s="1"/>
      <c r="U79" s="1"/>
      <c r="V79" s="1"/>
      <c r="W79" s="1"/>
      <c r="X79" s="1"/>
      <c r="Y79" s="1"/>
    </row>
    <row r="80" spans="1:25" ht="15" thickBot="1" x14ac:dyDescent="0.35">
      <c r="A80" s="9">
        <v>79</v>
      </c>
      <c r="B80" s="8">
        <v>40547</v>
      </c>
      <c r="C80" s="7">
        <v>1</v>
      </c>
      <c r="D80" s="7">
        <v>0</v>
      </c>
      <c r="E80" s="7">
        <v>1</v>
      </c>
      <c r="F80" s="7">
        <v>10</v>
      </c>
      <c r="G80" s="7" t="b">
        <v>0</v>
      </c>
      <c r="H80" s="7">
        <f t="shared" si="1"/>
        <v>2</v>
      </c>
      <c r="I80" s="7">
        <v>2</v>
      </c>
      <c r="J80" s="10">
        <v>0.16</v>
      </c>
      <c r="K80" s="1"/>
      <c r="L80" s="1"/>
      <c r="M80" s="1"/>
      <c r="N80" s="1"/>
      <c r="O80" s="1"/>
      <c r="P80" s="1"/>
      <c r="Q80" s="1"/>
      <c r="R80" s="1"/>
      <c r="S80" s="1"/>
      <c r="T80" s="1"/>
      <c r="U80" s="1"/>
      <c r="V80" s="1"/>
      <c r="W80" s="1"/>
      <c r="X80" s="1"/>
      <c r="Y80" s="1"/>
    </row>
    <row r="81" spans="1:25" ht="15" thickBot="1" x14ac:dyDescent="0.35">
      <c r="A81" s="9">
        <v>80</v>
      </c>
      <c r="B81" s="8">
        <v>40547</v>
      </c>
      <c r="C81" s="7">
        <v>1</v>
      </c>
      <c r="D81" s="7">
        <v>0</v>
      </c>
      <c r="E81" s="7">
        <v>1</v>
      </c>
      <c r="F81" s="7">
        <v>11</v>
      </c>
      <c r="G81" s="7" t="b">
        <v>0</v>
      </c>
      <c r="H81" s="7">
        <f t="shared" si="1"/>
        <v>2</v>
      </c>
      <c r="I81" s="7">
        <v>1</v>
      </c>
      <c r="J81" s="10">
        <v>0.22</v>
      </c>
      <c r="K81" s="1"/>
      <c r="L81" s="1"/>
      <c r="M81" s="1"/>
      <c r="N81" s="1"/>
      <c r="O81" s="1"/>
      <c r="P81" s="1"/>
      <c r="Q81" s="1"/>
      <c r="R81" s="1"/>
      <c r="S81" s="1"/>
      <c r="T81" s="1"/>
      <c r="U81" s="1"/>
      <c r="V81" s="1"/>
      <c r="W81" s="1"/>
      <c r="X81" s="1"/>
      <c r="Y81" s="1"/>
    </row>
    <row r="82" spans="1:25" ht="15" thickBot="1" x14ac:dyDescent="0.35">
      <c r="A82" s="9">
        <v>81</v>
      </c>
      <c r="B82" s="8">
        <v>40547</v>
      </c>
      <c r="C82" s="7">
        <v>1</v>
      </c>
      <c r="D82" s="7">
        <v>0</v>
      </c>
      <c r="E82" s="7">
        <v>1</v>
      </c>
      <c r="F82" s="7">
        <v>12</v>
      </c>
      <c r="G82" s="7" t="b">
        <v>0</v>
      </c>
      <c r="H82" s="7">
        <f t="shared" si="1"/>
        <v>2</v>
      </c>
      <c r="I82" s="7">
        <v>1</v>
      </c>
      <c r="J82" s="10">
        <v>0.22</v>
      </c>
      <c r="K82" s="1"/>
      <c r="L82" s="1"/>
      <c r="M82" s="1"/>
      <c r="N82" s="1"/>
      <c r="O82" s="1"/>
      <c r="P82" s="1"/>
      <c r="Q82" s="1"/>
      <c r="R82" s="1"/>
      <c r="S82" s="1"/>
      <c r="T82" s="1"/>
      <c r="U82" s="1"/>
      <c r="V82" s="1"/>
      <c r="W82" s="1"/>
      <c r="X82" s="1"/>
      <c r="Y82" s="1"/>
    </row>
    <row r="83" spans="1:25" ht="15" thickBot="1" x14ac:dyDescent="0.35">
      <c r="A83" s="9">
        <v>82</v>
      </c>
      <c r="B83" s="8">
        <v>40547</v>
      </c>
      <c r="C83" s="7">
        <v>1</v>
      </c>
      <c r="D83" s="7">
        <v>0</v>
      </c>
      <c r="E83" s="7">
        <v>1</v>
      </c>
      <c r="F83" s="7">
        <v>13</v>
      </c>
      <c r="G83" s="7" t="b">
        <v>0</v>
      </c>
      <c r="H83" s="7">
        <f t="shared" si="1"/>
        <v>2</v>
      </c>
      <c r="I83" s="7">
        <v>1</v>
      </c>
      <c r="J83" s="10">
        <v>0.24</v>
      </c>
      <c r="K83" s="1"/>
      <c r="L83" s="1"/>
      <c r="M83" s="1"/>
      <c r="N83" s="1"/>
      <c r="O83" s="1"/>
      <c r="P83" s="1"/>
      <c r="Q83" s="1"/>
      <c r="R83" s="1"/>
      <c r="S83" s="1"/>
      <c r="T83" s="1"/>
      <c r="U83" s="1"/>
      <c r="V83" s="1"/>
      <c r="W83" s="1"/>
      <c r="X83" s="1"/>
      <c r="Y83" s="1"/>
    </row>
    <row r="84" spans="1:25" ht="15" thickBot="1" x14ac:dyDescent="0.35">
      <c r="A84" s="9">
        <v>83</v>
      </c>
      <c r="B84" s="8">
        <v>40547</v>
      </c>
      <c r="C84" s="7">
        <v>1</v>
      </c>
      <c r="D84" s="7">
        <v>0</v>
      </c>
      <c r="E84" s="7">
        <v>1</v>
      </c>
      <c r="F84" s="7">
        <v>14</v>
      </c>
      <c r="G84" s="7" t="b">
        <v>0</v>
      </c>
      <c r="H84" s="7">
        <f t="shared" si="1"/>
        <v>2</v>
      </c>
      <c r="I84" s="7">
        <v>1</v>
      </c>
      <c r="J84" s="10">
        <v>0.26</v>
      </c>
      <c r="K84" s="1"/>
      <c r="L84" s="1"/>
      <c r="M84" s="1"/>
      <c r="N84" s="1"/>
      <c r="O84" s="1"/>
      <c r="P84" s="1"/>
      <c r="Q84" s="1"/>
      <c r="R84" s="1"/>
      <c r="S84" s="1"/>
      <c r="T84" s="1"/>
      <c r="U84" s="1"/>
      <c r="V84" s="1"/>
      <c r="W84" s="1"/>
      <c r="X84" s="1"/>
      <c r="Y84" s="1"/>
    </row>
    <row r="85" spans="1:25" ht="15" thickBot="1" x14ac:dyDescent="0.35">
      <c r="A85" s="9">
        <v>84</v>
      </c>
      <c r="B85" s="8">
        <v>40547</v>
      </c>
      <c r="C85" s="7">
        <v>1</v>
      </c>
      <c r="D85" s="7">
        <v>0</v>
      </c>
      <c r="E85" s="7">
        <v>1</v>
      </c>
      <c r="F85" s="7">
        <v>15</v>
      </c>
      <c r="G85" s="7" t="b">
        <v>0</v>
      </c>
      <c r="H85" s="7">
        <f t="shared" si="1"/>
        <v>2</v>
      </c>
      <c r="I85" s="7">
        <v>1</v>
      </c>
      <c r="J85" s="10">
        <v>0.28000000000000003</v>
      </c>
      <c r="K85" s="1"/>
      <c r="L85" s="1"/>
      <c r="M85" s="1"/>
      <c r="N85" s="1"/>
      <c r="O85" s="1"/>
      <c r="P85" s="1"/>
      <c r="Q85" s="1"/>
      <c r="R85" s="1"/>
      <c r="S85" s="1"/>
      <c r="T85" s="1"/>
      <c r="U85" s="1"/>
      <c r="V85" s="1"/>
      <c r="W85" s="1"/>
      <c r="X85" s="1"/>
      <c r="Y85" s="1"/>
    </row>
    <row r="86" spans="1:25" ht="15" thickBot="1" x14ac:dyDescent="0.35">
      <c r="A86" s="9">
        <v>85</v>
      </c>
      <c r="B86" s="8">
        <v>40547</v>
      </c>
      <c r="C86" s="7">
        <v>1</v>
      </c>
      <c r="D86" s="7">
        <v>0</v>
      </c>
      <c r="E86" s="7">
        <v>1</v>
      </c>
      <c r="F86" s="7">
        <v>16</v>
      </c>
      <c r="G86" s="7" t="b">
        <v>0</v>
      </c>
      <c r="H86" s="7">
        <f t="shared" si="1"/>
        <v>2</v>
      </c>
      <c r="I86" s="7">
        <v>1</v>
      </c>
      <c r="J86" s="10">
        <v>0.3</v>
      </c>
      <c r="K86" s="1"/>
      <c r="L86" s="1"/>
      <c r="M86" s="1"/>
      <c r="N86" s="1"/>
      <c r="O86" s="1"/>
      <c r="P86" s="1"/>
      <c r="Q86" s="1"/>
      <c r="R86" s="1"/>
      <c r="S86" s="1"/>
      <c r="T86" s="1"/>
      <c r="U86" s="1"/>
      <c r="V86" s="1"/>
      <c r="W86" s="1"/>
      <c r="X86" s="1"/>
      <c r="Y86" s="1"/>
    </row>
    <row r="87" spans="1:25" ht="15" thickBot="1" x14ac:dyDescent="0.35">
      <c r="A87" s="9">
        <v>86</v>
      </c>
      <c r="B87" s="8">
        <v>40547</v>
      </c>
      <c r="C87" s="7">
        <v>1</v>
      </c>
      <c r="D87" s="7">
        <v>0</v>
      </c>
      <c r="E87" s="7">
        <v>1</v>
      </c>
      <c r="F87" s="7">
        <v>17</v>
      </c>
      <c r="G87" s="7" t="b">
        <v>0</v>
      </c>
      <c r="H87" s="7">
        <f t="shared" si="1"/>
        <v>2</v>
      </c>
      <c r="I87" s="7">
        <v>1</v>
      </c>
      <c r="J87" s="10">
        <v>0.28000000000000003</v>
      </c>
      <c r="K87" s="1"/>
      <c r="L87" s="1"/>
      <c r="M87" s="1"/>
      <c r="N87" s="1"/>
      <c r="O87" s="1"/>
      <c r="P87" s="1"/>
      <c r="Q87" s="1"/>
      <c r="R87" s="1"/>
      <c r="S87" s="1"/>
      <c r="T87" s="1"/>
      <c r="U87" s="1"/>
      <c r="V87" s="1"/>
      <c r="W87" s="1"/>
      <c r="X87" s="1"/>
      <c r="Y87" s="1"/>
    </row>
    <row r="88" spans="1:25" ht="15" thickBot="1" x14ac:dyDescent="0.35">
      <c r="A88" s="9">
        <v>87</v>
      </c>
      <c r="B88" s="8">
        <v>40547</v>
      </c>
      <c r="C88" s="7">
        <v>1</v>
      </c>
      <c r="D88" s="7">
        <v>0</v>
      </c>
      <c r="E88" s="7">
        <v>1</v>
      </c>
      <c r="F88" s="7">
        <v>18</v>
      </c>
      <c r="G88" s="7" t="b">
        <v>0</v>
      </c>
      <c r="H88" s="7">
        <f t="shared" si="1"/>
        <v>2</v>
      </c>
      <c r="I88" s="7">
        <v>1</v>
      </c>
      <c r="J88" s="10">
        <v>0.26</v>
      </c>
      <c r="K88" s="1"/>
      <c r="L88" s="1"/>
      <c r="M88" s="1"/>
      <c r="N88" s="1"/>
      <c r="O88" s="1"/>
      <c r="P88" s="1"/>
      <c r="Q88" s="1"/>
      <c r="R88" s="1"/>
      <c r="S88" s="1"/>
      <c r="T88" s="1"/>
      <c r="U88" s="1"/>
      <c r="V88" s="1"/>
      <c r="W88" s="1"/>
      <c r="X88" s="1"/>
      <c r="Y88" s="1"/>
    </row>
    <row r="89" spans="1:25" ht="15" thickBot="1" x14ac:dyDescent="0.35">
      <c r="A89" s="9">
        <v>88</v>
      </c>
      <c r="B89" s="8">
        <v>40547</v>
      </c>
      <c r="C89" s="7">
        <v>1</v>
      </c>
      <c r="D89" s="7">
        <v>0</v>
      </c>
      <c r="E89" s="7">
        <v>1</v>
      </c>
      <c r="F89" s="7">
        <v>19</v>
      </c>
      <c r="G89" s="7" t="b">
        <v>0</v>
      </c>
      <c r="H89" s="7">
        <f t="shared" si="1"/>
        <v>2</v>
      </c>
      <c r="I89" s="7">
        <v>1</v>
      </c>
      <c r="J89" s="10">
        <v>0.24</v>
      </c>
      <c r="K89" s="1"/>
      <c r="L89" s="1"/>
      <c r="M89" s="1"/>
      <c r="N89" s="1"/>
      <c r="O89" s="1"/>
      <c r="P89" s="1"/>
      <c r="Q89" s="1"/>
      <c r="R89" s="1"/>
      <c r="S89" s="1"/>
      <c r="T89" s="1"/>
      <c r="U89" s="1"/>
      <c r="V89" s="1"/>
      <c r="W89" s="1"/>
      <c r="X89" s="1"/>
      <c r="Y89" s="1"/>
    </row>
    <row r="90" spans="1:25" ht="15" thickBot="1" x14ac:dyDescent="0.35">
      <c r="A90" s="9">
        <v>89</v>
      </c>
      <c r="B90" s="8">
        <v>40547</v>
      </c>
      <c r="C90" s="7">
        <v>1</v>
      </c>
      <c r="D90" s="7">
        <v>0</v>
      </c>
      <c r="E90" s="7">
        <v>1</v>
      </c>
      <c r="F90" s="7">
        <v>20</v>
      </c>
      <c r="G90" s="7" t="b">
        <v>0</v>
      </c>
      <c r="H90" s="7">
        <f t="shared" si="1"/>
        <v>2</v>
      </c>
      <c r="I90" s="7">
        <v>1</v>
      </c>
      <c r="J90" s="10">
        <v>0.24</v>
      </c>
      <c r="K90" s="1"/>
      <c r="L90" s="1"/>
      <c r="M90" s="1"/>
      <c r="N90" s="1"/>
      <c r="O90" s="1"/>
      <c r="P90" s="1"/>
      <c r="Q90" s="1"/>
      <c r="R90" s="1"/>
      <c r="S90" s="1"/>
      <c r="T90" s="1"/>
      <c r="U90" s="1"/>
      <c r="V90" s="1"/>
      <c r="W90" s="1"/>
      <c r="X90" s="1"/>
      <c r="Y90" s="1"/>
    </row>
    <row r="91" spans="1:25" ht="15" thickBot="1" x14ac:dyDescent="0.35">
      <c r="A91" s="9">
        <v>90</v>
      </c>
      <c r="B91" s="8">
        <v>40547</v>
      </c>
      <c r="C91" s="7">
        <v>1</v>
      </c>
      <c r="D91" s="7">
        <v>0</v>
      </c>
      <c r="E91" s="7">
        <v>1</v>
      </c>
      <c r="F91" s="7">
        <v>21</v>
      </c>
      <c r="G91" s="7" t="b">
        <v>0</v>
      </c>
      <c r="H91" s="7">
        <f t="shared" si="1"/>
        <v>2</v>
      </c>
      <c r="I91" s="7">
        <v>1</v>
      </c>
      <c r="J91" s="10">
        <v>0.22</v>
      </c>
      <c r="K91" s="1"/>
      <c r="L91" s="1"/>
      <c r="M91" s="1"/>
      <c r="N91" s="1"/>
      <c r="O91" s="1"/>
      <c r="P91" s="1"/>
      <c r="Q91" s="1"/>
      <c r="R91" s="1"/>
      <c r="S91" s="1"/>
      <c r="T91" s="1"/>
      <c r="U91" s="1"/>
      <c r="V91" s="1"/>
      <c r="W91" s="1"/>
      <c r="X91" s="1"/>
      <c r="Y91" s="1"/>
    </row>
    <row r="92" spans="1:25" ht="15" thickBot="1" x14ac:dyDescent="0.35">
      <c r="A92" s="9">
        <v>91</v>
      </c>
      <c r="B92" s="8">
        <v>40547</v>
      </c>
      <c r="C92" s="7">
        <v>1</v>
      </c>
      <c r="D92" s="7">
        <v>0</v>
      </c>
      <c r="E92" s="7">
        <v>1</v>
      </c>
      <c r="F92" s="7">
        <v>22</v>
      </c>
      <c r="G92" s="7" t="b">
        <v>0</v>
      </c>
      <c r="H92" s="7">
        <f t="shared" si="1"/>
        <v>2</v>
      </c>
      <c r="I92" s="7">
        <v>1</v>
      </c>
      <c r="J92" s="10">
        <v>0.22</v>
      </c>
      <c r="K92" s="1"/>
      <c r="L92" s="1"/>
      <c r="M92" s="1"/>
      <c r="N92" s="1"/>
      <c r="O92" s="1"/>
      <c r="P92" s="1"/>
      <c r="Q92" s="1"/>
      <c r="R92" s="1"/>
      <c r="S92" s="1"/>
      <c r="T92" s="1"/>
      <c r="U92" s="1"/>
      <c r="V92" s="1"/>
      <c r="W92" s="1"/>
      <c r="X92" s="1"/>
      <c r="Y92" s="1"/>
    </row>
    <row r="93" spans="1:25" ht="15" thickBot="1" x14ac:dyDescent="0.35">
      <c r="A93" s="9">
        <v>92</v>
      </c>
      <c r="B93" s="8">
        <v>40547</v>
      </c>
      <c r="C93" s="7">
        <v>1</v>
      </c>
      <c r="D93" s="7">
        <v>0</v>
      </c>
      <c r="E93" s="7">
        <v>1</v>
      </c>
      <c r="F93" s="7">
        <v>23</v>
      </c>
      <c r="G93" s="7" t="b">
        <v>0</v>
      </c>
      <c r="H93" s="7">
        <f t="shared" si="1"/>
        <v>2</v>
      </c>
      <c r="I93" s="7">
        <v>1</v>
      </c>
      <c r="J93" s="10">
        <v>0.2</v>
      </c>
      <c r="K93" s="1"/>
      <c r="L93" s="1"/>
      <c r="M93" s="1"/>
      <c r="N93" s="1"/>
      <c r="O93" s="1"/>
      <c r="P93" s="1"/>
      <c r="Q93" s="1"/>
      <c r="R93" s="1"/>
      <c r="S93" s="1"/>
      <c r="T93" s="1"/>
      <c r="U93" s="1"/>
      <c r="V93" s="1"/>
      <c r="W93" s="1"/>
      <c r="X93" s="1"/>
      <c r="Y93" s="1"/>
    </row>
    <row r="94" spans="1:25" ht="15" thickBot="1" x14ac:dyDescent="0.35">
      <c r="A94" s="9">
        <v>93</v>
      </c>
      <c r="B94" s="8">
        <v>40548</v>
      </c>
      <c r="C94" s="7">
        <v>1</v>
      </c>
      <c r="D94" s="7">
        <v>0</v>
      </c>
      <c r="E94" s="7">
        <v>1</v>
      </c>
      <c r="F94" s="7">
        <v>0</v>
      </c>
      <c r="G94" s="7" t="b">
        <v>0</v>
      </c>
      <c r="H94" s="7">
        <f t="shared" si="1"/>
        <v>3</v>
      </c>
      <c r="I94" s="7">
        <v>1</v>
      </c>
      <c r="J94" s="10">
        <v>0.2</v>
      </c>
      <c r="K94" s="1"/>
      <c r="L94" s="1"/>
      <c r="M94" s="1"/>
      <c r="N94" s="1"/>
      <c r="O94" s="1"/>
      <c r="P94" s="1"/>
      <c r="Q94" s="1"/>
      <c r="R94" s="1"/>
      <c r="S94" s="1"/>
      <c r="T94" s="1"/>
      <c r="U94" s="1"/>
      <c r="V94" s="1"/>
      <c r="W94" s="1"/>
      <c r="X94" s="1"/>
      <c r="Y94" s="1"/>
    </row>
    <row r="95" spans="1:25" ht="15" thickBot="1" x14ac:dyDescent="0.35">
      <c r="A95" s="9">
        <v>94</v>
      </c>
      <c r="B95" s="8">
        <v>40548</v>
      </c>
      <c r="C95" s="7">
        <v>1</v>
      </c>
      <c r="D95" s="7">
        <v>0</v>
      </c>
      <c r="E95" s="7">
        <v>1</v>
      </c>
      <c r="F95" s="7">
        <v>1</v>
      </c>
      <c r="G95" s="7" t="b">
        <v>0</v>
      </c>
      <c r="H95" s="7">
        <f t="shared" si="1"/>
        <v>3</v>
      </c>
      <c r="I95" s="7">
        <v>1</v>
      </c>
      <c r="J95" s="10">
        <v>0.16</v>
      </c>
      <c r="K95" s="1"/>
      <c r="L95" s="1"/>
      <c r="M95" s="1"/>
      <c r="N95" s="1"/>
      <c r="O95" s="1"/>
      <c r="P95" s="1"/>
      <c r="Q95" s="1"/>
      <c r="R95" s="1"/>
      <c r="S95" s="1"/>
      <c r="T95" s="1"/>
      <c r="U95" s="1"/>
      <c r="V95" s="1"/>
      <c r="W95" s="1"/>
      <c r="X95" s="1"/>
      <c r="Y95" s="1"/>
    </row>
    <row r="96" spans="1:25" ht="15" thickBot="1" x14ac:dyDescent="0.35">
      <c r="A96" s="9">
        <v>95</v>
      </c>
      <c r="B96" s="8">
        <v>40548</v>
      </c>
      <c r="C96" s="7">
        <v>1</v>
      </c>
      <c r="D96" s="7">
        <v>0</v>
      </c>
      <c r="E96" s="7">
        <v>1</v>
      </c>
      <c r="F96" s="7">
        <v>2</v>
      </c>
      <c r="G96" s="7" t="b">
        <v>0</v>
      </c>
      <c r="H96" s="7">
        <f t="shared" si="1"/>
        <v>3</v>
      </c>
      <c r="I96" s="7">
        <v>1</v>
      </c>
      <c r="J96" s="10">
        <v>0.16</v>
      </c>
      <c r="K96" s="1"/>
      <c r="L96" s="1"/>
      <c r="M96" s="1"/>
      <c r="N96" s="1"/>
      <c r="O96" s="1"/>
      <c r="P96" s="1"/>
      <c r="Q96" s="1"/>
      <c r="R96" s="1"/>
      <c r="S96" s="1"/>
      <c r="T96" s="1"/>
      <c r="U96" s="1"/>
      <c r="V96" s="1"/>
      <c r="W96" s="1"/>
      <c r="X96" s="1"/>
      <c r="Y96" s="1"/>
    </row>
    <row r="97" spans="1:25" ht="15" thickBot="1" x14ac:dyDescent="0.35">
      <c r="A97" s="9">
        <v>96</v>
      </c>
      <c r="B97" s="8">
        <v>40548</v>
      </c>
      <c r="C97" s="7">
        <v>1</v>
      </c>
      <c r="D97" s="7">
        <v>0</v>
      </c>
      <c r="E97" s="7">
        <v>1</v>
      </c>
      <c r="F97" s="7">
        <v>4</v>
      </c>
      <c r="G97" s="7" t="b">
        <v>0</v>
      </c>
      <c r="H97" s="7">
        <f t="shared" si="1"/>
        <v>3</v>
      </c>
      <c r="I97" s="7">
        <v>1</v>
      </c>
      <c r="J97" s="10">
        <v>0.24</v>
      </c>
      <c r="K97" s="1"/>
      <c r="L97" s="1"/>
      <c r="M97" s="1"/>
      <c r="N97" s="1"/>
      <c r="O97" s="1"/>
      <c r="P97" s="1"/>
      <c r="Q97" s="1"/>
      <c r="R97" s="1"/>
      <c r="S97" s="1"/>
      <c r="T97" s="1"/>
      <c r="U97" s="1"/>
      <c r="V97" s="1"/>
      <c r="W97" s="1"/>
      <c r="X97" s="1"/>
      <c r="Y97" s="1"/>
    </row>
    <row r="98" spans="1:25" ht="15" thickBot="1" x14ac:dyDescent="0.35">
      <c r="A98" s="9">
        <v>97</v>
      </c>
      <c r="B98" s="8">
        <v>40548</v>
      </c>
      <c r="C98" s="7">
        <v>1</v>
      </c>
      <c r="D98" s="7">
        <v>0</v>
      </c>
      <c r="E98" s="7">
        <v>1</v>
      </c>
      <c r="F98" s="7">
        <v>5</v>
      </c>
      <c r="G98" s="7" t="b">
        <v>0</v>
      </c>
      <c r="H98" s="7">
        <f t="shared" si="1"/>
        <v>3</v>
      </c>
      <c r="I98" s="7">
        <v>1</v>
      </c>
      <c r="J98" s="10">
        <v>0.22</v>
      </c>
      <c r="K98" s="1"/>
      <c r="L98" s="1"/>
      <c r="M98" s="1"/>
      <c r="N98" s="1"/>
      <c r="O98" s="1"/>
      <c r="P98" s="1"/>
      <c r="Q98" s="1"/>
      <c r="R98" s="1"/>
      <c r="S98" s="1"/>
      <c r="T98" s="1"/>
      <c r="U98" s="1"/>
      <c r="V98" s="1"/>
      <c r="W98" s="1"/>
      <c r="X98" s="1"/>
      <c r="Y98" s="1"/>
    </row>
    <row r="99" spans="1:25" ht="15" thickBot="1" x14ac:dyDescent="0.35">
      <c r="A99" s="9">
        <v>98</v>
      </c>
      <c r="B99" s="8">
        <v>40548</v>
      </c>
      <c r="C99" s="7">
        <v>1</v>
      </c>
      <c r="D99" s="7">
        <v>0</v>
      </c>
      <c r="E99" s="7">
        <v>1</v>
      </c>
      <c r="F99" s="7">
        <v>6</v>
      </c>
      <c r="G99" s="7" t="b">
        <v>0</v>
      </c>
      <c r="H99" s="7">
        <f t="shared" si="1"/>
        <v>3</v>
      </c>
      <c r="I99" s="7">
        <v>1</v>
      </c>
      <c r="J99" s="10">
        <v>0.2</v>
      </c>
      <c r="K99" s="1"/>
      <c r="L99" s="1"/>
      <c r="M99" s="1"/>
      <c r="N99" s="1"/>
      <c r="O99" s="1"/>
      <c r="P99" s="1"/>
      <c r="Q99" s="1"/>
      <c r="R99" s="1"/>
      <c r="S99" s="1"/>
      <c r="T99" s="1"/>
      <c r="U99" s="1"/>
      <c r="V99" s="1"/>
      <c r="W99" s="1"/>
      <c r="X99" s="1"/>
      <c r="Y99" s="1"/>
    </row>
    <row r="100" spans="1:25" ht="15" thickBot="1" x14ac:dyDescent="0.35">
      <c r="A100" s="9">
        <v>99</v>
      </c>
      <c r="B100" s="8">
        <v>40548</v>
      </c>
      <c r="C100" s="7">
        <v>1</v>
      </c>
      <c r="D100" s="7">
        <v>0</v>
      </c>
      <c r="E100" s="7">
        <v>1</v>
      </c>
      <c r="F100" s="7">
        <v>7</v>
      </c>
      <c r="G100" s="7" t="b">
        <v>0</v>
      </c>
      <c r="H100" s="7">
        <f t="shared" si="1"/>
        <v>3</v>
      </c>
      <c r="I100" s="7">
        <v>1</v>
      </c>
      <c r="J100" s="10">
        <v>0.18</v>
      </c>
      <c r="K100" s="1"/>
      <c r="L100" s="1"/>
      <c r="M100" s="1"/>
      <c r="N100" s="1"/>
      <c r="O100" s="1"/>
      <c r="P100" s="1"/>
      <c r="Q100" s="1"/>
      <c r="R100" s="1"/>
      <c r="S100" s="1"/>
      <c r="T100" s="1"/>
      <c r="U100" s="1"/>
      <c r="V100" s="1"/>
      <c r="W100" s="1"/>
      <c r="X100" s="1"/>
      <c r="Y100" s="1"/>
    </row>
    <row r="101" spans="1:25" ht="15" thickBot="1" x14ac:dyDescent="0.35">
      <c r="A101" s="9">
        <v>100</v>
      </c>
      <c r="B101" s="8">
        <v>40548</v>
      </c>
      <c r="C101" s="7">
        <v>1</v>
      </c>
      <c r="D101" s="7">
        <v>0</v>
      </c>
      <c r="E101" s="7">
        <v>1</v>
      </c>
      <c r="F101" s="7">
        <v>8</v>
      </c>
      <c r="G101" s="7" t="b">
        <v>0</v>
      </c>
      <c r="H101" s="7">
        <f t="shared" si="1"/>
        <v>3</v>
      </c>
      <c r="I101" s="7">
        <v>1</v>
      </c>
      <c r="J101" s="10">
        <v>0.2</v>
      </c>
      <c r="K101" s="1"/>
      <c r="L101" s="1"/>
      <c r="M101" s="1"/>
      <c r="N101" s="1"/>
      <c r="O101" s="1"/>
      <c r="P101" s="1"/>
      <c r="Q101" s="1"/>
      <c r="R101" s="1"/>
      <c r="S101" s="1"/>
      <c r="T101" s="1"/>
      <c r="U101" s="1"/>
      <c r="V101" s="1"/>
      <c r="W101" s="1"/>
      <c r="X101" s="1"/>
      <c r="Y101" s="1"/>
    </row>
    <row r="102" spans="1:25" ht="15" thickBot="1" x14ac:dyDescent="0.35">
      <c r="A102" s="9">
        <v>101</v>
      </c>
      <c r="B102" s="8">
        <v>40548</v>
      </c>
      <c r="C102" s="7">
        <v>1</v>
      </c>
      <c r="D102" s="7">
        <v>0</v>
      </c>
      <c r="E102" s="7">
        <v>1</v>
      </c>
      <c r="F102" s="7">
        <v>9</v>
      </c>
      <c r="G102" s="7" t="b">
        <v>0</v>
      </c>
      <c r="H102" s="7">
        <f t="shared" si="1"/>
        <v>3</v>
      </c>
      <c r="I102" s="7">
        <v>1</v>
      </c>
      <c r="J102" s="10">
        <v>0.22</v>
      </c>
      <c r="K102" s="1"/>
      <c r="L102" s="1"/>
      <c r="M102" s="1"/>
      <c r="N102" s="1"/>
      <c r="O102" s="1"/>
      <c r="P102" s="1"/>
      <c r="Q102" s="1"/>
      <c r="R102" s="1"/>
      <c r="S102" s="1"/>
      <c r="T102" s="1"/>
      <c r="U102" s="1"/>
      <c r="V102" s="1"/>
      <c r="W102" s="1"/>
      <c r="X102" s="1"/>
      <c r="Y102" s="1"/>
    </row>
    <row r="103" spans="1:25" ht="15" thickBot="1" x14ac:dyDescent="0.35">
      <c r="A103" s="9">
        <v>102</v>
      </c>
      <c r="B103" s="8">
        <v>40548</v>
      </c>
      <c r="C103" s="7">
        <v>1</v>
      </c>
      <c r="D103" s="7">
        <v>0</v>
      </c>
      <c r="E103" s="7">
        <v>1</v>
      </c>
      <c r="F103" s="7">
        <v>10</v>
      </c>
      <c r="G103" s="7" t="b">
        <v>0</v>
      </c>
      <c r="H103" s="7">
        <f t="shared" si="1"/>
        <v>3</v>
      </c>
      <c r="I103" s="7">
        <v>1</v>
      </c>
      <c r="J103" s="10">
        <v>0.22</v>
      </c>
      <c r="K103" s="1"/>
      <c r="L103" s="1"/>
      <c r="M103" s="1"/>
      <c r="N103" s="1"/>
      <c r="O103" s="1"/>
      <c r="P103" s="1"/>
      <c r="Q103" s="1"/>
      <c r="R103" s="1"/>
      <c r="S103" s="1"/>
      <c r="T103" s="1"/>
      <c r="U103" s="1"/>
      <c r="V103" s="1"/>
      <c r="W103" s="1"/>
      <c r="X103" s="1"/>
      <c r="Y103" s="1"/>
    </row>
    <row r="104" spans="1:25" ht="15" thickBot="1" x14ac:dyDescent="0.35">
      <c r="A104" s="9">
        <v>103</v>
      </c>
      <c r="B104" s="8">
        <v>40548</v>
      </c>
      <c r="C104" s="7">
        <v>1</v>
      </c>
      <c r="D104" s="7">
        <v>0</v>
      </c>
      <c r="E104" s="7">
        <v>1</v>
      </c>
      <c r="F104" s="7">
        <v>11</v>
      </c>
      <c r="G104" s="7" t="b">
        <v>0</v>
      </c>
      <c r="H104" s="7">
        <f t="shared" si="1"/>
        <v>3</v>
      </c>
      <c r="I104" s="7">
        <v>1</v>
      </c>
      <c r="J104" s="10">
        <v>0.26</v>
      </c>
      <c r="K104" s="1"/>
      <c r="L104" s="1"/>
      <c r="M104" s="1"/>
      <c r="N104" s="1"/>
      <c r="O104" s="1"/>
      <c r="P104" s="1"/>
      <c r="Q104" s="1"/>
      <c r="R104" s="1"/>
      <c r="S104" s="1"/>
      <c r="T104" s="1"/>
      <c r="U104" s="1"/>
      <c r="V104" s="1"/>
      <c r="W104" s="1"/>
      <c r="X104" s="1"/>
      <c r="Y104" s="1"/>
    </row>
    <row r="105" spans="1:25" ht="15" thickBot="1" x14ac:dyDescent="0.35">
      <c r="A105" s="9">
        <v>104</v>
      </c>
      <c r="B105" s="8">
        <v>40548</v>
      </c>
      <c r="C105" s="7">
        <v>1</v>
      </c>
      <c r="D105" s="7">
        <v>0</v>
      </c>
      <c r="E105" s="7">
        <v>1</v>
      </c>
      <c r="F105" s="7">
        <v>12</v>
      </c>
      <c r="G105" s="7" t="b">
        <v>0</v>
      </c>
      <c r="H105" s="7">
        <f t="shared" si="1"/>
        <v>3</v>
      </c>
      <c r="I105" s="7">
        <v>1</v>
      </c>
      <c r="J105" s="10">
        <v>0.26</v>
      </c>
      <c r="K105" s="1"/>
      <c r="L105" s="1"/>
      <c r="M105" s="1"/>
      <c r="N105" s="1"/>
      <c r="O105" s="1"/>
      <c r="P105" s="1"/>
      <c r="Q105" s="1"/>
      <c r="R105" s="1"/>
      <c r="S105" s="1"/>
      <c r="T105" s="1"/>
      <c r="U105" s="1"/>
      <c r="V105" s="1"/>
      <c r="W105" s="1"/>
      <c r="X105" s="1"/>
      <c r="Y105" s="1"/>
    </row>
    <row r="106" spans="1:25" ht="15" thickBot="1" x14ac:dyDescent="0.35">
      <c r="A106" s="9">
        <v>105</v>
      </c>
      <c r="B106" s="8">
        <v>40548</v>
      </c>
      <c r="C106" s="7">
        <v>1</v>
      </c>
      <c r="D106" s="7">
        <v>0</v>
      </c>
      <c r="E106" s="7">
        <v>1</v>
      </c>
      <c r="F106" s="7">
        <v>13</v>
      </c>
      <c r="G106" s="7" t="b">
        <v>0</v>
      </c>
      <c r="H106" s="7">
        <f t="shared" si="1"/>
        <v>3</v>
      </c>
      <c r="I106" s="7">
        <v>1</v>
      </c>
      <c r="J106" s="10">
        <v>0.28000000000000003</v>
      </c>
      <c r="K106" s="1"/>
      <c r="L106" s="1"/>
      <c r="M106" s="1"/>
      <c r="N106" s="1"/>
      <c r="O106" s="1"/>
      <c r="P106" s="1"/>
      <c r="Q106" s="1"/>
      <c r="R106" s="1"/>
      <c r="S106" s="1"/>
      <c r="T106" s="1"/>
      <c r="U106" s="1"/>
      <c r="V106" s="1"/>
      <c r="W106" s="1"/>
      <c r="X106" s="1"/>
      <c r="Y106" s="1"/>
    </row>
    <row r="107" spans="1:25" ht="15" thickBot="1" x14ac:dyDescent="0.35">
      <c r="A107" s="9">
        <v>106</v>
      </c>
      <c r="B107" s="8">
        <v>40548</v>
      </c>
      <c r="C107" s="7">
        <v>1</v>
      </c>
      <c r="D107" s="7">
        <v>0</v>
      </c>
      <c r="E107" s="7">
        <v>1</v>
      </c>
      <c r="F107" s="7">
        <v>14</v>
      </c>
      <c r="G107" s="7" t="b">
        <v>0</v>
      </c>
      <c r="H107" s="7">
        <f t="shared" si="1"/>
        <v>3</v>
      </c>
      <c r="I107" s="7">
        <v>1</v>
      </c>
      <c r="J107" s="10">
        <v>0.3</v>
      </c>
      <c r="K107" s="1"/>
      <c r="L107" s="1"/>
      <c r="M107" s="1"/>
      <c r="N107" s="1"/>
      <c r="O107" s="1"/>
      <c r="P107" s="1"/>
      <c r="Q107" s="1"/>
      <c r="R107" s="1"/>
      <c r="S107" s="1"/>
      <c r="T107" s="1"/>
      <c r="U107" s="1"/>
      <c r="V107" s="1"/>
      <c r="W107" s="1"/>
      <c r="X107" s="1"/>
      <c r="Y107" s="1"/>
    </row>
    <row r="108" spans="1:25" ht="15" thickBot="1" x14ac:dyDescent="0.35">
      <c r="A108" s="9">
        <v>107</v>
      </c>
      <c r="B108" s="8">
        <v>40548</v>
      </c>
      <c r="C108" s="7">
        <v>1</v>
      </c>
      <c r="D108" s="7">
        <v>0</v>
      </c>
      <c r="E108" s="7">
        <v>1</v>
      </c>
      <c r="F108" s="7">
        <v>15</v>
      </c>
      <c r="G108" s="7" t="b">
        <v>0</v>
      </c>
      <c r="H108" s="7">
        <f t="shared" si="1"/>
        <v>3</v>
      </c>
      <c r="I108" s="7">
        <v>1</v>
      </c>
      <c r="J108" s="10">
        <v>0.3</v>
      </c>
      <c r="K108" s="1"/>
      <c r="L108" s="1"/>
      <c r="M108" s="1"/>
      <c r="N108" s="1"/>
      <c r="O108" s="1"/>
      <c r="P108" s="1"/>
      <c r="Q108" s="1"/>
      <c r="R108" s="1"/>
      <c r="S108" s="1"/>
      <c r="T108" s="1"/>
      <c r="U108" s="1"/>
      <c r="V108" s="1"/>
      <c r="W108" s="1"/>
      <c r="X108" s="1"/>
      <c r="Y108" s="1"/>
    </row>
    <row r="109" spans="1:25" ht="15" thickBot="1" x14ac:dyDescent="0.35">
      <c r="A109" s="9">
        <v>108</v>
      </c>
      <c r="B109" s="8">
        <v>40548</v>
      </c>
      <c r="C109" s="7">
        <v>1</v>
      </c>
      <c r="D109" s="7">
        <v>0</v>
      </c>
      <c r="E109" s="7">
        <v>1</v>
      </c>
      <c r="F109" s="7">
        <v>16</v>
      </c>
      <c r="G109" s="7" t="b">
        <v>0</v>
      </c>
      <c r="H109" s="7">
        <f t="shared" si="1"/>
        <v>3</v>
      </c>
      <c r="I109" s="7">
        <v>1</v>
      </c>
      <c r="J109" s="10">
        <v>0.3</v>
      </c>
      <c r="K109" s="1"/>
      <c r="L109" s="1"/>
      <c r="M109" s="1"/>
      <c r="N109" s="1"/>
      <c r="O109" s="1"/>
      <c r="P109" s="1"/>
      <c r="Q109" s="1"/>
      <c r="R109" s="1"/>
      <c r="S109" s="1"/>
      <c r="T109" s="1"/>
      <c r="U109" s="1"/>
      <c r="V109" s="1"/>
      <c r="W109" s="1"/>
      <c r="X109" s="1"/>
      <c r="Y109" s="1"/>
    </row>
    <row r="110" spans="1:25" ht="15" thickBot="1" x14ac:dyDescent="0.35">
      <c r="A110" s="9">
        <v>109</v>
      </c>
      <c r="B110" s="8">
        <v>40548</v>
      </c>
      <c r="C110" s="7">
        <v>1</v>
      </c>
      <c r="D110" s="7">
        <v>0</v>
      </c>
      <c r="E110" s="7">
        <v>1</v>
      </c>
      <c r="F110" s="7">
        <v>17</v>
      </c>
      <c r="G110" s="7" t="b">
        <v>0</v>
      </c>
      <c r="H110" s="7">
        <f t="shared" si="1"/>
        <v>3</v>
      </c>
      <c r="I110" s="7">
        <v>1</v>
      </c>
      <c r="J110" s="10">
        <v>0.24</v>
      </c>
      <c r="K110" s="1"/>
      <c r="L110" s="1"/>
      <c r="M110" s="1"/>
      <c r="N110" s="1"/>
      <c r="O110" s="1"/>
      <c r="P110" s="1"/>
      <c r="Q110" s="1"/>
      <c r="R110" s="1"/>
      <c r="S110" s="1"/>
      <c r="T110" s="1"/>
      <c r="U110" s="1"/>
      <c r="V110" s="1"/>
      <c r="W110" s="1"/>
      <c r="X110" s="1"/>
      <c r="Y110" s="1"/>
    </row>
    <row r="111" spans="1:25" ht="15" thickBot="1" x14ac:dyDescent="0.35">
      <c r="A111" s="9">
        <v>110</v>
      </c>
      <c r="B111" s="8">
        <v>40548</v>
      </c>
      <c r="C111" s="7">
        <v>1</v>
      </c>
      <c r="D111" s="7">
        <v>0</v>
      </c>
      <c r="E111" s="7">
        <v>1</v>
      </c>
      <c r="F111" s="7">
        <v>18</v>
      </c>
      <c r="G111" s="7" t="b">
        <v>0</v>
      </c>
      <c r="H111" s="7">
        <f t="shared" si="1"/>
        <v>3</v>
      </c>
      <c r="I111" s="7">
        <v>1</v>
      </c>
      <c r="J111" s="10">
        <v>0.24</v>
      </c>
      <c r="K111" s="1"/>
      <c r="L111" s="1"/>
      <c r="M111" s="1"/>
      <c r="N111" s="1"/>
      <c r="O111" s="1"/>
      <c r="P111" s="1"/>
      <c r="Q111" s="1"/>
      <c r="R111" s="1"/>
      <c r="S111" s="1"/>
      <c r="T111" s="1"/>
      <c r="U111" s="1"/>
      <c r="V111" s="1"/>
      <c r="W111" s="1"/>
      <c r="X111" s="1"/>
      <c r="Y111" s="1"/>
    </row>
    <row r="112" spans="1:25" ht="15" thickBot="1" x14ac:dyDescent="0.35">
      <c r="A112" s="9">
        <v>111</v>
      </c>
      <c r="B112" s="8">
        <v>40548</v>
      </c>
      <c r="C112" s="7">
        <v>1</v>
      </c>
      <c r="D112" s="7">
        <v>0</v>
      </c>
      <c r="E112" s="7">
        <v>1</v>
      </c>
      <c r="F112" s="7">
        <v>19</v>
      </c>
      <c r="G112" s="7" t="b">
        <v>0</v>
      </c>
      <c r="H112" s="7">
        <f t="shared" si="1"/>
        <v>3</v>
      </c>
      <c r="I112" s="7">
        <v>1</v>
      </c>
      <c r="J112" s="10">
        <v>0.24</v>
      </c>
      <c r="K112" s="1"/>
      <c r="L112" s="1"/>
      <c r="M112" s="1"/>
      <c r="N112" s="1"/>
      <c r="O112" s="1"/>
      <c r="P112" s="1"/>
      <c r="Q112" s="1"/>
      <c r="R112" s="1"/>
      <c r="S112" s="1"/>
      <c r="T112" s="1"/>
      <c r="U112" s="1"/>
      <c r="V112" s="1"/>
      <c r="W112" s="1"/>
      <c r="X112" s="1"/>
      <c r="Y112" s="1"/>
    </row>
    <row r="113" spans="1:25" ht="15" thickBot="1" x14ac:dyDescent="0.35">
      <c r="A113" s="9">
        <v>112</v>
      </c>
      <c r="B113" s="8">
        <v>40548</v>
      </c>
      <c r="C113" s="7">
        <v>1</v>
      </c>
      <c r="D113" s="7">
        <v>0</v>
      </c>
      <c r="E113" s="7">
        <v>1</v>
      </c>
      <c r="F113" s="7">
        <v>20</v>
      </c>
      <c r="G113" s="7" t="b">
        <v>0</v>
      </c>
      <c r="H113" s="7">
        <f t="shared" si="1"/>
        <v>3</v>
      </c>
      <c r="I113" s="7">
        <v>1</v>
      </c>
      <c r="J113" s="10">
        <v>0.22</v>
      </c>
      <c r="K113" s="1"/>
      <c r="L113" s="1"/>
      <c r="M113" s="1"/>
      <c r="N113" s="1"/>
      <c r="O113" s="1"/>
      <c r="P113" s="1"/>
      <c r="Q113" s="1"/>
      <c r="R113" s="1"/>
      <c r="S113" s="1"/>
      <c r="T113" s="1"/>
      <c r="U113" s="1"/>
      <c r="V113" s="1"/>
      <c r="W113" s="1"/>
      <c r="X113" s="1"/>
      <c r="Y113" s="1"/>
    </row>
    <row r="114" spans="1:25" ht="15" thickBot="1" x14ac:dyDescent="0.35">
      <c r="A114" s="9">
        <v>113</v>
      </c>
      <c r="B114" s="8">
        <v>40548</v>
      </c>
      <c r="C114" s="7">
        <v>1</v>
      </c>
      <c r="D114" s="7">
        <v>0</v>
      </c>
      <c r="E114" s="7">
        <v>1</v>
      </c>
      <c r="F114" s="7">
        <v>21</v>
      </c>
      <c r="G114" s="7" t="b">
        <v>0</v>
      </c>
      <c r="H114" s="7">
        <f t="shared" si="1"/>
        <v>3</v>
      </c>
      <c r="I114" s="7">
        <v>1</v>
      </c>
      <c r="J114" s="10">
        <v>0.2</v>
      </c>
      <c r="K114" s="1"/>
      <c r="L114" s="1"/>
      <c r="M114" s="1"/>
      <c r="N114" s="1"/>
      <c r="O114" s="1"/>
      <c r="P114" s="1"/>
      <c r="Q114" s="1"/>
      <c r="R114" s="1"/>
      <c r="S114" s="1"/>
      <c r="T114" s="1"/>
      <c r="U114" s="1"/>
      <c r="V114" s="1"/>
      <c r="W114" s="1"/>
      <c r="X114" s="1"/>
      <c r="Y114" s="1"/>
    </row>
    <row r="115" spans="1:25" ht="15" thickBot="1" x14ac:dyDescent="0.35">
      <c r="A115" s="9">
        <v>114</v>
      </c>
      <c r="B115" s="8">
        <v>40548</v>
      </c>
      <c r="C115" s="7">
        <v>1</v>
      </c>
      <c r="D115" s="7">
        <v>0</v>
      </c>
      <c r="E115" s="7">
        <v>1</v>
      </c>
      <c r="F115" s="7">
        <v>22</v>
      </c>
      <c r="G115" s="7" t="b">
        <v>0</v>
      </c>
      <c r="H115" s="7">
        <f t="shared" si="1"/>
        <v>3</v>
      </c>
      <c r="I115" s="7">
        <v>1</v>
      </c>
      <c r="J115" s="10">
        <v>0.18</v>
      </c>
      <c r="K115" s="1"/>
      <c r="L115" s="1"/>
      <c r="M115" s="1"/>
      <c r="N115" s="1"/>
      <c r="O115" s="1"/>
      <c r="P115" s="1"/>
      <c r="Q115" s="1"/>
      <c r="R115" s="1"/>
      <c r="S115" s="1"/>
      <c r="T115" s="1"/>
      <c r="U115" s="1"/>
      <c r="V115" s="1"/>
      <c r="W115" s="1"/>
      <c r="X115" s="1"/>
      <c r="Y115" s="1"/>
    </row>
    <row r="116" spans="1:25" ht="15" thickBot="1" x14ac:dyDescent="0.35">
      <c r="A116" s="9">
        <v>115</v>
      </c>
      <c r="B116" s="8">
        <v>40548</v>
      </c>
      <c r="C116" s="7">
        <v>1</v>
      </c>
      <c r="D116" s="7">
        <v>0</v>
      </c>
      <c r="E116" s="7">
        <v>1</v>
      </c>
      <c r="F116" s="7">
        <v>23</v>
      </c>
      <c r="G116" s="7" t="b">
        <v>0</v>
      </c>
      <c r="H116" s="7">
        <f t="shared" si="1"/>
        <v>3</v>
      </c>
      <c r="I116" s="7">
        <v>1</v>
      </c>
      <c r="J116" s="10">
        <v>0.2</v>
      </c>
      <c r="K116" s="1"/>
      <c r="L116" s="1"/>
      <c r="M116" s="1"/>
      <c r="N116" s="1"/>
      <c r="O116" s="1"/>
      <c r="P116" s="1"/>
      <c r="Q116" s="1"/>
      <c r="R116" s="1"/>
      <c r="S116" s="1"/>
      <c r="T116" s="1"/>
      <c r="U116" s="1"/>
      <c r="V116" s="1"/>
      <c r="W116" s="1"/>
      <c r="X116" s="1"/>
      <c r="Y116" s="1"/>
    </row>
    <row r="117" spans="1:25" ht="15" thickBot="1" x14ac:dyDescent="0.35">
      <c r="A117" s="9">
        <v>116</v>
      </c>
      <c r="B117" s="8">
        <v>40549</v>
      </c>
      <c r="C117" s="7">
        <v>1</v>
      </c>
      <c r="D117" s="7">
        <v>0</v>
      </c>
      <c r="E117" s="7">
        <v>1</v>
      </c>
      <c r="F117" s="7">
        <v>0</v>
      </c>
      <c r="G117" s="7" t="b">
        <v>0</v>
      </c>
      <c r="H117" s="7">
        <f t="shared" si="1"/>
        <v>4</v>
      </c>
      <c r="I117" s="7">
        <v>1</v>
      </c>
      <c r="J117" s="10">
        <v>0.18</v>
      </c>
      <c r="K117" s="1"/>
      <c r="L117" s="1"/>
      <c r="M117" s="1"/>
      <c r="N117" s="1"/>
      <c r="O117" s="1"/>
      <c r="P117" s="1"/>
      <c r="Q117" s="1"/>
      <c r="R117" s="1"/>
      <c r="S117" s="1"/>
      <c r="T117" s="1"/>
      <c r="U117" s="1"/>
      <c r="V117" s="1"/>
      <c r="W117" s="1"/>
      <c r="X117" s="1"/>
      <c r="Y117" s="1"/>
    </row>
    <row r="118" spans="1:25" ht="15" thickBot="1" x14ac:dyDescent="0.35">
      <c r="A118" s="9">
        <v>117</v>
      </c>
      <c r="B118" s="8">
        <v>40549</v>
      </c>
      <c r="C118" s="7">
        <v>1</v>
      </c>
      <c r="D118" s="7">
        <v>0</v>
      </c>
      <c r="E118" s="7">
        <v>1</v>
      </c>
      <c r="F118" s="7">
        <v>1</v>
      </c>
      <c r="G118" s="7" t="b">
        <v>0</v>
      </c>
      <c r="H118" s="7">
        <f t="shared" si="1"/>
        <v>4</v>
      </c>
      <c r="I118" s="7">
        <v>1</v>
      </c>
      <c r="J118" s="10">
        <v>0.16</v>
      </c>
      <c r="K118" s="1"/>
      <c r="L118" s="1"/>
      <c r="M118" s="1"/>
      <c r="N118" s="1"/>
      <c r="O118" s="1"/>
      <c r="P118" s="1"/>
      <c r="Q118" s="1"/>
      <c r="R118" s="1"/>
      <c r="S118" s="1"/>
      <c r="T118" s="1"/>
      <c r="U118" s="1"/>
      <c r="V118" s="1"/>
      <c r="W118" s="1"/>
      <c r="X118" s="1"/>
      <c r="Y118" s="1"/>
    </row>
    <row r="119" spans="1:25" ht="15" thickBot="1" x14ac:dyDescent="0.35">
      <c r="A119" s="9">
        <v>118</v>
      </c>
      <c r="B119" s="8">
        <v>40549</v>
      </c>
      <c r="C119" s="7">
        <v>1</v>
      </c>
      <c r="D119" s="7">
        <v>0</v>
      </c>
      <c r="E119" s="7">
        <v>1</v>
      </c>
      <c r="F119" s="7">
        <v>2</v>
      </c>
      <c r="G119" s="7" t="b">
        <v>0</v>
      </c>
      <c r="H119" s="7">
        <f t="shared" si="1"/>
        <v>4</v>
      </c>
      <c r="I119" s="7">
        <v>1</v>
      </c>
      <c r="J119" s="10">
        <v>0.16</v>
      </c>
      <c r="K119" s="1"/>
      <c r="L119" s="1"/>
      <c r="M119" s="1"/>
      <c r="N119" s="1"/>
      <c r="O119" s="1"/>
      <c r="P119" s="1"/>
      <c r="Q119" s="1"/>
      <c r="R119" s="1"/>
      <c r="S119" s="1"/>
      <c r="T119" s="1"/>
      <c r="U119" s="1"/>
      <c r="V119" s="1"/>
      <c r="W119" s="1"/>
      <c r="X119" s="1"/>
      <c r="Y119" s="1"/>
    </row>
    <row r="120" spans="1:25" ht="15" thickBot="1" x14ac:dyDescent="0.35">
      <c r="A120" s="9">
        <v>119</v>
      </c>
      <c r="B120" s="8">
        <v>40549</v>
      </c>
      <c r="C120" s="7">
        <v>1</v>
      </c>
      <c r="D120" s="7">
        <v>0</v>
      </c>
      <c r="E120" s="7">
        <v>1</v>
      </c>
      <c r="F120" s="7">
        <v>4</v>
      </c>
      <c r="G120" s="7" t="b">
        <v>0</v>
      </c>
      <c r="H120" s="7">
        <f t="shared" si="1"/>
        <v>4</v>
      </c>
      <c r="I120" s="7">
        <v>2</v>
      </c>
      <c r="J120" s="10">
        <v>0.16</v>
      </c>
      <c r="K120" s="1"/>
      <c r="L120" s="1"/>
      <c r="M120" s="1"/>
      <c r="N120" s="1"/>
      <c r="O120" s="1"/>
      <c r="P120" s="1"/>
      <c r="Q120" s="1"/>
      <c r="R120" s="1"/>
      <c r="S120" s="1"/>
      <c r="T120" s="1"/>
      <c r="U120" s="1"/>
      <c r="V120" s="1"/>
      <c r="W120" s="1"/>
      <c r="X120" s="1"/>
      <c r="Y120" s="1"/>
    </row>
    <row r="121" spans="1:25" ht="15" thickBot="1" x14ac:dyDescent="0.35">
      <c r="A121" s="9">
        <v>120</v>
      </c>
      <c r="B121" s="8">
        <v>40549</v>
      </c>
      <c r="C121" s="7">
        <v>1</v>
      </c>
      <c r="D121" s="7">
        <v>0</v>
      </c>
      <c r="E121" s="7">
        <v>1</v>
      </c>
      <c r="F121" s="7">
        <v>5</v>
      </c>
      <c r="G121" s="7" t="b">
        <v>0</v>
      </c>
      <c r="H121" s="7">
        <f t="shared" si="1"/>
        <v>4</v>
      </c>
      <c r="I121" s="7">
        <v>2</v>
      </c>
      <c r="J121" s="10">
        <v>0.14000000000000001</v>
      </c>
      <c r="K121" s="1"/>
      <c r="L121" s="1"/>
      <c r="M121" s="1"/>
      <c r="N121" s="1"/>
      <c r="O121" s="1"/>
      <c r="P121" s="1"/>
      <c r="Q121" s="1"/>
      <c r="R121" s="1"/>
      <c r="S121" s="1"/>
      <c r="T121" s="1"/>
      <c r="U121" s="1"/>
      <c r="V121" s="1"/>
      <c r="W121" s="1"/>
      <c r="X121" s="1"/>
      <c r="Y121" s="1"/>
    </row>
    <row r="122" spans="1:25" ht="15" thickBot="1" x14ac:dyDescent="0.35">
      <c r="A122" s="9">
        <v>121</v>
      </c>
      <c r="B122" s="8">
        <v>40549</v>
      </c>
      <c r="C122" s="7">
        <v>1</v>
      </c>
      <c r="D122" s="7">
        <v>0</v>
      </c>
      <c r="E122" s="7">
        <v>1</v>
      </c>
      <c r="F122" s="7">
        <v>6</v>
      </c>
      <c r="G122" s="7" t="b">
        <v>0</v>
      </c>
      <c r="H122" s="7">
        <f t="shared" si="1"/>
        <v>4</v>
      </c>
      <c r="I122" s="7">
        <v>2</v>
      </c>
      <c r="J122" s="10">
        <v>0.14000000000000001</v>
      </c>
      <c r="K122" s="1"/>
      <c r="L122" s="1"/>
      <c r="M122" s="1"/>
      <c r="N122" s="1"/>
      <c r="O122" s="1"/>
      <c r="P122" s="1"/>
      <c r="Q122" s="1"/>
      <c r="R122" s="1"/>
      <c r="S122" s="1"/>
      <c r="T122" s="1"/>
      <c r="U122" s="1"/>
      <c r="V122" s="1"/>
      <c r="W122" s="1"/>
      <c r="X122" s="1"/>
      <c r="Y122" s="1"/>
    </row>
    <row r="123" spans="1:25" ht="15" thickBot="1" x14ac:dyDescent="0.35">
      <c r="A123" s="9">
        <v>122</v>
      </c>
      <c r="B123" s="8">
        <v>40549</v>
      </c>
      <c r="C123" s="7">
        <v>1</v>
      </c>
      <c r="D123" s="7">
        <v>0</v>
      </c>
      <c r="E123" s="7">
        <v>1</v>
      </c>
      <c r="F123" s="7">
        <v>7</v>
      </c>
      <c r="G123" s="7" t="b">
        <v>0</v>
      </c>
      <c r="H123" s="7">
        <f t="shared" si="1"/>
        <v>4</v>
      </c>
      <c r="I123" s="7">
        <v>2</v>
      </c>
      <c r="J123" s="10">
        <v>0.16</v>
      </c>
      <c r="K123" s="1"/>
      <c r="L123" s="1"/>
      <c r="M123" s="1"/>
      <c r="N123" s="1"/>
      <c r="O123" s="1"/>
      <c r="P123" s="1"/>
      <c r="Q123" s="1"/>
      <c r="R123" s="1"/>
      <c r="S123" s="1"/>
      <c r="T123" s="1"/>
      <c r="U123" s="1"/>
      <c r="V123" s="1"/>
      <c r="W123" s="1"/>
      <c r="X123" s="1"/>
      <c r="Y123" s="1"/>
    </row>
    <row r="124" spans="1:25" ht="15" thickBot="1" x14ac:dyDescent="0.35">
      <c r="A124" s="9">
        <v>123</v>
      </c>
      <c r="B124" s="8">
        <v>40549</v>
      </c>
      <c r="C124" s="7">
        <v>1</v>
      </c>
      <c r="D124" s="7">
        <v>0</v>
      </c>
      <c r="E124" s="7">
        <v>1</v>
      </c>
      <c r="F124" s="7">
        <v>8</v>
      </c>
      <c r="G124" s="7" t="b">
        <v>0</v>
      </c>
      <c r="H124" s="7">
        <f t="shared" si="1"/>
        <v>4</v>
      </c>
      <c r="I124" s="7">
        <v>1</v>
      </c>
      <c r="J124" s="10">
        <v>0.16</v>
      </c>
      <c r="K124" s="1"/>
      <c r="L124" s="1"/>
      <c r="M124" s="1"/>
      <c r="N124" s="1"/>
      <c r="O124" s="1"/>
      <c r="P124" s="1"/>
      <c r="Q124" s="1"/>
      <c r="R124" s="1"/>
      <c r="S124" s="1"/>
      <c r="T124" s="1"/>
      <c r="U124" s="1"/>
      <c r="V124" s="1"/>
      <c r="W124" s="1"/>
      <c r="X124" s="1"/>
      <c r="Y124" s="1"/>
    </row>
    <row r="125" spans="1:25" ht="15" thickBot="1" x14ac:dyDescent="0.35">
      <c r="A125" s="9">
        <v>124</v>
      </c>
      <c r="B125" s="8">
        <v>40549</v>
      </c>
      <c r="C125" s="7">
        <v>1</v>
      </c>
      <c r="D125" s="7">
        <v>0</v>
      </c>
      <c r="E125" s="7">
        <v>1</v>
      </c>
      <c r="F125" s="7">
        <v>9</v>
      </c>
      <c r="G125" s="7" t="b">
        <v>0</v>
      </c>
      <c r="H125" s="7">
        <f t="shared" si="1"/>
        <v>4</v>
      </c>
      <c r="I125" s="7">
        <v>2</v>
      </c>
      <c r="J125" s="10">
        <v>0.18</v>
      </c>
      <c r="K125" s="1"/>
      <c r="L125" s="1"/>
      <c r="M125" s="1"/>
      <c r="N125" s="1"/>
      <c r="O125" s="1"/>
      <c r="P125" s="1"/>
      <c r="Q125" s="1"/>
      <c r="R125" s="1"/>
      <c r="S125" s="1"/>
      <c r="T125" s="1"/>
      <c r="U125" s="1"/>
      <c r="V125" s="1"/>
      <c r="W125" s="1"/>
      <c r="X125" s="1"/>
      <c r="Y125" s="1"/>
    </row>
    <row r="126" spans="1:25" ht="15" thickBot="1" x14ac:dyDescent="0.35">
      <c r="A126" s="9">
        <v>125</v>
      </c>
      <c r="B126" s="8">
        <v>40549</v>
      </c>
      <c r="C126" s="7">
        <v>1</v>
      </c>
      <c r="D126" s="7">
        <v>0</v>
      </c>
      <c r="E126" s="7">
        <v>1</v>
      </c>
      <c r="F126" s="7">
        <v>10</v>
      </c>
      <c r="G126" s="7" t="b">
        <v>0</v>
      </c>
      <c r="H126" s="7">
        <f t="shared" si="1"/>
        <v>4</v>
      </c>
      <c r="I126" s="7">
        <v>1</v>
      </c>
      <c r="J126" s="10">
        <v>0.2</v>
      </c>
      <c r="K126" s="1"/>
      <c r="L126" s="1"/>
      <c r="M126" s="1"/>
      <c r="N126" s="1"/>
      <c r="O126" s="1"/>
      <c r="P126" s="1"/>
      <c r="Q126" s="1"/>
      <c r="R126" s="1"/>
      <c r="S126" s="1"/>
      <c r="T126" s="1"/>
      <c r="U126" s="1"/>
      <c r="V126" s="1"/>
      <c r="W126" s="1"/>
      <c r="X126" s="1"/>
      <c r="Y126" s="1"/>
    </row>
    <row r="127" spans="1:25" ht="15" thickBot="1" x14ac:dyDescent="0.35">
      <c r="A127" s="9">
        <v>126</v>
      </c>
      <c r="B127" s="8">
        <v>40549</v>
      </c>
      <c r="C127" s="7">
        <v>1</v>
      </c>
      <c r="D127" s="7">
        <v>0</v>
      </c>
      <c r="E127" s="7">
        <v>1</v>
      </c>
      <c r="F127" s="7">
        <v>11</v>
      </c>
      <c r="G127" s="7" t="b">
        <v>0</v>
      </c>
      <c r="H127" s="7">
        <f t="shared" si="1"/>
        <v>4</v>
      </c>
      <c r="I127" s="7">
        <v>1</v>
      </c>
      <c r="J127" s="10">
        <v>0.22</v>
      </c>
      <c r="K127" s="1"/>
      <c r="L127" s="1"/>
      <c r="M127" s="1"/>
      <c r="N127" s="1"/>
      <c r="O127" s="1"/>
      <c r="P127" s="1"/>
      <c r="Q127" s="1"/>
      <c r="R127" s="1"/>
      <c r="S127" s="1"/>
      <c r="T127" s="1"/>
      <c r="U127" s="1"/>
      <c r="V127" s="1"/>
      <c r="W127" s="1"/>
      <c r="X127" s="1"/>
      <c r="Y127" s="1"/>
    </row>
    <row r="128" spans="1:25" ht="15" thickBot="1" x14ac:dyDescent="0.35">
      <c r="A128" s="9">
        <v>127</v>
      </c>
      <c r="B128" s="8">
        <v>40549</v>
      </c>
      <c r="C128" s="7">
        <v>1</v>
      </c>
      <c r="D128" s="7">
        <v>0</v>
      </c>
      <c r="E128" s="7">
        <v>1</v>
      </c>
      <c r="F128" s="7">
        <v>12</v>
      </c>
      <c r="G128" s="7" t="b">
        <v>0</v>
      </c>
      <c r="H128" s="7">
        <f t="shared" si="1"/>
        <v>4</v>
      </c>
      <c r="I128" s="7">
        <v>1</v>
      </c>
      <c r="J128" s="10">
        <v>0.26</v>
      </c>
      <c r="K128" s="1"/>
      <c r="L128" s="1"/>
      <c r="M128" s="1"/>
      <c r="N128" s="1"/>
      <c r="O128" s="1"/>
      <c r="P128" s="1"/>
      <c r="Q128" s="1"/>
      <c r="R128" s="1"/>
      <c r="S128" s="1"/>
      <c r="T128" s="1"/>
      <c r="U128" s="1"/>
      <c r="V128" s="1"/>
      <c r="W128" s="1"/>
      <c r="X128" s="1"/>
      <c r="Y128" s="1"/>
    </row>
    <row r="129" spans="1:25" ht="15" thickBot="1" x14ac:dyDescent="0.35">
      <c r="A129" s="9">
        <v>128</v>
      </c>
      <c r="B129" s="8">
        <v>40549</v>
      </c>
      <c r="C129" s="7">
        <v>1</v>
      </c>
      <c r="D129" s="7">
        <v>0</v>
      </c>
      <c r="E129" s="7">
        <v>1</v>
      </c>
      <c r="F129" s="7">
        <v>13</v>
      </c>
      <c r="G129" s="7" t="b">
        <v>0</v>
      </c>
      <c r="H129" s="7">
        <f t="shared" si="1"/>
        <v>4</v>
      </c>
      <c r="I129" s="7">
        <v>1</v>
      </c>
      <c r="J129" s="10">
        <v>0.26</v>
      </c>
      <c r="K129" s="1"/>
      <c r="L129" s="1"/>
      <c r="M129" s="1"/>
      <c r="N129" s="1"/>
      <c r="O129" s="1"/>
      <c r="P129" s="1"/>
      <c r="Q129" s="1"/>
      <c r="R129" s="1"/>
      <c r="S129" s="1"/>
      <c r="T129" s="1"/>
      <c r="U129" s="1"/>
      <c r="V129" s="1"/>
      <c r="W129" s="1"/>
      <c r="X129" s="1"/>
      <c r="Y129" s="1"/>
    </row>
    <row r="130" spans="1:25" ht="15" thickBot="1" x14ac:dyDescent="0.35">
      <c r="A130" s="9">
        <v>129</v>
      </c>
      <c r="B130" s="8">
        <v>40549</v>
      </c>
      <c r="C130" s="7">
        <v>1</v>
      </c>
      <c r="D130" s="7">
        <v>0</v>
      </c>
      <c r="E130" s="7">
        <v>1</v>
      </c>
      <c r="F130" s="7">
        <v>14</v>
      </c>
      <c r="G130" s="7" t="b">
        <v>0</v>
      </c>
      <c r="H130" s="7">
        <f t="shared" si="1"/>
        <v>4</v>
      </c>
      <c r="I130" s="7">
        <v>1</v>
      </c>
      <c r="J130" s="10">
        <v>0.28000000000000003</v>
      </c>
      <c r="K130" s="1"/>
      <c r="L130" s="1"/>
      <c r="M130" s="1"/>
      <c r="N130" s="1"/>
      <c r="O130" s="1"/>
      <c r="P130" s="1"/>
      <c r="Q130" s="1"/>
      <c r="R130" s="1"/>
      <c r="S130" s="1"/>
      <c r="T130" s="1"/>
      <c r="U130" s="1"/>
      <c r="V130" s="1"/>
      <c r="W130" s="1"/>
      <c r="X130" s="1"/>
      <c r="Y130" s="1"/>
    </row>
    <row r="131" spans="1:25" ht="15" thickBot="1" x14ac:dyDescent="0.35">
      <c r="A131" s="9">
        <v>130</v>
      </c>
      <c r="B131" s="8">
        <v>40549</v>
      </c>
      <c r="C131" s="7">
        <v>1</v>
      </c>
      <c r="D131" s="7">
        <v>0</v>
      </c>
      <c r="E131" s="7">
        <v>1</v>
      </c>
      <c r="F131" s="7">
        <v>15</v>
      </c>
      <c r="G131" s="7" t="b">
        <v>0</v>
      </c>
      <c r="H131" s="7">
        <f t="shared" ref="H131:H194" si="2">WEEKDAY($B131,2)</f>
        <v>4</v>
      </c>
      <c r="I131" s="7">
        <v>1</v>
      </c>
      <c r="J131" s="10">
        <v>0.28000000000000003</v>
      </c>
      <c r="K131" s="1"/>
      <c r="L131" s="1"/>
      <c r="M131" s="1"/>
      <c r="N131" s="1"/>
      <c r="O131" s="1"/>
      <c r="P131" s="1"/>
      <c r="Q131" s="1"/>
      <c r="R131" s="1"/>
      <c r="S131" s="1"/>
      <c r="T131" s="1"/>
      <c r="U131" s="1"/>
      <c r="V131" s="1"/>
      <c r="W131" s="1"/>
      <c r="X131" s="1"/>
      <c r="Y131" s="1"/>
    </row>
    <row r="132" spans="1:25" ht="15" thickBot="1" x14ac:dyDescent="0.35">
      <c r="A132" s="9">
        <v>131</v>
      </c>
      <c r="B132" s="8">
        <v>40549</v>
      </c>
      <c r="C132" s="7">
        <v>1</v>
      </c>
      <c r="D132" s="7">
        <v>0</v>
      </c>
      <c r="E132" s="7">
        <v>1</v>
      </c>
      <c r="F132" s="7">
        <v>16</v>
      </c>
      <c r="G132" s="7" t="b">
        <v>0</v>
      </c>
      <c r="H132" s="7">
        <f t="shared" si="2"/>
        <v>4</v>
      </c>
      <c r="I132" s="7">
        <v>1</v>
      </c>
      <c r="J132" s="10">
        <v>0.26</v>
      </c>
      <c r="K132" s="1"/>
      <c r="L132" s="1"/>
      <c r="M132" s="1"/>
      <c r="N132" s="1"/>
      <c r="O132" s="1"/>
      <c r="P132" s="1"/>
      <c r="Q132" s="1"/>
      <c r="R132" s="1"/>
      <c r="S132" s="1"/>
      <c r="T132" s="1"/>
      <c r="U132" s="1"/>
      <c r="V132" s="1"/>
      <c r="W132" s="1"/>
      <c r="X132" s="1"/>
      <c r="Y132" s="1"/>
    </row>
    <row r="133" spans="1:25" ht="15" thickBot="1" x14ac:dyDescent="0.35">
      <c r="A133" s="9">
        <v>132</v>
      </c>
      <c r="B133" s="8">
        <v>40549</v>
      </c>
      <c r="C133" s="7">
        <v>1</v>
      </c>
      <c r="D133" s="7">
        <v>0</v>
      </c>
      <c r="E133" s="7">
        <v>1</v>
      </c>
      <c r="F133" s="7">
        <v>17</v>
      </c>
      <c r="G133" s="7" t="b">
        <v>0</v>
      </c>
      <c r="H133" s="7">
        <f t="shared" si="2"/>
        <v>4</v>
      </c>
      <c r="I133" s="7">
        <v>1</v>
      </c>
      <c r="J133" s="10">
        <v>0.22</v>
      </c>
      <c r="K133" s="1"/>
      <c r="L133" s="1"/>
      <c r="M133" s="1"/>
      <c r="N133" s="1"/>
      <c r="O133" s="1"/>
      <c r="P133" s="1"/>
      <c r="Q133" s="1"/>
      <c r="R133" s="1"/>
      <c r="S133" s="1"/>
      <c r="T133" s="1"/>
      <c r="U133" s="1"/>
      <c r="V133" s="1"/>
      <c r="W133" s="1"/>
      <c r="X133" s="1"/>
      <c r="Y133" s="1"/>
    </row>
    <row r="134" spans="1:25" ht="15" thickBot="1" x14ac:dyDescent="0.35">
      <c r="A134" s="9">
        <v>133</v>
      </c>
      <c r="B134" s="8">
        <v>40549</v>
      </c>
      <c r="C134" s="7">
        <v>1</v>
      </c>
      <c r="D134" s="7">
        <v>0</v>
      </c>
      <c r="E134" s="7">
        <v>1</v>
      </c>
      <c r="F134" s="7">
        <v>18</v>
      </c>
      <c r="G134" s="7" t="b">
        <v>0</v>
      </c>
      <c r="H134" s="7">
        <f t="shared" si="2"/>
        <v>4</v>
      </c>
      <c r="I134" s="7">
        <v>1</v>
      </c>
      <c r="J134" s="10">
        <v>0.22</v>
      </c>
      <c r="K134" s="1"/>
      <c r="L134" s="1"/>
      <c r="M134" s="1"/>
      <c r="N134" s="1"/>
      <c r="O134" s="1"/>
      <c r="P134" s="1"/>
      <c r="Q134" s="1"/>
      <c r="R134" s="1"/>
      <c r="S134" s="1"/>
      <c r="T134" s="1"/>
      <c r="U134" s="1"/>
      <c r="V134" s="1"/>
      <c r="W134" s="1"/>
      <c r="X134" s="1"/>
      <c r="Y134" s="1"/>
    </row>
    <row r="135" spans="1:25" ht="15" thickBot="1" x14ac:dyDescent="0.35">
      <c r="A135" s="9">
        <v>134</v>
      </c>
      <c r="B135" s="8">
        <v>40549</v>
      </c>
      <c r="C135" s="7">
        <v>1</v>
      </c>
      <c r="D135" s="7">
        <v>0</v>
      </c>
      <c r="E135" s="7">
        <v>1</v>
      </c>
      <c r="F135" s="7">
        <v>19</v>
      </c>
      <c r="G135" s="7" t="b">
        <v>0</v>
      </c>
      <c r="H135" s="7">
        <f t="shared" si="2"/>
        <v>4</v>
      </c>
      <c r="I135" s="7">
        <v>1</v>
      </c>
      <c r="J135" s="10">
        <v>0.22</v>
      </c>
      <c r="K135" s="1"/>
      <c r="L135" s="1"/>
      <c r="M135" s="1"/>
      <c r="N135" s="1"/>
      <c r="O135" s="1"/>
      <c r="P135" s="1"/>
      <c r="Q135" s="1"/>
      <c r="R135" s="1"/>
      <c r="S135" s="1"/>
      <c r="T135" s="1"/>
      <c r="U135" s="1"/>
      <c r="V135" s="1"/>
      <c r="W135" s="1"/>
      <c r="X135" s="1"/>
      <c r="Y135" s="1"/>
    </row>
    <row r="136" spans="1:25" ht="15" thickBot="1" x14ac:dyDescent="0.35">
      <c r="A136" s="9">
        <v>135</v>
      </c>
      <c r="B136" s="8">
        <v>40549</v>
      </c>
      <c r="C136" s="7">
        <v>1</v>
      </c>
      <c r="D136" s="7">
        <v>0</v>
      </c>
      <c r="E136" s="7">
        <v>1</v>
      </c>
      <c r="F136" s="7">
        <v>20</v>
      </c>
      <c r="G136" s="7" t="b">
        <v>0</v>
      </c>
      <c r="H136" s="7">
        <f t="shared" si="2"/>
        <v>4</v>
      </c>
      <c r="I136" s="7">
        <v>1</v>
      </c>
      <c r="J136" s="10">
        <v>0.2</v>
      </c>
      <c r="K136" s="1"/>
      <c r="L136" s="1"/>
      <c r="M136" s="1"/>
      <c r="N136" s="1"/>
      <c r="O136" s="1"/>
      <c r="P136" s="1"/>
      <c r="Q136" s="1"/>
      <c r="R136" s="1"/>
      <c r="S136" s="1"/>
      <c r="T136" s="1"/>
      <c r="U136" s="1"/>
      <c r="V136" s="1"/>
      <c r="W136" s="1"/>
      <c r="X136" s="1"/>
      <c r="Y136" s="1"/>
    </row>
    <row r="137" spans="1:25" ht="15" thickBot="1" x14ac:dyDescent="0.35">
      <c r="A137" s="9">
        <v>136</v>
      </c>
      <c r="B137" s="8">
        <v>40549</v>
      </c>
      <c r="C137" s="7">
        <v>1</v>
      </c>
      <c r="D137" s="7">
        <v>0</v>
      </c>
      <c r="E137" s="7">
        <v>1</v>
      </c>
      <c r="F137" s="7">
        <v>21</v>
      </c>
      <c r="G137" s="7" t="b">
        <v>0</v>
      </c>
      <c r="H137" s="7">
        <f t="shared" si="2"/>
        <v>4</v>
      </c>
      <c r="I137" s="7">
        <v>2</v>
      </c>
      <c r="J137" s="10">
        <v>0.22</v>
      </c>
      <c r="K137" s="1"/>
      <c r="L137" s="1"/>
      <c r="M137" s="1"/>
      <c r="N137" s="1"/>
      <c r="O137" s="1"/>
      <c r="P137" s="1"/>
      <c r="Q137" s="1"/>
      <c r="R137" s="1"/>
      <c r="S137" s="1"/>
      <c r="T137" s="1"/>
      <c r="U137" s="1"/>
      <c r="V137" s="1"/>
      <c r="W137" s="1"/>
      <c r="X137" s="1"/>
      <c r="Y137" s="1"/>
    </row>
    <row r="138" spans="1:25" ht="15" thickBot="1" x14ac:dyDescent="0.35">
      <c r="A138" s="9">
        <v>137</v>
      </c>
      <c r="B138" s="8">
        <v>40549</v>
      </c>
      <c r="C138" s="7">
        <v>1</v>
      </c>
      <c r="D138" s="7">
        <v>0</v>
      </c>
      <c r="E138" s="7">
        <v>1</v>
      </c>
      <c r="F138" s="7">
        <v>22</v>
      </c>
      <c r="G138" s="7" t="b">
        <v>0</v>
      </c>
      <c r="H138" s="7">
        <f t="shared" si="2"/>
        <v>4</v>
      </c>
      <c r="I138" s="7">
        <v>2</v>
      </c>
      <c r="J138" s="10">
        <v>0.22</v>
      </c>
      <c r="K138" s="1"/>
      <c r="L138" s="1"/>
      <c r="M138" s="1"/>
      <c r="N138" s="1"/>
      <c r="O138" s="1"/>
      <c r="P138" s="1"/>
      <c r="Q138" s="1"/>
      <c r="R138" s="1"/>
      <c r="S138" s="1"/>
      <c r="T138" s="1"/>
      <c r="U138" s="1"/>
      <c r="V138" s="1"/>
      <c r="W138" s="1"/>
      <c r="X138" s="1"/>
      <c r="Y138" s="1"/>
    </row>
    <row r="139" spans="1:25" ht="15" thickBot="1" x14ac:dyDescent="0.35">
      <c r="A139" s="9">
        <v>138</v>
      </c>
      <c r="B139" s="8">
        <v>40549</v>
      </c>
      <c r="C139" s="7">
        <v>1</v>
      </c>
      <c r="D139" s="7">
        <v>0</v>
      </c>
      <c r="E139" s="7">
        <v>1</v>
      </c>
      <c r="F139" s="7">
        <v>23</v>
      </c>
      <c r="G139" s="7" t="b">
        <v>0</v>
      </c>
      <c r="H139" s="7">
        <f t="shared" si="2"/>
        <v>4</v>
      </c>
      <c r="I139" s="7">
        <v>2</v>
      </c>
      <c r="J139" s="10">
        <v>0.2</v>
      </c>
      <c r="K139" s="1"/>
      <c r="L139" s="1"/>
      <c r="M139" s="1"/>
      <c r="N139" s="1"/>
      <c r="O139" s="1"/>
      <c r="P139" s="1"/>
      <c r="Q139" s="1"/>
      <c r="R139" s="1"/>
      <c r="S139" s="1"/>
      <c r="T139" s="1"/>
      <c r="U139" s="1"/>
      <c r="V139" s="1"/>
      <c r="W139" s="1"/>
      <c r="X139" s="1"/>
      <c r="Y139" s="1"/>
    </row>
    <row r="140" spans="1:25" ht="15" thickBot="1" x14ac:dyDescent="0.35">
      <c r="A140" s="9">
        <v>139</v>
      </c>
      <c r="B140" s="8">
        <v>40550</v>
      </c>
      <c r="C140" s="7">
        <v>1</v>
      </c>
      <c r="D140" s="7">
        <v>0</v>
      </c>
      <c r="E140" s="7">
        <v>1</v>
      </c>
      <c r="F140" s="7">
        <v>0</v>
      </c>
      <c r="G140" s="7" t="b">
        <v>0</v>
      </c>
      <c r="H140" s="7">
        <f t="shared" si="2"/>
        <v>5</v>
      </c>
      <c r="I140" s="7">
        <v>2</v>
      </c>
      <c r="J140" s="10">
        <v>0.2</v>
      </c>
      <c r="K140" s="1"/>
      <c r="L140" s="1"/>
      <c r="M140" s="1"/>
      <c r="N140" s="1"/>
      <c r="O140" s="1"/>
      <c r="P140" s="1"/>
      <c r="Q140" s="1"/>
      <c r="R140" s="1"/>
      <c r="S140" s="1"/>
      <c r="T140" s="1"/>
      <c r="U140" s="1"/>
      <c r="V140" s="1"/>
      <c r="W140" s="1"/>
      <c r="X140" s="1"/>
      <c r="Y140" s="1"/>
    </row>
    <row r="141" spans="1:25" ht="15" thickBot="1" x14ac:dyDescent="0.35">
      <c r="A141" s="9">
        <v>140</v>
      </c>
      <c r="B141" s="8">
        <v>40550</v>
      </c>
      <c r="C141" s="7">
        <v>1</v>
      </c>
      <c r="D141" s="7">
        <v>0</v>
      </c>
      <c r="E141" s="7">
        <v>1</v>
      </c>
      <c r="F141" s="7">
        <v>1</v>
      </c>
      <c r="G141" s="7" t="b">
        <v>0</v>
      </c>
      <c r="H141" s="7">
        <f t="shared" si="2"/>
        <v>5</v>
      </c>
      <c r="I141" s="7">
        <v>2</v>
      </c>
      <c r="J141" s="10">
        <v>0.2</v>
      </c>
      <c r="K141" s="1"/>
      <c r="L141" s="1"/>
      <c r="M141" s="1"/>
      <c r="N141" s="1"/>
      <c r="O141" s="1"/>
      <c r="P141" s="1"/>
      <c r="Q141" s="1"/>
      <c r="R141" s="1"/>
      <c r="S141" s="1"/>
      <c r="T141" s="1"/>
      <c r="U141" s="1"/>
      <c r="V141" s="1"/>
      <c r="W141" s="1"/>
      <c r="X141" s="1"/>
      <c r="Y141" s="1"/>
    </row>
    <row r="142" spans="1:25" ht="15" thickBot="1" x14ac:dyDescent="0.35">
      <c r="A142" s="9">
        <v>141</v>
      </c>
      <c r="B142" s="8">
        <v>40550</v>
      </c>
      <c r="C142" s="7">
        <v>1</v>
      </c>
      <c r="D142" s="7">
        <v>0</v>
      </c>
      <c r="E142" s="7">
        <v>1</v>
      </c>
      <c r="F142" s="7">
        <v>2</v>
      </c>
      <c r="G142" s="7" t="b">
        <v>0</v>
      </c>
      <c r="H142" s="7">
        <f t="shared" si="2"/>
        <v>5</v>
      </c>
      <c r="I142" s="7">
        <v>2</v>
      </c>
      <c r="J142" s="10">
        <v>0.2</v>
      </c>
      <c r="K142" s="1"/>
      <c r="L142" s="1"/>
      <c r="M142" s="1"/>
      <c r="N142" s="1"/>
      <c r="O142" s="1"/>
      <c r="P142" s="1"/>
      <c r="Q142" s="1"/>
      <c r="R142" s="1"/>
      <c r="S142" s="1"/>
      <c r="T142" s="1"/>
      <c r="U142" s="1"/>
      <c r="V142" s="1"/>
      <c r="W142" s="1"/>
      <c r="X142" s="1"/>
      <c r="Y142" s="1"/>
    </row>
    <row r="143" spans="1:25" ht="15" thickBot="1" x14ac:dyDescent="0.35">
      <c r="A143" s="9">
        <v>142</v>
      </c>
      <c r="B143" s="8">
        <v>40550</v>
      </c>
      <c r="C143" s="7">
        <v>1</v>
      </c>
      <c r="D143" s="7">
        <v>0</v>
      </c>
      <c r="E143" s="7">
        <v>1</v>
      </c>
      <c r="F143" s="7">
        <v>4</v>
      </c>
      <c r="G143" s="7" t="b">
        <v>0</v>
      </c>
      <c r="H143" s="7">
        <f t="shared" si="2"/>
        <v>5</v>
      </c>
      <c r="I143" s="7">
        <v>2</v>
      </c>
      <c r="J143" s="10">
        <v>0.2</v>
      </c>
      <c r="K143" s="1"/>
      <c r="L143" s="1"/>
      <c r="M143" s="1"/>
      <c r="N143" s="1"/>
      <c r="O143" s="1"/>
      <c r="P143" s="1"/>
      <c r="Q143" s="1"/>
      <c r="R143" s="1"/>
      <c r="S143" s="1"/>
      <c r="T143" s="1"/>
      <c r="U143" s="1"/>
      <c r="V143" s="1"/>
      <c r="W143" s="1"/>
      <c r="X143" s="1"/>
      <c r="Y143" s="1"/>
    </row>
    <row r="144" spans="1:25" ht="15" thickBot="1" x14ac:dyDescent="0.35">
      <c r="A144" s="9">
        <v>143</v>
      </c>
      <c r="B144" s="8">
        <v>40550</v>
      </c>
      <c r="C144" s="7">
        <v>1</v>
      </c>
      <c r="D144" s="7">
        <v>0</v>
      </c>
      <c r="E144" s="7">
        <v>1</v>
      </c>
      <c r="F144" s="7">
        <v>5</v>
      </c>
      <c r="G144" s="7" t="b">
        <v>0</v>
      </c>
      <c r="H144" s="7">
        <f t="shared" si="2"/>
        <v>5</v>
      </c>
      <c r="I144" s="7">
        <v>3</v>
      </c>
      <c r="J144" s="10">
        <v>0.22</v>
      </c>
      <c r="K144" s="1"/>
      <c r="L144" s="1"/>
      <c r="M144" s="1"/>
      <c r="N144" s="1"/>
      <c r="O144" s="1"/>
      <c r="P144" s="1"/>
      <c r="Q144" s="1"/>
      <c r="R144" s="1"/>
      <c r="S144" s="1"/>
      <c r="T144" s="1"/>
      <c r="U144" s="1"/>
      <c r="V144" s="1"/>
      <c r="W144" s="1"/>
      <c r="X144" s="1"/>
      <c r="Y144" s="1"/>
    </row>
    <row r="145" spans="1:25" ht="15" thickBot="1" x14ac:dyDescent="0.35">
      <c r="A145" s="9">
        <v>144</v>
      </c>
      <c r="B145" s="8">
        <v>40550</v>
      </c>
      <c r="C145" s="7">
        <v>1</v>
      </c>
      <c r="D145" s="7">
        <v>0</v>
      </c>
      <c r="E145" s="7">
        <v>1</v>
      </c>
      <c r="F145" s="7">
        <v>6</v>
      </c>
      <c r="G145" s="7" t="b">
        <v>0</v>
      </c>
      <c r="H145" s="7">
        <f t="shared" si="2"/>
        <v>5</v>
      </c>
      <c r="I145" s="7">
        <v>2</v>
      </c>
      <c r="J145" s="10">
        <v>0.2</v>
      </c>
      <c r="K145" s="1"/>
      <c r="L145" s="1"/>
      <c r="M145" s="1"/>
      <c r="N145" s="1"/>
      <c r="O145" s="1"/>
      <c r="P145" s="1"/>
      <c r="Q145" s="1"/>
      <c r="R145" s="1"/>
      <c r="S145" s="1"/>
      <c r="T145" s="1"/>
      <c r="U145" s="1"/>
      <c r="V145" s="1"/>
      <c r="W145" s="1"/>
      <c r="X145" s="1"/>
      <c r="Y145" s="1"/>
    </row>
    <row r="146" spans="1:25" ht="15" thickBot="1" x14ac:dyDescent="0.35">
      <c r="A146" s="9">
        <v>145</v>
      </c>
      <c r="B146" s="8">
        <v>40550</v>
      </c>
      <c r="C146" s="7">
        <v>1</v>
      </c>
      <c r="D146" s="7">
        <v>0</v>
      </c>
      <c r="E146" s="7">
        <v>1</v>
      </c>
      <c r="F146" s="7">
        <v>7</v>
      </c>
      <c r="G146" s="7" t="b">
        <v>0</v>
      </c>
      <c r="H146" s="7">
        <f t="shared" si="2"/>
        <v>5</v>
      </c>
      <c r="I146" s="7">
        <v>1</v>
      </c>
      <c r="J146" s="10">
        <v>0.2</v>
      </c>
      <c r="K146" s="1"/>
      <c r="L146" s="1"/>
      <c r="M146" s="1"/>
      <c r="N146" s="1"/>
      <c r="O146" s="1"/>
      <c r="P146" s="1"/>
      <c r="Q146" s="1"/>
      <c r="R146" s="1"/>
      <c r="S146" s="1"/>
      <c r="T146" s="1"/>
      <c r="U146" s="1"/>
      <c r="V146" s="1"/>
      <c r="W146" s="1"/>
      <c r="X146" s="1"/>
      <c r="Y146" s="1"/>
    </row>
    <row r="147" spans="1:25" ht="15" thickBot="1" x14ac:dyDescent="0.35">
      <c r="A147" s="9">
        <v>146</v>
      </c>
      <c r="B147" s="8">
        <v>40550</v>
      </c>
      <c r="C147" s="7">
        <v>1</v>
      </c>
      <c r="D147" s="7">
        <v>0</v>
      </c>
      <c r="E147" s="7">
        <v>1</v>
      </c>
      <c r="F147" s="7">
        <v>8</v>
      </c>
      <c r="G147" s="7" t="b">
        <v>0</v>
      </c>
      <c r="H147" s="7">
        <f t="shared" si="2"/>
        <v>5</v>
      </c>
      <c r="I147" s="7">
        <v>1</v>
      </c>
      <c r="J147" s="10">
        <v>0.2</v>
      </c>
      <c r="K147" s="1"/>
      <c r="L147" s="1"/>
      <c r="M147" s="1"/>
      <c r="N147" s="1"/>
      <c r="O147" s="1"/>
      <c r="P147" s="1"/>
      <c r="Q147" s="1"/>
      <c r="R147" s="1"/>
      <c r="S147" s="1"/>
      <c r="T147" s="1"/>
      <c r="U147" s="1"/>
      <c r="V147" s="1"/>
      <c r="W147" s="1"/>
      <c r="X147" s="1"/>
      <c r="Y147" s="1"/>
    </row>
    <row r="148" spans="1:25" ht="15" thickBot="1" x14ac:dyDescent="0.35">
      <c r="A148" s="9">
        <v>147</v>
      </c>
      <c r="B148" s="8">
        <v>40550</v>
      </c>
      <c r="C148" s="7">
        <v>1</v>
      </c>
      <c r="D148" s="7">
        <v>0</v>
      </c>
      <c r="E148" s="7">
        <v>1</v>
      </c>
      <c r="F148" s="7">
        <v>9</v>
      </c>
      <c r="G148" s="7" t="b">
        <v>0</v>
      </c>
      <c r="H148" s="7">
        <f t="shared" si="2"/>
        <v>5</v>
      </c>
      <c r="I148" s="7">
        <v>1</v>
      </c>
      <c r="J148" s="10">
        <v>0.2</v>
      </c>
      <c r="K148" s="1"/>
      <c r="L148" s="1"/>
      <c r="M148" s="1"/>
      <c r="N148" s="1"/>
      <c r="O148" s="1"/>
      <c r="P148" s="1"/>
      <c r="Q148" s="1"/>
      <c r="R148" s="1"/>
      <c r="S148" s="1"/>
      <c r="T148" s="1"/>
      <c r="U148" s="1"/>
      <c r="V148" s="1"/>
      <c r="W148" s="1"/>
      <c r="X148" s="1"/>
      <c r="Y148" s="1"/>
    </row>
    <row r="149" spans="1:25" ht="15" thickBot="1" x14ac:dyDescent="0.35">
      <c r="A149" s="9">
        <v>148</v>
      </c>
      <c r="B149" s="8">
        <v>40550</v>
      </c>
      <c r="C149" s="7">
        <v>1</v>
      </c>
      <c r="D149" s="7">
        <v>0</v>
      </c>
      <c r="E149" s="7">
        <v>1</v>
      </c>
      <c r="F149" s="7">
        <v>10</v>
      </c>
      <c r="G149" s="7" t="b">
        <v>0</v>
      </c>
      <c r="H149" s="7">
        <f t="shared" si="2"/>
        <v>5</v>
      </c>
      <c r="I149" s="7">
        <v>1</v>
      </c>
      <c r="J149" s="10">
        <v>0.22</v>
      </c>
      <c r="K149" s="1"/>
      <c r="L149" s="1"/>
      <c r="M149" s="1"/>
      <c r="N149" s="1"/>
      <c r="O149" s="1"/>
      <c r="P149" s="1"/>
      <c r="Q149" s="1"/>
      <c r="R149" s="1"/>
      <c r="S149" s="1"/>
      <c r="T149" s="1"/>
      <c r="U149" s="1"/>
      <c r="V149" s="1"/>
      <c r="W149" s="1"/>
      <c r="X149" s="1"/>
      <c r="Y149" s="1"/>
    </row>
    <row r="150" spans="1:25" ht="15" thickBot="1" x14ac:dyDescent="0.35">
      <c r="A150" s="9">
        <v>149</v>
      </c>
      <c r="B150" s="8">
        <v>40550</v>
      </c>
      <c r="C150" s="7">
        <v>1</v>
      </c>
      <c r="D150" s="7">
        <v>0</v>
      </c>
      <c r="E150" s="7">
        <v>1</v>
      </c>
      <c r="F150" s="7">
        <v>11</v>
      </c>
      <c r="G150" s="7" t="b">
        <v>0</v>
      </c>
      <c r="H150" s="7">
        <f t="shared" si="2"/>
        <v>5</v>
      </c>
      <c r="I150" s="7">
        <v>2</v>
      </c>
      <c r="J150" s="10">
        <v>0.2</v>
      </c>
      <c r="K150" s="1"/>
      <c r="L150" s="1"/>
      <c r="M150" s="1"/>
      <c r="N150" s="1"/>
      <c r="O150" s="1"/>
      <c r="P150" s="1"/>
      <c r="Q150" s="1"/>
      <c r="R150" s="1"/>
      <c r="S150" s="1"/>
      <c r="T150" s="1"/>
      <c r="U150" s="1"/>
      <c r="V150" s="1"/>
      <c r="W150" s="1"/>
      <c r="X150" s="1"/>
      <c r="Y150" s="1"/>
    </row>
    <row r="151" spans="1:25" ht="15" thickBot="1" x14ac:dyDescent="0.35">
      <c r="A151" s="9">
        <v>150</v>
      </c>
      <c r="B151" s="8">
        <v>40550</v>
      </c>
      <c r="C151" s="7">
        <v>1</v>
      </c>
      <c r="D151" s="7">
        <v>0</v>
      </c>
      <c r="E151" s="7">
        <v>1</v>
      </c>
      <c r="F151" s="7">
        <v>12</v>
      </c>
      <c r="G151" s="7" t="b">
        <v>0</v>
      </c>
      <c r="H151" s="7">
        <f t="shared" si="2"/>
        <v>5</v>
      </c>
      <c r="I151" s="7">
        <v>2</v>
      </c>
      <c r="J151" s="10">
        <v>0.2</v>
      </c>
      <c r="K151" s="1"/>
      <c r="L151" s="1"/>
      <c r="M151" s="1"/>
      <c r="N151" s="1"/>
      <c r="O151" s="1"/>
      <c r="P151" s="1"/>
      <c r="Q151" s="1"/>
      <c r="R151" s="1"/>
      <c r="S151" s="1"/>
      <c r="T151" s="1"/>
      <c r="U151" s="1"/>
      <c r="V151" s="1"/>
      <c r="W151" s="1"/>
      <c r="X151" s="1"/>
      <c r="Y151" s="1"/>
    </row>
    <row r="152" spans="1:25" ht="15" thickBot="1" x14ac:dyDescent="0.35">
      <c r="A152" s="9">
        <v>151</v>
      </c>
      <c r="B152" s="8">
        <v>40550</v>
      </c>
      <c r="C152" s="7">
        <v>1</v>
      </c>
      <c r="D152" s="7">
        <v>0</v>
      </c>
      <c r="E152" s="7">
        <v>1</v>
      </c>
      <c r="F152" s="7">
        <v>13</v>
      </c>
      <c r="G152" s="7" t="b">
        <v>0</v>
      </c>
      <c r="H152" s="7">
        <f t="shared" si="2"/>
        <v>5</v>
      </c>
      <c r="I152" s="7">
        <v>2</v>
      </c>
      <c r="J152" s="10">
        <v>0.2</v>
      </c>
      <c r="K152" s="1"/>
      <c r="L152" s="1"/>
      <c r="M152" s="1"/>
      <c r="N152" s="1"/>
      <c r="O152" s="1"/>
      <c r="P152" s="1"/>
      <c r="Q152" s="1"/>
      <c r="R152" s="1"/>
      <c r="S152" s="1"/>
      <c r="T152" s="1"/>
      <c r="U152" s="1"/>
      <c r="V152" s="1"/>
      <c r="W152" s="1"/>
      <c r="X152" s="1"/>
      <c r="Y152" s="1"/>
    </row>
    <row r="153" spans="1:25" ht="15" thickBot="1" x14ac:dyDescent="0.35">
      <c r="A153" s="9">
        <v>152</v>
      </c>
      <c r="B153" s="8">
        <v>40550</v>
      </c>
      <c r="C153" s="7">
        <v>1</v>
      </c>
      <c r="D153" s="7">
        <v>0</v>
      </c>
      <c r="E153" s="7">
        <v>1</v>
      </c>
      <c r="F153" s="7">
        <v>14</v>
      </c>
      <c r="G153" s="7" t="b">
        <v>0</v>
      </c>
      <c r="H153" s="7">
        <f t="shared" si="2"/>
        <v>5</v>
      </c>
      <c r="I153" s="7">
        <v>2</v>
      </c>
      <c r="J153" s="10">
        <v>0.2</v>
      </c>
      <c r="K153" s="1"/>
      <c r="L153" s="1"/>
      <c r="M153" s="1"/>
      <c r="N153" s="1"/>
      <c r="O153" s="1"/>
      <c r="P153" s="1"/>
      <c r="Q153" s="1"/>
      <c r="R153" s="1"/>
      <c r="S153" s="1"/>
      <c r="T153" s="1"/>
      <c r="U153" s="1"/>
      <c r="V153" s="1"/>
      <c r="W153" s="1"/>
      <c r="X153" s="1"/>
      <c r="Y153" s="1"/>
    </row>
    <row r="154" spans="1:25" ht="15" thickBot="1" x14ac:dyDescent="0.35">
      <c r="A154" s="9">
        <v>153</v>
      </c>
      <c r="B154" s="8">
        <v>40550</v>
      </c>
      <c r="C154" s="7">
        <v>1</v>
      </c>
      <c r="D154" s="7">
        <v>0</v>
      </c>
      <c r="E154" s="7">
        <v>1</v>
      </c>
      <c r="F154" s="7">
        <v>15</v>
      </c>
      <c r="G154" s="7" t="b">
        <v>0</v>
      </c>
      <c r="H154" s="7">
        <f t="shared" si="2"/>
        <v>5</v>
      </c>
      <c r="I154" s="7">
        <v>2</v>
      </c>
      <c r="J154" s="10">
        <v>0.2</v>
      </c>
      <c r="K154" s="1"/>
      <c r="L154" s="1"/>
      <c r="M154" s="1"/>
      <c r="N154" s="1"/>
      <c r="O154" s="1"/>
      <c r="P154" s="1"/>
      <c r="Q154" s="1"/>
      <c r="R154" s="1"/>
      <c r="S154" s="1"/>
      <c r="T154" s="1"/>
      <c r="U154" s="1"/>
      <c r="V154" s="1"/>
      <c r="W154" s="1"/>
      <c r="X154" s="1"/>
      <c r="Y154" s="1"/>
    </row>
    <row r="155" spans="1:25" ht="15" thickBot="1" x14ac:dyDescent="0.35">
      <c r="A155" s="9">
        <v>154</v>
      </c>
      <c r="B155" s="8">
        <v>40550</v>
      </c>
      <c r="C155" s="7">
        <v>1</v>
      </c>
      <c r="D155" s="7">
        <v>0</v>
      </c>
      <c r="E155" s="7">
        <v>1</v>
      </c>
      <c r="F155" s="7">
        <v>16</v>
      </c>
      <c r="G155" s="7" t="b">
        <v>0</v>
      </c>
      <c r="H155" s="7">
        <f t="shared" si="2"/>
        <v>5</v>
      </c>
      <c r="I155" s="7">
        <v>2</v>
      </c>
      <c r="J155" s="10">
        <v>0.2</v>
      </c>
      <c r="K155" s="1"/>
      <c r="L155" s="1"/>
      <c r="M155" s="1"/>
      <c r="N155" s="1"/>
      <c r="O155" s="1"/>
      <c r="P155" s="1"/>
      <c r="Q155" s="1"/>
      <c r="R155" s="1"/>
      <c r="S155" s="1"/>
      <c r="T155" s="1"/>
      <c r="U155" s="1"/>
      <c r="V155" s="1"/>
      <c r="W155" s="1"/>
      <c r="X155" s="1"/>
      <c r="Y155" s="1"/>
    </row>
    <row r="156" spans="1:25" ht="15" thickBot="1" x14ac:dyDescent="0.35">
      <c r="A156" s="9">
        <v>155</v>
      </c>
      <c r="B156" s="8">
        <v>40550</v>
      </c>
      <c r="C156" s="7">
        <v>1</v>
      </c>
      <c r="D156" s="7">
        <v>0</v>
      </c>
      <c r="E156" s="7">
        <v>1</v>
      </c>
      <c r="F156" s="7">
        <v>17</v>
      </c>
      <c r="G156" s="7" t="b">
        <v>0</v>
      </c>
      <c r="H156" s="7">
        <f t="shared" si="2"/>
        <v>5</v>
      </c>
      <c r="I156" s="7">
        <v>2</v>
      </c>
      <c r="J156" s="10">
        <v>0.2</v>
      </c>
      <c r="K156" s="1"/>
      <c r="L156" s="1"/>
      <c r="M156" s="1"/>
      <c r="N156" s="1"/>
      <c r="O156" s="1"/>
      <c r="P156" s="1"/>
      <c r="Q156" s="1"/>
      <c r="R156" s="1"/>
      <c r="S156" s="1"/>
      <c r="T156" s="1"/>
      <c r="U156" s="1"/>
      <c r="V156" s="1"/>
      <c r="W156" s="1"/>
      <c r="X156" s="1"/>
      <c r="Y156" s="1"/>
    </row>
    <row r="157" spans="1:25" ht="15" thickBot="1" x14ac:dyDescent="0.35">
      <c r="A157" s="9">
        <v>156</v>
      </c>
      <c r="B157" s="8">
        <v>40550</v>
      </c>
      <c r="C157" s="7">
        <v>1</v>
      </c>
      <c r="D157" s="7">
        <v>0</v>
      </c>
      <c r="E157" s="7">
        <v>1</v>
      </c>
      <c r="F157" s="7">
        <v>18</v>
      </c>
      <c r="G157" s="7" t="b">
        <v>0</v>
      </c>
      <c r="H157" s="7">
        <f t="shared" si="2"/>
        <v>5</v>
      </c>
      <c r="I157" s="7">
        <v>1</v>
      </c>
      <c r="J157" s="10">
        <v>0.2</v>
      </c>
      <c r="K157" s="1"/>
      <c r="L157" s="1"/>
      <c r="M157" s="1"/>
      <c r="N157" s="1"/>
      <c r="O157" s="1"/>
      <c r="P157" s="1"/>
      <c r="Q157" s="1"/>
      <c r="R157" s="1"/>
      <c r="S157" s="1"/>
      <c r="T157" s="1"/>
      <c r="U157" s="1"/>
      <c r="V157" s="1"/>
      <c r="W157" s="1"/>
      <c r="X157" s="1"/>
      <c r="Y157" s="1"/>
    </row>
    <row r="158" spans="1:25" ht="15" thickBot="1" x14ac:dyDescent="0.35">
      <c r="A158" s="9">
        <v>157</v>
      </c>
      <c r="B158" s="8">
        <v>40550</v>
      </c>
      <c r="C158" s="7">
        <v>1</v>
      </c>
      <c r="D158" s="7">
        <v>0</v>
      </c>
      <c r="E158" s="7">
        <v>1</v>
      </c>
      <c r="F158" s="7">
        <v>19</v>
      </c>
      <c r="G158" s="7" t="b">
        <v>0</v>
      </c>
      <c r="H158" s="7">
        <f t="shared" si="2"/>
        <v>5</v>
      </c>
      <c r="I158" s="7">
        <v>1</v>
      </c>
      <c r="J158" s="10">
        <v>0.16</v>
      </c>
      <c r="K158" s="1"/>
      <c r="L158" s="1"/>
      <c r="M158" s="1"/>
      <c r="N158" s="1"/>
      <c r="O158" s="1"/>
      <c r="P158" s="1"/>
      <c r="Q158" s="1"/>
      <c r="R158" s="1"/>
      <c r="S158" s="1"/>
      <c r="T158" s="1"/>
      <c r="U158" s="1"/>
      <c r="V158" s="1"/>
      <c r="W158" s="1"/>
      <c r="X158" s="1"/>
      <c r="Y158" s="1"/>
    </row>
    <row r="159" spans="1:25" ht="15" thickBot="1" x14ac:dyDescent="0.35">
      <c r="A159" s="9">
        <v>158</v>
      </c>
      <c r="B159" s="8">
        <v>40550</v>
      </c>
      <c r="C159" s="7">
        <v>1</v>
      </c>
      <c r="D159" s="7">
        <v>0</v>
      </c>
      <c r="E159" s="7">
        <v>1</v>
      </c>
      <c r="F159" s="7">
        <v>20</v>
      </c>
      <c r="G159" s="7" t="b">
        <v>0</v>
      </c>
      <c r="H159" s="7">
        <f t="shared" si="2"/>
        <v>5</v>
      </c>
      <c r="I159" s="7">
        <v>1</v>
      </c>
      <c r="J159" s="10">
        <v>0.18</v>
      </c>
      <c r="K159" s="1"/>
      <c r="L159" s="1"/>
      <c r="M159" s="1"/>
      <c r="N159" s="1"/>
      <c r="O159" s="1"/>
      <c r="P159" s="1"/>
      <c r="Q159" s="1"/>
      <c r="R159" s="1"/>
      <c r="S159" s="1"/>
      <c r="T159" s="1"/>
      <c r="U159" s="1"/>
      <c r="V159" s="1"/>
      <c r="W159" s="1"/>
      <c r="X159" s="1"/>
      <c r="Y159" s="1"/>
    </row>
    <row r="160" spans="1:25" ht="15" thickBot="1" x14ac:dyDescent="0.35">
      <c r="A160" s="9">
        <v>159</v>
      </c>
      <c r="B160" s="8">
        <v>40550</v>
      </c>
      <c r="C160" s="7">
        <v>1</v>
      </c>
      <c r="D160" s="7">
        <v>0</v>
      </c>
      <c r="E160" s="7">
        <v>1</v>
      </c>
      <c r="F160" s="7">
        <v>21</v>
      </c>
      <c r="G160" s="7" t="b">
        <v>0</v>
      </c>
      <c r="H160" s="7">
        <f t="shared" si="2"/>
        <v>5</v>
      </c>
      <c r="I160" s="7">
        <v>1</v>
      </c>
      <c r="J160" s="10">
        <v>0.18</v>
      </c>
      <c r="K160" s="1"/>
      <c r="L160" s="1"/>
      <c r="M160" s="1"/>
      <c r="N160" s="1"/>
      <c r="O160" s="1"/>
      <c r="P160" s="1"/>
      <c r="Q160" s="1"/>
      <c r="R160" s="1"/>
      <c r="S160" s="1"/>
      <c r="T160" s="1"/>
      <c r="U160" s="1"/>
      <c r="V160" s="1"/>
      <c r="W160" s="1"/>
      <c r="X160" s="1"/>
      <c r="Y160" s="1"/>
    </row>
    <row r="161" spans="1:25" ht="15" thickBot="1" x14ac:dyDescent="0.35">
      <c r="A161" s="9">
        <v>160</v>
      </c>
      <c r="B161" s="8">
        <v>40550</v>
      </c>
      <c r="C161" s="7">
        <v>1</v>
      </c>
      <c r="D161" s="7">
        <v>0</v>
      </c>
      <c r="E161" s="7">
        <v>1</v>
      </c>
      <c r="F161" s="7">
        <v>22</v>
      </c>
      <c r="G161" s="7" t="b">
        <v>0</v>
      </c>
      <c r="H161" s="7">
        <f t="shared" si="2"/>
        <v>5</v>
      </c>
      <c r="I161" s="7">
        <v>2</v>
      </c>
      <c r="J161" s="10">
        <v>0.18</v>
      </c>
      <c r="K161" s="1"/>
      <c r="L161" s="1"/>
      <c r="M161" s="1"/>
      <c r="N161" s="1"/>
      <c r="O161" s="1"/>
      <c r="P161" s="1"/>
      <c r="Q161" s="1"/>
      <c r="R161" s="1"/>
      <c r="S161" s="1"/>
      <c r="T161" s="1"/>
      <c r="U161" s="1"/>
      <c r="V161" s="1"/>
      <c r="W161" s="1"/>
      <c r="X161" s="1"/>
      <c r="Y161" s="1"/>
    </row>
    <row r="162" spans="1:25" ht="15" thickBot="1" x14ac:dyDescent="0.35">
      <c r="A162" s="9">
        <v>161</v>
      </c>
      <c r="B162" s="8">
        <v>40550</v>
      </c>
      <c r="C162" s="7">
        <v>1</v>
      </c>
      <c r="D162" s="7">
        <v>0</v>
      </c>
      <c r="E162" s="7">
        <v>1</v>
      </c>
      <c r="F162" s="7">
        <v>23</v>
      </c>
      <c r="G162" s="7" t="b">
        <v>0</v>
      </c>
      <c r="H162" s="7">
        <f t="shared" si="2"/>
        <v>5</v>
      </c>
      <c r="I162" s="7">
        <v>2</v>
      </c>
      <c r="J162" s="10">
        <v>0.18</v>
      </c>
      <c r="K162" s="1"/>
      <c r="L162" s="1"/>
      <c r="M162" s="1"/>
      <c r="N162" s="1"/>
      <c r="O162" s="1"/>
      <c r="P162" s="1"/>
      <c r="Q162" s="1"/>
      <c r="R162" s="1"/>
      <c r="S162" s="1"/>
      <c r="T162" s="1"/>
      <c r="U162" s="1"/>
      <c r="V162" s="1"/>
      <c r="W162" s="1"/>
      <c r="X162" s="1"/>
      <c r="Y162" s="1"/>
    </row>
    <row r="163" spans="1:25" ht="15" thickBot="1" x14ac:dyDescent="0.35">
      <c r="A163" s="9">
        <v>162</v>
      </c>
      <c r="B163" s="8">
        <v>40551</v>
      </c>
      <c r="C163" s="7">
        <v>1</v>
      </c>
      <c r="D163" s="7">
        <v>0</v>
      </c>
      <c r="E163" s="7">
        <v>1</v>
      </c>
      <c r="F163" s="7">
        <v>0</v>
      </c>
      <c r="G163" s="7" t="b">
        <v>0</v>
      </c>
      <c r="H163" s="7">
        <f t="shared" si="2"/>
        <v>6</v>
      </c>
      <c r="I163" s="7">
        <v>2</v>
      </c>
      <c r="J163" s="10">
        <v>0.18</v>
      </c>
      <c r="K163" s="1"/>
      <c r="L163" s="1"/>
      <c r="M163" s="1"/>
      <c r="N163" s="1"/>
      <c r="O163" s="1"/>
      <c r="P163" s="1"/>
      <c r="Q163" s="1"/>
      <c r="R163" s="1"/>
      <c r="S163" s="1"/>
      <c r="T163" s="1"/>
      <c r="U163" s="1"/>
      <c r="V163" s="1"/>
      <c r="W163" s="1"/>
      <c r="X163" s="1"/>
      <c r="Y163" s="1"/>
    </row>
    <row r="164" spans="1:25" ht="15" thickBot="1" x14ac:dyDescent="0.35">
      <c r="A164" s="9">
        <v>163</v>
      </c>
      <c r="B164" s="8">
        <v>40551</v>
      </c>
      <c r="C164" s="7">
        <v>1</v>
      </c>
      <c r="D164" s="7">
        <v>0</v>
      </c>
      <c r="E164" s="7">
        <v>1</v>
      </c>
      <c r="F164" s="7">
        <v>1</v>
      </c>
      <c r="G164" s="7" t="b">
        <v>0</v>
      </c>
      <c r="H164" s="7">
        <f t="shared" si="2"/>
        <v>6</v>
      </c>
      <c r="I164" s="7">
        <v>2</v>
      </c>
      <c r="J164" s="10">
        <v>0.18</v>
      </c>
      <c r="K164" s="1"/>
      <c r="L164" s="1"/>
      <c r="M164" s="1"/>
      <c r="N164" s="1"/>
      <c r="O164" s="1"/>
      <c r="P164" s="1"/>
      <c r="Q164" s="1"/>
      <c r="R164" s="1"/>
      <c r="S164" s="1"/>
      <c r="T164" s="1"/>
      <c r="U164" s="1"/>
      <c r="V164" s="1"/>
      <c r="W164" s="1"/>
      <c r="X164" s="1"/>
      <c r="Y164" s="1"/>
    </row>
    <row r="165" spans="1:25" ht="15" thickBot="1" x14ac:dyDescent="0.35">
      <c r="A165" s="9">
        <v>164</v>
      </c>
      <c r="B165" s="8">
        <v>40551</v>
      </c>
      <c r="C165" s="7">
        <v>1</v>
      </c>
      <c r="D165" s="7">
        <v>0</v>
      </c>
      <c r="E165" s="7">
        <v>1</v>
      </c>
      <c r="F165" s="7">
        <v>2</v>
      </c>
      <c r="G165" s="7" t="b">
        <v>0</v>
      </c>
      <c r="H165" s="7">
        <f t="shared" si="2"/>
        <v>6</v>
      </c>
      <c r="I165" s="7">
        <v>2</v>
      </c>
      <c r="J165" s="10">
        <v>0.18</v>
      </c>
      <c r="K165" s="1"/>
      <c r="L165" s="1"/>
      <c r="M165" s="1"/>
      <c r="N165" s="1"/>
      <c r="O165" s="1"/>
      <c r="P165" s="1"/>
      <c r="Q165" s="1"/>
      <c r="R165" s="1"/>
      <c r="S165" s="1"/>
      <c r="T165" s="1"/>
      <c r="U165" s="1"/>
      <c r="V165" s="1"/>
      <c r="W165" s="1"/>
      <c r="X165" s="1"/>
      <c r="Y165" s="1"/>
    </row>
    <row r="166" spans="1:25" ht="15" thickBot="1" x14ac:dyDescent="0.35">
      <c r="A166" s="9">
        <v>165</v>
      </c>
      <c r="B166" s="8">
        <v>40551</v>
      </c>
      <c r="C166" s="7">
        <v>1</v>
      </c>
      <c r="D166" s="7">
        <v>0</v>
      </c>
      <c r="E166" s="7">
        <v>1</v>
      </c>
      <c r="F166" s="7">
        <v>3</v>
      </c>
      <c r="G166" s="7" t="b">
        <v>0</v>
      </c>
      <c r="H166" s="7">
        <f t="shared" si="2"/>
        <v>6</v>
      </c>
      <c r="I166" s="7">
        <v>3</v>
      </c>
      <c r="J166" s="10">
        <v>0.18</v>
      </c>
      <c r="K166" s="1"/>
      <c r="L166" s="1"/>
      <c r="M166" s="1"/>
      <c r="N166" s="1"/>
      <c r="O166" s="1"/>
      <c r="P166" s="1"/>
      <c r="Q166" s="1"/>
      <c r="R166" s="1"/>
      <c r="S166" s="1"/>
      <c r="T166" s="1"/>
      <c r="U166" s="1"/>
      <c r="V166" s="1"/>
      <c r="W166" s="1"/>
      <c r="X166" s="1"/>
      <c r="Y166" s="1"/>
    </row>
    <row r="167" spans="1:25" ht="15" thickBot="1" x14ac:dyDescent="0.35">
      <c r="A167" s="9">
        <v>166</v>
      </c>
      <c r="B167" s="8">
        <v>40551</v>
      </c>
      <c r="C167" s="7">
        <v>1</v>
      </c>
      <c r="D167" s="7">
        <v>0</v>
      </c>
      <c r="E167" s="7">
        <v>1</v>
      </c>
      <c r="F167" s="7">
        <v>4</v>
      </c>
      <c r="G167" s="7" t="b">
        <v>0</v>
      </c>
      <c r="H167" s="7">
        <f t="shared" si="2"/>
        <v>6</v>
      </c>
      <c r="I167" s="7">
        <v>3</v>
      </c>
      <c r="J167" s="10">
        <v>0.18</v>
      </c>
      <c r="K167" s="1"/>
      <c r="L167" s="1"/>
      <c r="M167" s="1"/>
      <c r="N167" s="1"/>
      <c r="O167" s="1"/>
      <c r="P167" s="1"/>
      <c r="Q167" s="1"/>
      <c r="R167" s="1"/>
      <c r="S167" s="1"/>
      <c r="T167" s="1"/>
      <c r="U167" s="1"/>
      <c r="V167" s="1"/>
      <c r="W167" s="1"/>
      <c r="X167" s="1"/>
      <c r="Y167" s="1"/>
    </row>
    <row r="168" spans="1:25" ht="15" thickBot="1" x14ac:dyDescent="0.35">
      <c r="A168" s="9">
        <v>167</v>
      </c>
      <c r="B168" s="8">
        <v>40551</v>
      </c>
      <c r="C168" s="7">
        <v>1</v>
      </c>
      <c r="D168" s="7">
        <v>0</v>
      </c>
      <c r="E168" s="7">
        <v>1</v>
      </c>
      <c r="F168" s="7">
        <v>5</v>
      </c>
      <c r="G168" s="7" t="b">
        <v>0</v>
      </c>
      <c r="H168" s="7">
        <f t="shared" si="2"/>
        <v>6</v>
      </c>
      <c r="I168" s="7">
        <v>2</v>
      </c>
      <c r="J168" s="10">
        <v>0.16</v>
      </c>
      <c r="K168" s="1"/>
      <c r="L168" s="1"/>
      <c r="M168" s="1"/>
      <c r="N168" s="1"/>
      <c r="O168" s="1"/>
      <c r="P168" s="1"/>
      <c r="Q168" s="1"/>
      <c r="R168" s="1"/>
      <c r="S168" s="1"/>
      <c r="T168" s="1"/>
      <c r="U168" s="1"/>
      <c r="V168" s="1"/>
      <c r="W168" s="1"/>
      <c r="X168" s="1"/>
      <c r="Y168" s="1"/>
    </row>
    <row r="169" spans="1:25" ht="15" thickBot="1" x14ac:dyDescent="0.35">
      <c r="A169" s="9">
        <v>168</v>
      </c>
      <c r="B169" s="8">
        <v>40551</v>
      </c>
      <c r="C169" s="7">
        <v>1</v>
      </c>
      <c r="D169" s="7">
        <v>0</v>
      </c>
      <c r="E169" s="7">
        <v>1</v>
      </c>
      <c r="F169" s="7">
        <v>6</v>
      </c>
      <c r="G169" s="7" t="b">
        <v>0</v>
      </c>
      <c r="H169" s="7">
        <f t="shared" si="2"/>
        <v>6</v>
      </c>
      <c r="I169" s="7">
        <v>2</v>
      </c>
      <c r="J169" s="10">
        <v>0.16</v>
      </c>
      <c r="K169" s="1"/>
      <c r="L169" s="1"/>
      <c r="M169" s="1"/>
      <c r="N169" s="1"/>
      <c r="O169" s="1"/>
      <c r="P169" s="1"/>
      <c r="Q169" s="1"/>
      <c r="R169" s="1"/>
      <c r="S169" s="1"/>
      <c r="T169" s="1"/>
      <c r="U169" s="1"/>
      <c r="V169" s="1"/>
      <c r="W169" s="1"/>
      <c r="X169" s="1"/>
      <c r="Y169" s="1"/>
    </row>
    <row r="170" spans="1:25" ht="15" thickBot="1" x14ac:dyDescent="0.35">
      <c r="A170" s="9">
        <v>169</v>
      </c>
      <c r="B170" s="8">
        <v>40551</v>
      </c>
      <c r="C170" s="7">
        <v>1</v>
      </c>
      <c r="D170" s="7">
        <v>0</v>
      </c>
      <c r="E170" s="7">
        <v>1</v>
      </c>
      <c r="F170" s="7">
        <v>7</v>
      </c>
      <c r="G170" s="7" t="b">
        <v>0</v>
      </c>
      <c r="H170" s="7">
        <f t="shared" si="2"/>
        <v>6</v>
      </c>
      <c r="I170" s="7">
        <v>2</v>
      </c>
      <c r="J170" s="10">
        <v>0.16</v>
      </c>
      <c r="K170" s="1"/>
      <c r="L170" s="1"/>
      <c r="M170" s="1"/>
      <c r="N170" s="1"/>
      <c r="O170" s="1"/>
      <c r="P170" s="1"/>
      <c r="Q170" s="1"/>
      <c r="R170" s="1"/>
      <c r="S170" s="1"/>
      <c r="T170" s="1"/>
      <c r="U170" s="1"/>
      <c r="V170" s="1"/>
      <c r="W170" s="1"/>
      <c r="X170" s="1"/>
      <c r="Y170" s="1"/>
    </row>
    <row r="171" spans="1:25" ht="15" thickBot="1" x14ac:dyDescent="0.35">
      <c r="A171" s="9">
        <v>170</v>
      </c>
      <c r="B171" s="8">
        <v>40551</v>
      </c>
      <c r="C171" s="7">
        <v>1</v>
      </c>
      <c r="D171" s="7">
        <v>0</v>
      </c>
      <c r="E171" s="7">
        <v>1</v>
      </c>
      <c r="F171" s="7">
        <v>8</v>
      </c>
      <c r="G171" s="7" t="b">
        <v>0</v>
      </c>
      <c r="H171" s="7">
        <f t="shared" si="2"/>
        <v>6</v>
      </c>
      <c r="I171" s="7">
        <v>3</v>
      </c>
      <c r="J171" s="10">
        <v>0.16</v>
      </c>
      <c r="K171" s="1"/>
      <c r="L171" s="1"/>
      <c r="M171" s="1"/>
      <c r="N171" s="1"/>
      <c r="O171" s="1"/>
      <c r="P171" s="1"/>
      <c r="Q171" s="1"/>
      <c r="R171" s="1"/>
      <c r="S171" s="1"/>
      <c r="T171" s="1"/>
      <c r="U171" s="1"/>
      <c r="V171" s="1"/>
      <c r="W171" s="1"/>
      <c r="X171" s="1"/>
      <c r="Y171" s="1"/>
    </row>
    <row r="172" spans="1:25" ht="15" thickBot="1" x14ac:dyDescent="0.35">
      <c r="A172" s="9">
        <v>171</v>
      </c>
      <c r="B172" s="8">
        <v>40551</v>
      </c>
      <c r="C172" s="7">
        <v>1</v>
      </c>
      <c r="D172" s="7">
        <v>0</v>
      </c>
      <c r="E172" s="7">
        <v>1</v>
      </c>
      <c r="F172" s="7">
        <v>9</v>
      </c>
      <c r="G172" s="7" t="b">
        <v>0</v>
      </c>
      <c r="H172" s="7">
        <f t="shared" si="2"/>
        <v>6</v>
      </c>
      <c r="I172" s="7">
        <v>3</v>
      </c>
      <c r="J172" s="10">
        <v>0.16</v>
      </c>
      <c r="K172" s="1"/>
      <c r="L172" s="1"/>
      <c r="M172" s="1"/>
      <c r="N172" s="1"/>
      <c r="O172" s="1"/>
      <c r="P172" s="1"/>
      <c r="Q172" s="1"/>
      <c r="R172" s="1"/>
      <c r="S172" s="1"/>
      <c r="T172" s="1"/>
      <c r="U172" s="1"/>
      <c r="V172" s="1"/>
      <c r="W172" s="1"/>
      <c r="X172" s="1"/>
      <c r="Y172" s="1"/>
    </row>
    <row r="173" spans="1:25" ht="15" thickBot="1" x14ac:dyDescent="0.35">
      <c r="A173" s="9">
        <v>172</v>
      </c>
      <c r="B173" s="8">
        <v>40551</v>
      </c>
      <c r="C173" s="7">
        <v>1</v>
      </c>
      <c r="D173" s="7">
        <v>0</v>
      </c>
      <c r="E173" s="7">
        <v>1</v>
      </c>
      <c r="F173" s="7">
        <v>10</v>
      </c>
      <c r="G173" s="7" t="b">
        <v>0</v>
      </c>
      <c r="H173" s="7">
        <f t="shared" si="2"/>
        <v>6</v>
      </c>
      <c r="I173" s="7">
        <v>2</v>
      </c>
      <c r="J173" s="10">
        <v>0.18</v>
      </c>
      <c r="K173" s="1"/>
      <c r="L173" s="1"/>
      <c r="M173" s="1"/>
      <c r="N173" s="1"/>
      <c r="O173" s="1"/>
      <c r="P173" s="1"/>
      <c r="Q173" s="1"/>
      <c r="R173" s="1"/>
      <c r="S173" s="1"/>
      <c r="T173" s="1"/>
      <c r="U173" s="1"/>
      <c r="V173" s="1"/>
      <c r="W173" s="1"/>
      <c r="X173" s="1"/>
      <c r="Y173" s="1"/>
    </row>
    <row r="174" spans="1:25" ht="15" thickBot="1" x14ac:dyDescent="0.35">
      <c r="A174" s="9">
        <v>173</v>
      </c>
      <c r="B174" s="8">
        <v>40551</v>
      </c>
      <c r="C174" s="7">
        <v>1</v>
      </c>
      <c r="D174" s="7">
        <v>0</v>
      </c>
      <c r="E174" s="7">
        <v>1</v>
      </c>
      <c r="F174" s="7">
        <v>11</v>
      </c>
      <c r="G174" s="7" t="b">
        <v>0</v>
      </c>
      <c r="H174" s="7">
        <f t="shared" si="2"/>
        <v>6</v>
      </c>
      <c r="I174" s="7">
        <v>2</v>
      </c>
      <c r="J174" s="10">
        <v>0.2</v>
      </c>
      <c r="K174" s="1"/>
      <c r="L174" s="1"/>
      <c r="M174" s="1"/>
      <c r="N174" s="1"/>
      <c r="O174" s="1"/>
      <c r="P174" s="1"/>
      <c r="Q174" s="1"/>
      <c r="R174" s="1"/>
      <c r="S174" s="1"/>
      <c r="T174" s="1"/>
      <c r="U174" s="1"/>
      <c r="V174" s="1"/>
      <c r="W174" s="1"/>
      <c r="X174" s="1"/>
      <c r="Y174" s="1"/>
    </row>
    <row r="175" spans="1:25" ht="15" thickBot="1" x14ac:dyDescent="0.35">
      <c r="A175" s="9">
        <v>174</v>
      </c>
      <c r="B175" s="8">
        <v>40551</v>
      </c>
      <c r="C175" s="7">
        <v>1</v>
      </c>
      <c r="D175" s="7">
        <v>0</v>
      </c>
      <c r="E175" s="7">
        <v>1</v>
      </c>
      <c r="F175" s="7">
        <v>12</v>
      </c>
      <c r="G175" s="7" t="b">
        <v>0</v>
      </c>
      <c r="H175" s="7">
        <f t="shared" si="2"/>
        <v>6</v>
      </c>
      <c r="I175" s="7">
        <v>2</v>
      </c>
      <c r="J175" s="10">
        <v>0.2</v>
      </c>
      <c r="K175" s="1"/>
      <c r="L175" s="1"/>
      <c r="M175" s="1"/>
      <c r="N175" s="1"/>
      <c r="O175" s="1"/>
      <c r="P175" s="1"/>
      <c r="Q175" s="1"/>
      <c r="R175" s="1"/>
      <c r="S175" s="1"/>
      <c r="T175" s="1"/>
      <c r="U175" s="1"/>
      <c r="V175" s="1"/>
      <c r="W175" s="1"/>
      <c r="X175" s="1"/>
      <c r="Y175" s="1"/>
    </row>
    <row r="176" spans="1:25" ht="15" thickBot="1" x14ac:dyDescent="0.35">
      <c r="A176" s="9">
        <v>175</v>
      </c>
      <c r="B176" s="8">
        <v>40551</v>
      </c>
      <c r="C176" s="7">
        <v>1</v>
      </c>
      <c r="D176" s="7">
        <v>0</v>
      </c>
      <c r="E176" s="7">
        <v>1</v>
      </c>
      <c r="F176" s="7">
        <v>13</v>
      </c>
      <c r="G176" s="7" t="b">
        <v>0</v>
      </c>
      <c r="H176" s="7">
        <f t="shared" si="2"/>
        <v>6</v>
      </c>
      <c r="I176" s="7">
        <v>1</v>
      </c>
      <c r="J176" s="10">
        <v>0.2</v>
      </c>
      <c r="K176" s="1"/>
      <c r="L176" s="1"/>
      <c r="M176" s="1"/>
      <c r="N176" s="1"/>
      <c r="O176" s="1"/>
      <c r="P176" s="1"/>
      <c r="Q176" s="1"/>
      <c r="R176" s="1"/>
      <c r="S176" s="1"/>
      <c r="T176" s="1"/>
      <c r="U176" s="1"/>
      <c r="V176" s="1"/>
      <c r="W176" s="1"/>
      <c r="X176" s="1"/>
      <c r="Y176" s="1"/>
    </row>
    <row r="177" spans="1:25" ht="15" thickBot="1" x14ac:dyDescent="0.35">
      <c r="A177" s="9">
        <v>176</v>
      </c>
      <c r="B177" s="8">
        <v>40551</v>
      </c>
      <c r="C177" s="7">
        <v>1</v>
      </c>
      <c r="D177" s="7">
        <v>0</v>
      </c>
      <c r="E177" s="7">
        <v>1</v>
      </c>
      <c r="F177" s="7">
        <v>14</v>
      </c>
      <c r="G177" s="7" t="b">
        <v>0</v>
      </c>
      <c r="H177" s="7">
        <f t="shared" si="2"/>
        <v>6</v>
      </c>
      <c r="I177" s="7">
        <v>1</v>
      </c>
      <c r="J177" s="10">
        <v>0.2</v>
      </c>
      <c r="K177" s="1"/>
      <c r="L177" s="1"/>
      <c r="M177" s="1"/>
      <c r="N177" s="1"/>
      <c r="O177" s="1"/>
      <c r="P177" s="1"/>
      <c r="Q177" s="1"/>
      <c r="R177" s="1"/>
      <c r="S177" s="1"/>
      <c r="T177" s="1"/>
      <c r="U177" s="1"/>
      <c r="V177" s="1"/>
      <c r="W177" s="1"/>
      <c r="X177" s="1"/>
      <c r="Y177" s="1"/>
    </row>
    <row r="178" spans="1:25" ht="15" thickBot="1" x14ac:dyDescent="0.35">
      <c r="A178" s="9">
        <v>177</v>
      </c>
      <c r="B178" s="8">
        <v>40551</v>
      </c>
      <c r="C178" s="7">
        <v>1</v>
      </c>
      <c r="D178" s="7">
        <v>0</v>
      </c>
      <c r="E178" s="7">
        <v>1</v>
      </c>
      <c r="F178" s="7">
        <v>15</v>
      </c>
      <c r="G178" s="7" t="b">
        <v>0</v>
      </c>
      <c r="H178" s="7">
        <f t="shared" si="2"/>
        <v>6</v>
      </c>
      <c r="I178" s="7">
        <v>1</v>
      </c>
      <c r="J178" s="10">
        <v>0.2</v>
      </c>
      <c r="K178" s="1"/>
      <c r="L178" s="1"/>
      <c r="M178" s="1"/>
      <c r="N178" s="1"/>
      <c r="O178" s="1"/>
      <c r="P178" s="1"/>
      <c r="Q178" s="1"/>
      <c r="R178" s="1"/>
      <c r="S178" s="1"/>
      <c r="T178" s="1"/>
      <c r="U178" s="1"/>
      <c r="V178" s="1"/>
      <c r="W178" s="1"/>
      <c r="X178" s="1"/>
      <c r="Y178" s="1"/>
    </row>
    <row r="179" spans="1:25" ht="15" thickBot="1" x14ac:dyDescent="0.35">
      <c r="A179" s="9">
        <v>178</v>
      </c>
      <c r="B179" s="8">
        <v>40551</v>
      </c>
      <c r="C179" s="7">
        <v>1</v>
      </c>
      <c r="D179" s="7">
        <v>0</v>
      </c>
      <c r="E179" s="7">
        <v>1</v>
      </c>
      <c r="F179" s="7">
        <v>16</v>
      </c>
      <c r="G179" s="7" t="b">
        <v>0</v>
      </c>
      <c r="H179" s="7">
        <f t="shared" si="2"/>
        <v>6</v>
      </c>
      <c r="I179" s="7">
        <v>1</v>
      </c>
      <c r="J179" s="10">
        <v>0.18</v>
      </c>
      <c r="K179" s="1"/>
      <c r="L179" s="1"/>
      <c r="M179" s="1"/>
      <c r="N179" s="1"/>
      <c r="O179" s="1"/>
      <c r="P179" s="1"/>
      <c r="Q179" s="1"/>
      <c r="R179" s="1"/>
      <c r="S179" s="1"/>
      <c r="T179" s="1"/>
      <c r="U179" s="1"/>
      <c r="V179" s="1"/>
      <c r="W179" s="1"/>
      <c r="X179" s="1"/>
      <c r="Y179" s="1"/>
    </row>
    <row r="180" spans="1:25" ht="15" thickBot="1" x14ac:dyDescent="0.35">
      <c r="A180" s="9">
        <v>179</v>
      </c>
      <c r="B180" s="8">
        <v>40551</v>
      </c>
      <c r="C180" s="7">
        <v>1</v>
      </c>
      <c r="D180" s="7">
        <v>0</v>
      </c>
      <c r="E180" s="7">
        <v>1</v>
      </c>
      <c r="F180" s="7">
        <v>17</v>
      </c>
      <c r="G180" s="7" t="b">
        <v>0</v>
      </c>
      <c r="H180" s="7">
        <f t="shared" si="2"/>
        <v>6</v>
      </c>
      <c r="I180" s="7">
        <v>1</v>
      </c>
      <c r="J180" s="10">
        <v>0.16</v>
      </c>
      <c r="K180" s="1"/>
      <c r="L180" s="1"/>
      <c r="M180" s="1"/>
      <c r="N180" s="1"/>
      <c r="O180" s="1"/>
      <c r="P180" s="1"/>
      <c r="Q180" s="1"/>
      <c r="R180" s="1"/>
      <c r="S180" s="1"/>
      <c r="T180" s="1"/>
      <c r="U180" s="1"/>
      <c r="V180" s="1"/>
      <c r="W180" s="1"/>
      <c r="X180" s="1"/>
      <c r="Y180" s="1"/>
    </row>
    <row r="181" spans="1:25" ht="15" thickBot="1" x14ac:dyDescent="0.35">
      <c r="A181" s="9">
        <v>180</v>
      </c>
      <c r="B181" s="8">
        <v>40551</v>
      </c>
      <c r="C181" s="7">
        <v>1</v>
      </c>
      <c r="D181" s="7">
        <v>0</v>
      </c>
      <c r="E181" s="7">
        <v>1</v>
      </c>
      <c r="F181" s="7">
        <v>18</v>
      </c>
      <c r="G181" s="7" t="b">
        <v>0</v>
      </c>
      <c r="H181" s="7">
        <f t="shared" si="2"/>
        <v>6</v>
      </c>
      <c r="I181" s="7">
        <v>1</v>
      </c>
      <c r="J181" s="10">
        <v>0.14000000000000001</v>
      </c>
      <c r="K181" s="1"/>
      <c r="L181" s="1"/>
      <c r="M181" s="1"/>
      <c r="N181" s="1"/>
      <c r="O181" s="1"/>
      <c r="P181" s="1"/>
      <c r="Q181" s="1"/>
      <c r="R181" s="1"/>
      <c r="S181" s="1"/>
      <c r="T181" s="1"/>
      <c r="U181" s="1"/>
      <c r="V181" s="1"/>
      <c r="W181" s="1"/>
      <c r="X181" s="1"/>
      <c r="Y181" s="1"/>
    </row>
    <row r="182" spans="1:25" ht="15" thickBot="1" x14ac:dyDescent="0.35">
      <c r="A182" s="9">
        <v>181</v>
      </c>
      <c r="B182" s="8">
        <v>40551</v>
      </c>
      <c r="C182" s="7">
        <v>1</v>
      </c>
      <c r="D182" s="7">
        <v>0</v>
      </c>
      <c r="E182" s="7">
        <v>1</v>
      </c>
      <c r="F182" s="7">
        <v>19</v>
      </c>
      <c r="G182" s="7" t="b">
        <v>0</v>
      </c>
      <c r="H182" s="7">
        <f t="shared" si="2"/>
        <v>6</v>
      </c>
      <c r="I182" s="7">
        <v>1</v>
      </c>
      <c r="J182" s="10">
        <v>0.14000000000000001</v>
      </c>
      <c r="K182" s="1"/>
      <c r="L182" s="1"/>
      <c r="M182" s="1"/>
      <c r="N182" s="1"/>
      <c r="O182" s="1"/>
      <c r="P182" s="1"/>
      <c r="Q182" s="1"/>
      <c r="R182" s="1"/>
      <c r="S182" s="1"/>
      <c r="T182" s="1"/>
      <c r="U182" s="1"/>
      <c r="V182" s="1"/>
      <c r="W182" s="1"/>
      <c r="X182" s="1"/>
      <c r="Y182" s="1"/>
    </row>
    <row r="183" spans="1:25" ht="15" thickBot="1" x14ac:dyDescent="0.35">
      <c r="A183" s="9">
        <v>182</v>
      </c>
      <c r="B183" s="8">
        <v>40551</v>
      </c>
      <c r="C183" s="7">
        <v>1</v>
      </c>
      <c r="D183" s="7">
        <v>0</v>
      </c>
      <c r="E183" s="7">
        <v>1</v>
      </c>
      <c r="F183" s="7">
        <v>20</v>
      </c>
      <c r="G183" s="7" t="b">
        <v>0</v>
      </c>
      <c r="H183" s="7">
        <f t="shared" si="2"/>
        <v>6</v>
      </c>
      <c r="I183" s="7">
        <v>1</v>
      </c>
      <c r="J183" s="10">
        <v>0.12</v>
      </c>
      <c r="K183" s="1"/>
      <c r="L183" s="1"/>
      <c r="M183" s="1"/>
      <c r="N183" s="1"/>
      <c r="O183" s="1"/>
      <c r="P183" s="1"/>
      <c r="Q183" s="1"/>
      <c r="R183" s="1"/>
      <c r="S183" s="1"/>
      <c r="T183" s="1"/>
      <c r="U183" s="1"/>
      <c r="V183" s="1"/>
      <c r="W183" s="1"/>
      <c r="X183" s="1"/>
      <c r="Y183" s="1"/>
    </row>
    <row r="184" spans="1:25" ht="15" thickBot="1" x14ac:dyDescent="0.35">
      <c r="A184" s="9">
        <v>183</v>
      </c>
      <c r="B184" s="8">
        <v>40551</v>
      </c>
      <c r="C184" s="7">
        <v>1</v>
      </c>
      <c r="D184" s="7">
        <v>0</v>
      </c>
      <c r="E184" s="7">
        <v>1</v>
      </c>
      <c r="F184" s="7">
        <v>21</v>
      </c>
      <c r="G184" s="7" t="b">
        <v>0</v>
      </c>
      <c r="H184" s="7">
        <f t="shared" si="2"/>
        <v>6</v>
      </c>
      <c r="I184" s="7">
        <v>1</v>
      </c>
      <c r="J184" s="10">
        <v>0.12</v>
      </c>
      <c r="K184" s="1"/>
      <c r="L184" s="1"/>
      <c r="M184" s="1"/>
      <c r="N184" s="1"/>
      <c r="O184" s="1"/>
      <c r="P184" s="1"/>
      <c r="Q184" s="1"/>
      <c r="R184" s="1"/>
      <c r="S184" s="1"/>
      <c r="T184" s="1"/>
      <c r="U184" s="1"/>
      <c r="V184" s="1"/>
      <c r="W184" s="1"/>
      <c r="X184" s="1"/>
      <c r="Y184" s="1"/>
    </row>
    <row r="185" spans="1:25" ht="15" thickBot="1" x14ac:dyDescent="0.35">
      <c r="A185" s="9">
        <v>184</v>
      </c>
      <c r="B185" s="8">
        <v>40551</v>
      </c>
      <c r="C185" s="7">
        <v>1</v>
      </c>
      <c r="D185" s="7">
        <v>0</v>
      </c>
      <c r="E185" s="7">
        <v>1</v>
      </c>
      <c r="F185" s="7">
        <v>22</v>
      </c>
      <c r="G185" s="7" t="b">
        <v>0</v>
      </c>
      <c r="H185" s="7">
        <f t="shared" si="2"/>
        <v>6</v>
      </c>
      <c r="I185" s="7">
        <v>1</v>
      </c>
      <c r="J185" s="10">
        <v>0.12</v>
      </c>
      <c r="K185" s="1"/>
      <c r="L185" s="1"/>
      <c r="M185" s="1"/>
      <c r="N185" s="1"/>
      <c r="O185" s="1"/>
      <c r="P185" s="1"/>
      <c r="Q185" s="1"/>
      <c r="R185" s="1"/>
      <c r="S185" s="1"/>
      <c r="T185" s="1"/>
      <c r="U185" s="1"/>
      <c r="V185" s="1"/>
      <c r="W185" s="1"/>
      <c r="X185" s="1"/>
      <c r="Y185" s="1"/>
    </row>
    <row r="186" spans="1:25" ht="15" thickBot="1" x14ac:dyDescent="0.35">
      <c r="A186" s="9">
        <v>185</v>
      </c>
      <c r="B186" s="8">
        <v>40551</v>
      </c>
      <c r="C186" s="7">
        <v>1</v>
      </c>
      <c r="D186" s="7">
        <v>0</v>
      </c>
      <c r="E186" s="7">
        <v>1</v>
      </c>
      <c r="F186" s="7">
        <v>23</v>
      </c>
      <c r="G186" s="7" t="b">
        <v>0</v>
      </c>
      <c r="H186" s="7">
        <f t="shared" si="2"/>
        <v>6</v>
      </c>
      <c r="I186" s="7">
        <v>1</v>
      </c>
      <c r="J186" s="10">
        <v>0.1</v>
      </c>
      <c r="K186" s="1"/>
      <c r="L186" s="1"/>
      <c r="M186" s="1"/>
      <c r="N186" s="1"/>
      <c r="O186" s="1"/>
      <c r="P186" s="1"/>
      <c r="Q186" s="1"/>
      <c r="R186" s="1"/>
      <c r="S186" s="1"/>
      <c r="T186" s="1"/>
      <c r="U186" s="1"/>
      <c r="V186" s="1"/>
      <c r="W186" s="1"/>
      <c r="X186" s="1"/>
      <c r="Y186" s="1"/>
    </row>
    <row r="187" spans="1:25" ht="15" thickBot="1" x14ac:dyDescent="0.35">
      <c r="A187" s="9">
        <v>186</v>
      </c>
      <c r="B187" s="8">
        <v>40552</v>
      </c>
      <c r="C187" s="7">
        <v>1</v>
      </c>
      <c r="D187" s="7">
        <v>0</v>
      </c>
      <c r="E187" s="7">
        <v>1</v>
      </c>
      <c r="F187" s="7">
        <v>0</v>
      </c>
      <c r="G187" s="7" t="b">
        <v>0</v>
      </c>
      <c r="H187" s="7">
        <f t="shared" si="2"/>
        <v>7</v>
      </c>
      <c r="I187" s="7">
        <v>1</v>
      </c>
      <c r="J187" s="10">
        <v>0.1</v>
      </c>
      <c r="K187" s="1"/>
      <c r="L187" s="1"/>
      <c r="M187" s="1"/>
      <c r="N187" s="1"/>
      <c r="O187" s="1"/>
      <c r="P187" s="1"/>
      <c r="Q187" s="1"/>
      <c r="R187" s="1"/>
      <c r="S187" s="1"/>
      <c r="T187" s="1"/>
      <c r="U187" s="1"/>
      <c r="V187" s="1"/>
      <c r="W187" s="1"/>
      <c r="X187" s="1"/>
      <c r="Y187" s="1"/>
    </row>
    <row r="188" spans="1:25" ht="15" thickBot="1" x14ac:dyDescent="0.35">
      <c r="A188" s="9">
        <v>187</v>
      </c>
      <c r="B188" s="8">
        <v>40552</v>
      </c>
      <c r="C188" s="7">
        <v>1</v>
      </c>
      <c r="D188" s="7">
        <v>0</v>
      </c>
      <c r="E188" s="7">
        <v>1</v>
      </c>
      <c r="F188" s="7">
        <v>1</v>
      </c>
      <c r="G188" s="7" t="b">
        <v>0</v>
      </c>
      <c r="H188" s="7">
        <f t="shared" si="2"/>
        <v>7</v>
      </c>
      <c r="I188" s="7">
        <v>1</v>
      </c>
      <c r="J188" s="10">
        <v>0.1</v>
      </c>
      <c r="K188" s="1"/>
      <c r="L188" s="1"/>
      <c r="M188" s="1"/>
      <c r="N188" s="1"/>
      <c r="O188" s="1"/>
      <c r="P188" s="1"/>
      <c r="Q188" s="1"/>
      <c r="R188" s="1"/>
      <c r="S188" s="1"/>
      <c r="T188" s="1"/>
      <c r="U188" s="1"/>
      <c r="V188" s="1"/>
      <c r="W188" s="1"/>
      <c r="X188" s="1"/>
      <c r="Y188" s="1"/>
    </row>
    <row r="189" spans="1:25" ht="15" thickBot="1" x14ac:dyDescent="0.35">
      <c r="A189" s="9">
        <v>188</v>
      </c>
      <c r="B189" s="8">
        <v>40552</v>
      </c>
      <c r="C189" s="7">
        <v>1</v>
      </c>
      <c r="D189" s="7">
        <v>0</v>
      </c>
      <c r="E189" s="7">
        <v>1</v>
      </c>
      <c r="F189" s="7">
        <v>2</v>
      </c>
      <c r="G189" s="7" t="b">
        <v>0</v>
      </c>
      <c r="H189" s="7">
        <f t="shared" si="2"/>
        <v>7</v>
      </c>
      <c r="I189" s="7">
        <v>1</v>
      </c>
      <c r="J189" s="10">
        <v>0.1</v>
      </c>
      <c r="K189" s="1"/>
      <c r="L189" s="1"/>
      <c r="M189" s="1"/>
      <c r="N189" s="1"/>
      <c r="O189" s="1"/>
      <c r="P189" s="1"/>
      <c r="Q189" s="1"/>
      <c r="R189" s="1"/>
      <c r="S189" s="1"/>
      <c r="T189" s="1"/>
      <c r="U189" s="1"/>
      <c r="V189" s="1"/>
      <c r="W189" s="1"/>
      <c r="X189" s="1"/>
      <c r="Y189" s="1"/>
    </row>
    <row r="190" spans="1:25" ht="15" thickBot="1" x14ac:dyDescent="0.35">
      <c r="A190" s="9">
        <v>189</v>
      </c>
      <c r="B190" s="8">
        <v>40552</v>
      </c>
      <c r="C190" s="7">
        <v>1</v>
      </c>
      <c r="D190" s="7">
        <v>0</v>
      </c>
      <c r="E190" s="7">
        <v>1</v>
      </c>
      <c r="F190" s="7">
        <v>3</v>
      </c>
      <c r="G190" s="7" t="b">
        <v>0</v>
      </c>
      <c r="H190" s="7">
        <f t="shared" si="2"/>
        <v>7</v>
      </c>
      <c r="I190" s="7">
        <v>1</v>
      </c>
      <c r="J190" s="10">
        <v>0.1</v>
      </c>
      <c r="K190" s="1"/>
      <c r="L190" s="1"/>
      <c r="M190" s="1"/>
      <c r="N190" s="1"/>
      <c r="O190" s="1"/>
      <c r="P190" s="1"/>
      <c r="Q190" s="1"/>
      <c r="R190" s="1"/>
      <c r="S190" s="1"/>
      <c r="T190" s="1"/>
      <c r="U190" s="1"/>
      <c r="V190" s="1"/>
      <c r="W190" s="1"/>
      <c r="X190" s="1"/>
      <c r="Y190" s="1"/>
    </row>
    <row r="191" spans="1:25" ht="15" thickBot="1" x14ac:dyDescent="0.35">
      <c r="A191" s="9">
        <v>190</v>
      </c>
      <c r="B191" s="8">
        <v>40552</v>
      </c>
      <c r="C191" s="7">
        <v>1</v>
      </c>
      <c r="D191" s="7">
        <v>0</v>
      </c>
      <c r="E191" s="7">
        <v>1</v>
      </c>
      <c r="F191" s="7">
        <v>4</v>
      </c>
      <c r="G191" s="7" t="b">
        <v>0</v>
      </c>
      <c r="H191" s="7">
        <f t="shared" si="2"/>
        <v>7</v>
      </c>
      <c r="I191" s="7">
        <v>1</v>
      </c>
      <c r="J191" s="10">
        <v>0.08</v>
      </c>
      <c r="K191" s="1"/>
      <c r="L191" s="1"/>
      <c r="M191" s="1"/>
      <c r="N191" s="1"/>
      <c r="O191" s="1"/>
      <c r="P191" s="1"/>
      <c r="Q191" s="1"/>
      <c r="R191" s="1"/>
      <c r="S191" s="1"/>
      <c r="T191" s="1"/>
      <c r="U191" s="1"/>
      <c r="V191" s="1"/>
      <c r="W191" s="1"/>
      <c r="X191" s="1"/>
      <c r="Y191" s="1"/>
    </row>
    <row r="192" spans="1:25" ht="15" thickBot="1" x14ac:dyDescent="0.35">
      <c r="A192" s="9">
        <v>191</v>
      </c>
      <c r="B192" s="8">
        <v>40552</v>
      </c>
      <c r="C192" s="7">
        <v>1</v>
      </c>
      <c r="D192" s="7">
        <v>0</v>
      </c>
      <c r="E192" s="7">
        <v>1</v>
      </c>
      <c r="F192" s="7">
        <v>5</v>
      </c>
      <c r="G192" s="7" t="b">
        <v>0</v>
      </c>
      <c r="H192" s="7">
        <f t="shared" si="2"/>
        <v>7</v>
      </c>
      <c r="I192" s="7">
        <v>1</v>
      </c>
      <c r="J192" s="10">
        <v>0.08</v>
      </c>
      <c r="K192" s="1"/>
      <c r="L192" s="1"/>
      <c r="M192" s="1"/>
      <c r="N192" s="1"/>
      <c r="O192" s="1"/>
      <c r="P192" s="1"/>
      <c r="Q192" s="1"/>
      <c r="R192" s="1"/>
      <c r="S192" s="1"/>
      <c r="T192" s="1"/>
      <c r="U192" s="1"/>
      <c r="V192" s="1"/>
      <c r="W192" s="1"/>
      <c r="X192" s="1"/>
      <c r="Y192" s="1"/>
    </row>
    <row r="193" spans="1:25" ht="15" thickBot="1" x14ac:dyDescent="0.35">
      <c r="A193" s="9">
        <v>192</v>
      </c>
      <c r="B193" s="8">
        <v>40552</v>
      </c>
      <c r="C193" s="7">
        <v>1</v>
      </c>
      <c r="D193" s="7">
        <v>0</v>
      </c>
      <c r="E193" s="7">
        <v>1</v>
      </c>
      <c r="F193" s="7">
        <v>6</v>
      </c>
      <c r="G193" s="7" t="b">
        <v>0</v>
      </c>
      <c r="H193" s="7">
        <f t="shared" si="2"/>
        <v>7</v>
      </c>
      <c r="I193" s="7">
        <v>1</v>
      </c>
      <c r="J193" s="10">
        <v>0.1</v>
      </c>
      <c r="K193" s="1"/>
      <c r="L193" s="1"/>
      <c r="M193" s="1"/>
      <c r="N193" s="1"/>
      <c r="O193" s="1"/>
      <c r="P193" s="1"/>
      <c r="Q193" s="1"/>
      <c r="R193" s="1"/>
      <c r="S193" s="1"/>
      <c r="T193" s="1"/>
      <c r="U193" s="1"/>
      <c r="V193" s="1"/>
      <c r="W193" s="1"/>
      <c r="X193" s="1"/>
      <c r="Y193" s="1"/>
    </row>
    <row r="194" spans="1:25" ht="15" thickBot="1" x14ac:dyDescent="0.35">
      <c r="A194" s="9">
        <v>193</v>
      </c>
      <c r="B194" s="8">
        <v>40552</v>
      </c>
      <c r="C194" s="7">
        <v>1</v>
      </c>
      <c r="D194" s="7">
        <v>0</v>
      </c>
      <c r="E194" s="7">
        <v>1</v>
      </c>
      <c r="F194" s="7">
        <v>7</v>
      </c>
      <c r="G194" s="7" t="b">
        <v>0</v>
      </c>
      <c r="H194" s="7">
        <f t="shared" si="2"/>
        <v>7</v>
      </c>
      <c r="I194" s="7">
        <v>1</v>
      </c>
      <c r="J194" s="10">
        <v>0.08</v>
      </c>
      <c r="K194" s="1"/>
      <c r="L194" s="1"/>
      <c r="M194" s="1"/>
      <c r="N194" s="1"/>
      <c r="O194" s="1"/>
      <c r="P194" s="1"/>
      <c r="Q194" s="1"/>
      <c r="R194" s="1"/>
      <c r="S194" s="1"/>
      <c r="T194" s="1"/>
      <c r="U194" s="1"/>
      <c r="V194" s="1"/>
      <c r="W194" s="1"/>
      <c r="X194" s="1"/>
      <c r="Y194" s="1"/>
    </row>
    <row r="195" spans="1:25" ht="15" thickBot="1" x14ac:dyDescent="0.35">
      <c r="A195" s="9">
        <v>194</v>
      </c>
      <c r="B195" s="8">
        <v>40552</v>
      </c>
      <c r="C195" s="7">
        <v>1</v>
      </c>
      <c r="D195" s="7">
        <v>0</v>
      </c>
      <c r="E195" s="7">
        <v>1</v>
      </c>
      <c r="F195" s="7">
        <v>8</v>
      </c>
      <c r="G195" s="7" t="b">
        <v>0</v>
      </c>
      <c r="H195" s="7">
        <f t="shared" ref="H195:H258" si="3">WEEKDAY($B195,2)</f>
        <v>7</v>
      </c>
      <c r="I195" s="7">
        <v>1</v>
      </c>
      <c r="J195" s="10">
        <v>0.1</v>
      </c>
      <c r="K195" s="1"/>
      <c r="L195" s="1"/>
      <c r="M195" s="1"/>
      <c r="N195" s="1"/>
      <c r="O195" s="1"/>
      <c r="P195" s="1"/>
      <c r="Q195" s="1"/>
      <c r="R195" s="1"/>
      <c r="S195" s="1"/>
      <c r="T195" s="1"/>
      <c r="U195" s="1"/>
      <c r="V195" s="1"/>
      <c r="W195" s="1"/>
      <c r="X195" s="1"/>
      <c r="Y195" s="1"/>
    </row>
    <row r="196" spans="1:25" ht="15" thickBot="1" x14ac:dyDescent="0.35">
      <c r="A196" s="9">
        <v>195</v>
      </c>
      <c r="B196" s="8">
        <v>40552</v>
      </c>
      <c r="C196" s="7">
        <v>1</v>
      </c>
      <c r="D196" s="7">
        <v>0</v>
      </c>
      <c r="E196" s="7">
        <v>1</v>
      </c>
      <c r="F196" s="7">
        <v>9</v>
      </c>
      <c r="G196" s="7" t="b">
        <v>0</v>
      </c>
      <c r="H196" s="7">
        <f t="shared" si="3"/>
        <v>7</v>
      </c>
      <c r="I196" s="7">
        <v>1</v>
      </c>
      <c r="J196" s="10">
        <v>0.12</v>
      </c>
      <c r="K196" s="1"/>
      <c r="L196" s="1"/>
      <c r="M196" s="1"/>
      <c r="N196" s="1"/>
      <c r="O196" s="1"/>
      <c r="P196" s="1"/>
      <c r="Q196" s="1"/>
      <c r="R196" s="1"/>
      <c r="S196" s="1"/>
      <c r="T196" s="1"/>
      <c r="U196" s="1"/>
      <c r="V196" s="1"/>
      <c r="W196" s="1"/>
      <c r="X196" s="1"/>
      <c r="Y196" s="1"/>
    </row>
    <row r="197" spans="1:25" ht="15" thickBot="1" x14ac:dyDescent="0.35">
      <c r="A197" s="9">
        <v>196</v>
      </c>
      <c r="B197" s="8">
        <v>40552</v>
      </c>
      <c r="C197" s="7">
        <v>1</v>
      </c>
      <c r="D197" s="7">
        <v>0</v>
      </c>
      <c r="E197" s="7">
        <v>1</v>
      </c>
      <c r="F197" s="7">
        <v>10</v>
      </c>
      <c r="G197" s="7" t="b">
        <v>0</v>
      </c>
      <c r="H197" s="7">
        <f t="shared" si="3"/>
        <v>7</v>
      </c>
      <c r="I197" s="7">
        <v>1</v>
      </c>
      <c r="J197" s="10">
        <v>0.14000000000000001</v>
      </c>
      <c r="K197" s="1"/>
      <c r="L197" s="1"/>
      <c r="M197" s="1"/>
      <c r="N197" s="1"/>
      <c r="O197" s="1"/>
      <c r="P197" s="1"/>
      <c r="Q197" s="1"/>
      <c r="R197" s="1"/>
      <c r="S197" s="1"/>
      <c r="T197" s="1"/>
      <c r="U197" s="1"/>
      <c r="V197" s="1"/>
      <c r="W197" s="1"/>
      <c r="X197" s="1"/>
      <c r="Y197" s="1"/>
    </row>
    <row r="198" spans="1:25" ht="15" thickBot="1" x14ac:dyDescent="0.35">
      <c r="A198" s="9">
        <v>197</v>
      </c>
      <c r="B198" s="8">
        <v>40552</v>
      </c>
      <c r="C198" s="7">
        <v>1</v>
      </c>
      <c r="D198" s="7">
        <v>0</v>
      </c>
      <c r="E198" s="7">
        <v>1</v>
      </c>
      <c r="F198" s="7">
        <v>11</v>
      </c>
      <c r="G198" s="7" t="b">
        <v>0</v>
      </c>
      <c r="H198" s="7">
        <f t="shared" si="3"/>
        <v>7</v>
      </c>
      <c r="I198" s="7">
        <v>1</v>
      </c>
      <c r="J198" s="10">
        <v>0.16</v>
      </c>
      <c r="K198" s="1"/>
      <c r="L198" s="1"/>
      <c r="M198" s="1"/>
      <c r="N198" s="1"/>
      <c r="O198" s="1"/>
      <c r="P198" s="1"/>
      <c r="Q198" s="1"/>
      <c r="R198" s="1"/>
      <c r="S198" s="1"/>
      <c r="T198" s="1"/>
      <c r="U198" s="1"/>
      <c r="V198" s="1"/>
      <c r="W198" s="1"/>
      <c r="X198" s="1"/>
      <c r="Y198" s="1"/>
    </row>
    <row r="199" spans="1:25" ht="15" thickBot="1" x14ac:dyDescent="0.35">
      <c r="A199" s="9">
        <v>198</v>
      </c>
      <c r="B199" s="8">
        <v>40552</v>
      </c>
      <c r="C199" s="7">
        <v>1</v>
      </c>
      <c r="D199" s="7">
        <v>0</v>
      </c>
      <c r="E199" s="7">
        <v>1</v>
      </c>
      <c r="F199" s="7">
        <v>12</v>
      </c>
      <c r="G199" s="7" t="b">
        <v>0</v>
      </c>
      <c r="H199" s="7">
        <f t="shared" si="3"/>
        <v>7</v>
      </c>
      <c r="I199" s="7">
        <v>1</v>
      </c>
      <c r="J199" s="10">
        <v>0.18</v>
      </c>
      <c r="K199" s="1"/>
      <c r="L199" s="1"/>
      <c r="M199" s="1"/>
      <c r="N199" s="1"/>
      <c r="O199" s="1"/>
      <c r="P199" s="1"/>
      <c r="Q199" s="1"/>
      <c r="R199" s="1"/>
      <c r="S199" s="1"/>
      <c r="T199" s="1"/>
      <c r="U199" s="1"/>
      <c r="V199" s="1"/>
      <c r="W199" s="1"/>
      <c r="X199" s="1"/>
      <c r="Y199" s="1"/>
    </row>
    <row r="200" spans="1:25" ht="15" thickBot="1" x14ac:dyDescent="0.35">
      <c r="A200" s="9">
        <v>199</v>
      </c>
      <c r="B200" s="8">
        <v>40552</v>
      </c>
      <c r="C200" s="7">
        <v>1</v>
      </c>
      <c r="D200" s="7">
        <v>0</v>
      </c>
      <c r="E200" s="7">
        <v>1</v>
      </c>
      <c r="F200" s="7">
        <v>13</v>
      </c>
      <c r="G200" s="7" t="b">
        <v>0</v>
      </c>
      <c r="H200" s="7">
        <f t="shared" si="3"/>
        <v>7</v>
      </c>
      <c r="I200" s="7">
        <v>1</v>
      </c>
      <c r="J200" s="10">
        <v>0.2</v>
      </c>
      <c r="K200" s="1"/>
      <c r="L200" s="1"/>
      <c r="M200" s="1"/>
      <c r="N200" s="1"/>
      <c r="O200" s="1"/>
      <c r="P200" s="1"/>
      <c r="Q200" s="1"/>
      <c r="R200" s="1"/>
      <c r="S200" s="1"/>
      <c r="T200" s="1"/>
      <c r="U200" s="1"/>
      <c r="V200" s="1"/>
      <c r="W200" s="1"/>
      <c r="X200" s="1"/>
      <c r="Y200" s="1"/>
    </row>
    <row r="201" spans="1:25" ht="15" thickBot="1" x14ac:dyDescent="0.35">
      <c r="A201" s="9">
        <v>200</v>
      </c>
      <c r="B201" s="8">
        <v>40552</v>
      </c>
      <c r="C201" s="7">
        <v>1</v>
      </c>
      <c r="D201" s="7">
        <v>0</v>
      </c>
      <c r="E201" s="7">
        <v>1</v>
      </c>
      <c r="F201" s="7">
        <v>14</v>
      </c>
      <c r="G201" s="7" t="b">
        <v>0</v>
      </c>
      <c r="H201" s="7">
        <f t="shared" si="3"/>
        <v>7</v>
      </c>
      <c r="I201" s="7">
        <v>1</v>
      </c>
      <c r="J201" s="10">
        <v>0.22</v>
      </c>
      <c r="K201" s="1"/>
      <c r="L201" s="1"/>
      <c r="M201" s="1"/>
      <c r="N201" s="1"/>
      <c r="O201" s="1"/>
      <c r="P201" s="1"/>
      <c r="Q201" s="1"/>
      <c r="R201" s="1"/>
      <c r="S201" s="1"/>
      <c r="T201" s="1"/>
      <c r="U201" s="1"/>
      <c r="V201" s="1"/>
      <c r="W201" s="1"/>
      <c r="X201" s="1"/>
      <c r="Y201" s="1"/>
    </row>
    <row r="202" spans="1:25" ht="15" thickBot="1" x14ac:dyDescent="0.35">
      <c r="A202" s="9">
        <v>201</v>
      </c>
      <c r="B202" s="8">
        <v>40552</v>
      </c>
      <c r="C202" s="7">
        <v>1</v>
      </c>
      <c r="D202" s="7">
        <v>0</v>
      </c>
      <c r="E202" s="7">
        <v>1</v>
      </c>
      <c r="F202" s="7">
        <v>15</v>
      </c>
      <c r="G202" s="7" t="b">
        <v>0</v>
      </c>
      <c r="H202" s="7">
        <f t="shared" si="3"/>
        <v>7</v>
      </c>
      <c r="I202" s="7">
        <v>1</v>
      </c>
      <c r="J202" s="10">
        <v>0.22</v>
      </c>
      <c r="K202" s="1"/>
      <c r="L202" s="1"/>
      <c r="M202" s="1"/>
      <c r="N202" s="1"/>
      <c r="O202" s="1"/>
      <c r="P202" s="1"/>
      <c r="Q202" s="1"/>
      <c r="R202" s="1"/>
      <c r="S202" s="1"/>
      <c r="T202" s="1"/>
      <c r="U202" s="1"/>
      <c r="V202" s="1"/>
      <c r="W202" s="1"/>
      <c r="X202" s="1"/>
      <c r="Y202" s="1"/>
    </row>
    <row r="203" spans="1:25" ht="15" thickBot="1" x14ac:dyDescent="0.35">
      <c r="A203" s="9">
        <v>202</v>
      </c>
      <c r="B203" s="8">
        <v>40552</v>
      </c>
      <c r="C203" s="7">
        <v>1</v>
      </c>
      <c r="D203" s="7">
        <v>0</v>
      </c>
      <c r="E203" s="7">
        <v>1</v>
      </c>
      <c r="F203" s="7">
        <v>16</v>
      </c>
      <c r="G203" s="7" t="b">
        <v>0</v>
      </c>
      <c r="H203" s="7">
        <f t="shared" si="3"/>
        <v>7</v>
      </c>
      <c r="I203" s="7">
        <v>1</v>
      </c>
      <c r="J203" s="10">
        <v>0.2</v>
      </c>
      <c r="K203" s="1"/>
      <c r="L203" s="1"/>
      <c r="M203" s="1"/>
      <c r="N203" s="1"/>
      <c r="O203" s="1"/>
      <c r="P203" s="1"/>
      <c r="Q203" s="1"/>
      <c r="R203" s="1"/>
      <c r="S203" s="1"/>
      <c r="T203" s="1"/>
      <c r="U203" s="1"/>
      <c r="V203" s="1"/>
      <c r="W203" s="1"/>
      <c r="X203" s="1"/>
      <c r="Y203" s="1"/>
    </row>
    <row r="204" spans="1:25" ht="15" thickBot="1" x14ac:dyDescent="0.35">
      <c r="A204" s="9">
        <v>203</v>
      </c>
      <c r="B204" s="8">
        <v>40552</v>
      </c>
      <c r="C204" s="7">
        <v>1</v>
      </c>
      <c r="D204" s="7">
        <v>0</v>
      </c>
      <c r="E204" s="7">
        <v>1</v>
      </c>
      <c r="F204" s="7">
        <v>17</v>
      </c>
      <c r="G204" s="7" t="b">
        <v>0</v>
      </c>
      <c r="H204" s="7">
        <f t="shared" si="3"/>
        <v>7</v>
      </c>
      <c r="I204" s="7">
        <v>1</v>
      </c>
      <c r="J204" s="10">
        <v>0.18</v>
      </c>
      <c r="K204" s="1"/>
      <c r="L204" s="1"/>
      <c r="M204" s="1"/>
      <c r="N204" s="1"/>
      <c r="O204" s="1"/>
      <c r="P204" s="1"/>
      <c r="Q204" s="1"/>
      <c r="R204" s="1"/>
      <c r="S204" s="1"/>
      <c r="T204" s="1"/>
      <c r="U204" s="1"/>
      <c r="V204" s="1"/>
      <c r="W204" s="1"/>
      <c r="X204" s="1"/>
      <c r="Y204" s="1"/>
    </row>
    <row r="205" spans="1:25" ht="15" thickBot="1" x14ac:dyDescent="0.35">
      <c r="A205" s="9">
        <v>204</v>
      </c>
      <c r="B205" s="8">
        <v>40552</v>
      </c>
      <c r="C205" s="7">
        <v>1</v>
      </c>
      <c r="D205" s="7">
        <v>0</v>
      </c>
      <c r="E205" s="7">
        <v>1</v>
      </c>
      <c r="F205" s="7">
        <v>18</v>
      </c>
      <c r="G205" s="7" t="b">
        <v>0</v>
      </c>
      <c r="H205" s="7">
        <f t="shared" si="3"/>
        <v>7</v>
      </c>
      <c r="I205" s="7">
        <v>1</v>
      </c>
      <c r="J205" s="10">
        <v>0.16</v>
      </c>
      <c r="K205" s="1"/>
      <c r="L205" s="1"/>
      <c r="M205" s="1"/>
      <c r="N205" s="1"/>
      <c r="O205" s="1"/>
      <c r="P205" s="1"/>
      <c r="Q205" s="1"/>
      <c r="R205" s="1"/>
      <c r="S205" s="1"/>
      <c r="T205" s="1"/>
      <c r="U205" s="1"/>
      <c r="V205" s="1"/>
      <c r="W205" s="1"/>
      <c r="X205" s="1"/>
      <c r="Y205" s="1"/>
    </row>
    <row r="206" spans="1:25" ht="15" thickBot="1" x14ac:dyDescent="0.35">
      <c r="A206" s="9">
        <v>205</v>
      </c>
      <c r="B206" s="8">
        <v>40552</v>
      </c>
      <c r="C206" s="7">
        <v>1</v>
      </c>
      <c r="D206" s="7">
        <v>0</v>
      </c>
      <c r="E206" s="7">
        <v>1</v>
      </c>
      <c r="F206" s="7">
        <v>19</v>
      </c>
      <c r="G206" s="7" t="b">
        <v>0</v>
      </c>
      <c r="H206" s="7">
        <f t="shared" si="3"/>
        <v>7</v>
      </c>
      <c r="I206" s="7">
        <v>1</v>
      </c>
      <c r="J206" s="10">
        <v>0.16</v>
      </c>
      <c r="K206" s="1"/>
      <c r="L206" s="1"/>
      <c r="M206" s="1"/>
      <c r="N206" s="1"/>
      <c r="O206" s="1"/>
      <c r="P206" s="1"/>
      <c r="Q206" s="1"/>
      <c r="R206" s="1"/>
      <c r="S206" s="1"/>
      <c r="T206" s="1"/>
      <c r="U206" s="1"/>
      <c r="V206" s="1"/>
      <c r="W206" s="1"/>
      <c r="X206" s="1"/>
      <c r="Y206" s="1"/>
    </row>
    <row r="207" spans="1:25" ht="15" thickBot="1" x14ac:dyDescent="0.35">
      <c r="A207" s="9">
        <v>206</v>
      </c>
      <c r="B207" s="8">
        <v>40552</v>
      </c>
      <c r="C207" s="7">
        <v>1</v>
      </c>
      <c r="D207" s="7">
        <v>0</v>
      </c>
      <c r="E207" s="7">
        <v>1</v>
      </c>
      <c r="F207" s="7">
        <v>20</v>
      </c>
      <c r="G207" s="7" t="b">
        <v>0</v>
      </c>
      <c r="H207" s="7">
        <f t="shared" si="3"/>
        <v>7</v>
      </c>
      <c r="I207" s="7">
        <v>1</v>
      </c>
      <c r="J207" s="10">
        <v>0.14000000000000001</v>
      </c>
      <c r="K207" s="1"/>
      <c r="L207" s="1"/>
      <c r="M207" s="1"/>
      <c r="N207" s="1"/>
      <c r="O207" s="1"/>
      <c r="P207" s="1"/>
      <c r="Q207" s="1"/>
      <c r="R207" s="1"/>
      <c r="S207" s="1"/>
      <c r="T207" s="1"/>
      <c r="U207" s="1"/>
      <c r="V207" s="1"/>
      <c r="W207" s="1"/>
      <c r="X207" s="1"/>
      <c r="Y207" s="1"/>
    </row>
    <row r="208" spans="1:25" ht="15" thickBot="1" x14ac:dyDescent="0.35">
      <c r="A208" s="9">
        <v>207</v>
      </c>
      <c r="B208" s="8">
        <v>40552</v>
      </c>
      <c r="C208" s="7">
        <v>1</v>
      </c>
      <c r="D208" s="7">
        <v>0</v>
      </c>
      <c r="E208" s="7">
        <v>1</v>
      </c>
      <c r="F208" s="7">
        <v>21</v>
      </c>
      <c r="G208" s="7" t="b">
        <v>0</v>
      </c>
      <c r="H208" s="7">
        <f t="shared" si="3"/>
        <v>7</v>
      </c>
      <c r="I208" s="7">
        <v>1</v>
      </c>
      <c r="J208" s="10">
        <v>0.14000000000000001</v>
      </c>
      <c r="K208" s="1"/>
      <c r="L208" s="1"/>
      <c r="M208" s="1"/>
      <c r="N208" s="1"/>
      <c r="O208" s="1"/>
      <c r="P208" s="1"/>
      <c r="Q208" s="1"/>
      <c r="R208" s="1"/>
      <c r="S208" s="1"/>
      <c r="T208" s="1"/>
      <c r="U208" s="1"/>
      <c r="V208" s="1"/>
      <c r="W208" s="1"/>
      <c r="X208" s="1"/>
      <c r="Y208" s="1"/>
    </row>
    <row r="209" spans="1:25" ht="15" thickBot="1" x14ac:dyDescent="0.35">
      <c r="A209" s="9">
        <v>208</v>
      </c>
      <c r="B209" s="8">
        <v>40552</v>
      </c>
      <c r="C209" s="7">
        <v>1</v>
      </c>
      <c r="D209" s="7">
        <v>0</v>
      </c>
      <c r="E209" s="7">
        <v>1</v>
      </c>
      <c r="F209" s="7">
        <v>22</v>
      </c>
      <c r="G209" s="7" t="b">
        <v>0</v>
      </c>
      <c r="H209" s="7">
        <f t="shared" si="3"/>
        <v>7</v>
      </c>
      <c r="I209" s="7">
        <v>1</v>
      </c>
      <c r="J209" s="10">
        <v>0.14000000000000001</v>
      </c>
      <c r="K209" s="1"/>
      <c r="L209" s="1"/>
      <c r="M209" s="1"/>
      <c r="N209" s="1"/>
      <c r="O209" s="1"/>
      <c r="P209" s="1"/>
      <c r="Q209" s="1"/>
      <c r="R209" s="1"/>
      <c r="S209" s="1"/>
      <c r="T209" s="1"/>
      <c r="U209" s="1"/>
      <c r="V209" s="1"/>
      <c r="W209" s="1"/>
      <c r="X209" s="1"/>
      <c r="Y209" s="1"/>
    </row>
    <row r="210" spans="1:25" ht="15" thickBot="1" x14ac:dyDescent="0.35">
      <c r="A210" s="9">
        <v>209</v>
      </c>
      <c r="B210" s="8">
        <v>40552</v>
      </c>
      <c r="C210" s="7">
        <v>1</v>
      </c>
      <c r="D210" s="7">
        <v>0</v>
      </c>
      <c r="E210" s="7">
        <v>1</v>
      </c>
      <c r="F210" s="7">
        <v>23</v>
      </c>
      <c r="G210" s="7" t="b">
        <v>0</v>
      </c>
      <c r="H210" s="7">
        <f t="shared" si="3"/>
        <v>7</v>
      </c>
      <c r="I210" s="7">
        <v>1</v>
      </c>
      <c r="J210" s="10">
        <v>0.12</v>
      </c>
      <c r="K210" s="1"/>
      <c r="L210" s="1"/>
      <c r="M210" s="1"/>
      <c r="N210" s="1"/>
      <c r="O210" s="1"/>
      <c r="P210" s="1"/>
      <c r="Q210" s="1"/>
      <c r="R210" s="1"/>
      <c r="S210" s="1"/>
      <c r="T210" s="1"/>
      <c r="U210" s="1"/>
      <c r="V210" s="1"/>
      <c r="W210" s="1"/>
      <c r="X210" s="1"/>
      <c r="Y210" s="1"/>
    </row>
    <row r="211" spans="1:25" ht="15" thickBot="1" x14ac:dyDescent="0.35">
      <c r="A211" s="9">
        <v>210</v>
      </c>
      <c r="B211" s="8">
        <v>40553</v>
      </c>
      <c r="C211" s="7">
        <v>1</v>
      </c>
      <c r="D211" s="7">
        <v>0</v>
      </c>
      <c r="E211" s="7">
        <v>1</v>
      </c>
      <c r="F211" s="7">
        <v>0</v>
      </c>
      <c r="G211" s="7" t="b">
        <v>0</v>
      </c>
      <c r="H211" s="7">
        <f t="shared" si="3"/>
        <v>1</v>
      </c>
      <c r="I211" s="7">
        <v>1</v>
      </c>
      <c r="J211" s="10">
        <v>0.12</v>
      </c>
      <c r="K211" s="1"/>
      <c r="L211" s="1"/>
      <c r="M211" s="1"/>
      <c r="N211" s="1"/>
      <c r="O211" s="1"/>
      <c r="P211" s="1"/>
      <c r="Q211" s="1"/>
      <c r="R211" s="1"/>
      <c r="S211" s="1"/>
      <c r="T211" s="1"/>
      <c r="U211" s="1"/>
      <c r="V211" s="1"/>
      <c r="W211" s="1"/>
      <c r="X211" s="1"/>
      <c r="Y211" s="1"/>
    </row>
    <row r="212" spans="1:25" ht="15" thickBot="1" x14ac:dyDescent="0.35">
      <c r="A212" s="9">
        <v>211</v>
      </c>
      <c r="B212" s="8">
        <v>40553</v>
      </c>
      <c r="C212" s="7">
        <v>1</v>
      </c>
      <c r="D212" s="7">
        <v>0</v>
      </c>
      <c r="E212" s="7">
        <v>1</v>
      </c>
      <c r="F212" s="7">
        <v>1</v>
      </c>
      <c r="G212" s="7" t="b">
        <v>0</v>
      </c>
      <c r="H212" s="7">
        <f t="shared" si="3"/>
        <v>1</v>
      </c>
      <c r="I212" s="7">
        <v>1</v>
      </c>
      <c r="J212" s="10">
        <v>0.12</v>
      </c>
      <c r="K212" s="1"/>
      <c r="L212" s="1"/>
      <c r="M212" s="1"/>
      <c r="N212" s="1"/>
      <c r="O212" s="1"/>
      <c r="P212" s="1"/>
      <c r="Q212" s="1"/>
      <c r="R212" s="1"/>
      <c r="S212" s="1"/>
      <c r="T212" s="1"/>
      <c r="U212" s="1"/>
      <c r="V212" s="1"/>
      <c r="W212" s="1"/>
      <c r="X212" s="1"/>
      <c r="Y212" s="1"/>
    </row>
    <row r="213" spans="1:25" ht="15" thickBot="1" x14ac:dyDescent="0.35">
      <c r="A213" s="9">
        <v>212</v>
      </c>
      <c r="B213" s="8">
        <v>40553</v>
      </c>
      <c r="C213" s="7">
        <v>1</v>
      </c>
      <c r="D213" s="7">
        <v>0</v>
      </c>
      <c r="E213" s="7">
        <v>1</v>
      </c>
      <c r="F213" s="7">
        <v>2</v>
      </c>
      <c r="G213" s="7" t="b">
        <v>0</v>
      </c>
      <c r="H213" s="7">
        <f t="shared" si="3"/>
        <v>1</v>
      </c>
      <c r="I213" s="7">
        <v>1</v>
      </c>
      <c r="J213" s="10">
        <v>0.12</v>
      </c>
      <c r="K213" s="1"/>
      <c r="L213" s="1"/>
      <c r="M213" s="1"/>
      <c r="N213" s="1"/>
      <c r="O213" s="1"/>
      <c r="P213" s="1"/>
      <c r="Q213" s="1"/>
      <c r="R213" s="1"/>
      <c r="S213" s="1"/>
      <c r="T213" s="1"/>
      <c r="U213" s="1"/>
      <c r="V213" s="1"/>
      <c r="W213" s="1"/>
      <c r="X213" s="1"/>
      <c r="Y213" s="1"/>
    </row>
    <row r="214" spans="1:25" ht="15" thickBot="1" x14ac:dyDescent="0.35">
      <c r="A214" s="9">
        <v>213</v>
      </c>
      <c r="B214" s="8">
        <v>40553</v>
      </c>
      <c r="C214" s="7">
        <v>1</v>
      </c>
      <c r="D214" s="7">
        <v>0</v>
      </c>
      <c r="E214" s="7">
        <v>1</v>
      </c>
      <c r="F214" s="7">
        <v>3</v>
      </c>
      <c r="G214" s="7" t="b">
        <v>0</v>
      </c>
      <c r="H214" s="7">
        <f t="shared" si="3"/>
        <v>1</v>
      </c>
      <c r="I214" s="7">
        <v>1</v>
      </c>
      <c r="J214" s="10">
        <v>0.12</v>
      </c>
      <c r="K214" s="1"/>
      <c r="L214" s="1"/>
      <c r="M214" s="1"/>
      <c r="N214" s="1"/>
      <c r="O214" s="1"/>
      <c r="P214" s="1"/>
      <c r="Q214" s="1"/>
      <c r="R214" s="1"/>
      <c r="S214" s="1"/>
      <c r="T214" s="1"/>
      <c r="U214" s="1"/>
      <c r="V214" s="1"/>
      <c r="W214" s="1"/>
      <c r="X214" s="1"/>
      <c r="Y214" s="1"/>
    </row>
    <row r="215" spans="1:25" ht="15" thickBot="1" x14ac:dyDescent="0.35">
      <c r="A215" s="9">
        <v>214</v>
      </c>
      <c r="B215" s="8">
        <v>40553</v>
      </c>
      <c r="C215" s="7">
        <v>1</v>
      </c>
      <c r="D215" s="7">
        <v>0</v>
      </c>
      <c r="E215" s="7">
        <v>1</v>
      </c>
      <c r="F215" s="7">
        <v>4</v>
      </c>
      <c r="G215" s="7" t="b">
        <v>0</v>
      </c>
      <c r="H215" s="7">
        <f t="shared" si="3"/>
        <v>1</v>
      </c>
      <c r="I215" s="7">
        <v>1</v>
      </c>
      <c r="J215" s="10">
        <v>0.1</v>
      </c>
      <c r="K215" s="1"/>
      <c r="L215" s="1"/>
      <c r="M215" s="1"/>
      <c r="N215" s="1"/>
      <c r="O215" s="1"/>
      <c r="P215" s="1"/>
      <c r="Q215" s="1"/>
      <c r="R215" s="1"/>
      <c r="S215" s="1"/>
      <c r="T215" s="1"/>
      <c r="U215" s="1"/>
      <c r="V215" s="1"/>
      <c r="W215" s="1"/>
      <c r="X215" s="1"/>
      <c r="Y215" s="1"/>
    </row>
    <row r="216" spans="1:25" ht="15" thickBot="1" x14ac:dyDescent="0.35">
      <c r="A216" s="9">
        <v>215</v>
      </c>
      <c r="B216" s="8">
        <v>40553</v>
      </c>
      <c r="C216" s="7">
        <v>1</v>
      </c>
      <c r="D216" s="7">
        <v>0</v>
      </c>
      <c r="E216" s="7">
        <v>1</v>
      </c>
      <c r="F216" s="7">
        <v>5</v>
      </c>
      <c r="G216" s="7" t="b">
        <v>0</v>
      </c>
      <c r="H216" s="7">
        <f t="shared" si="3"/>
        <v>1</v>
      </c>
      <c r="I216" s="7">
        <v>1</v>
      </c>
      <c r="J216" s="10">
        <v>0.1</v>
      </c>
      <c r="K216" s="1"/>
      <c r="L216" s="1"/>
      <c r="M216" s="1"/>
      <c r="N216" s="1"/>
      <c r="O216" s="1"/>
      <c r="P216" s="1"/>
      <c r="Q216" s="1"/>
      <c r="R216" s="1"/>
      <c r="S216" s="1"/>
      <c r="T216" s="1"/>
      <c r="U216" s="1"/>
      <c r="V216" s="1"/>
      <c r="W216" s="1"/>
      <c r="X216" s="1"/>
      <c r="Y216" s="1"/>
    </row>
    <row r="217" spans="1:25" ht="15" thickBot="1" x14ac:dyDescent="0.35">
      <c r="A217" s="9">
        <v>216</v>
      </c>
      <c r="B217" s="8">
        <v>40553</v>
      </c>
      <c r="C217" s="7">
        <v>1</v>
      </c>
      <c r="D217" s="7">
        <v>0</v>
      </c>
      <c r="E217" s="7">
        <v>1</v>
      </c>
      <c r="F217" s="7">
        <v>6</v>
      </c>
      <c r="G217" s="7" t="b">
        <v>0</v>
      </c>
      <c r="H217" s="7">
        <f t="shared" si="3"/>
        <v>1</v>
      </c>
      <c r="I217" s="7">
        <v>1</v>
      </c>
      <c r="J217" s="10">
        <v>0.12</v>
      </c>
      <c r="K217" s="1"/>
      <c r="L217" s="1"/>
      <c r="M217" s="1"/>
      <c r="N217" s="1"/>
      <c r="O217" s="1"/>
      <c r="P217" s="1"/>
      <c r="Q217" s="1"/>
      <c r="R217" s="1"/>
      <c r="S217" s="1"/>
      <c r="T217" s="1"/>
      <c r="U217" s="1"/>
      <c r="V217" s="1"/>
      <c r="W217" s="1"/>
      <c r="X217" s="1"/>
      <c r="Y217" s="1"/>
    </row>
    <row r="218" spans="1:25" ht="15" thickBot="1" x14ac:dyDescent="0.35">
      <c r="A218" s="9">
        <v>217</v>
      </c>
      <c r="B218" s="8">
        <v>40553</v>
      </c>
      <c r="C218" s="7">
        <v>1</v>
      </c>
      <c r="D218" s="7">
        <v>0</v>
      </c>
      <c r="E218" s="7">
        <v>1</v>
      </c>
      <c r="F218" s="7">
        <v>7</v>
      </c>
      <c r="G218" s="7" t="b">
        <v>0</v>
      </c>
      <c r="H218" s="7">
        <f t="shared" si="3"/>
        <v>1</v>
      </c>
      <c r="I218" s="7">
        <v>1</v>
      </c>
      <c r="J218" s="10">
        <v>0.12</v>
      </c>
      <c r="K218" s="1"/>
      <c r="L218" s="1"/>
      <c r="M218" s="1"/>
      <c r="N218" s="1"/>
      <c r="O218" s="1"/>
      <c r="P218" s="1"/>
      <c r="Q218" s="1"/>
      <c r="R218" s="1"/>
      <c r="S218" s="1"/>
      <c r="T218" s="1"/>
      <c r="U218" s="1"/>
      <c r="V218" s="1"/>
      <c r="W218" s="1"/>
      <c r="X218" s="1"/>
      <c r="Y218" s="1"/>
    </row>
    <row r="219" spans="1:25" ht="15" thickBot="1" x14ac:dyDescent="0.35">
      <c r="A219" s="9">
        <v>218</v>
      </c>
      <c r="B219" s="8">
        <v>40553</v>
      </c>
      <c r="C219" s="7">
        <v>1</v>
      </c>
      <c r="D219" s="7">
        <v>0</v>
      </c>
      <c r="E219" s="7">
        <v>1</v>
      </c>
      <c r="F219" s="7">
        <v>8</v>
      </c>
      <c r="G219" s="7" t="b">
        <v>0</v>
      </c>
      <c r="H219" s="7">
        <f t="shared" si="3"/>
        <v>1</v>
      </c>
      <c r="I219" s="7">
        <v>2</v>
      </c>
      <c r="J219" s="10">
        <v>0.12</v>
      </c>
      <c r="K219" s="1"/>
      <c r="L219" s="1"/>
      <c r="M219" s="1"/>
      <c r="N219" s="1"/>
      <c r="O219" s="1"/>
      <c r="P219" s="1"/>
      <c r="Q219" s="1"/>
      <c r="R219" s="1"/>
      <c r="S219" s="1"/>
      <c r="T219" s="1"/>
      <c r="U219" s="1"/>
      <c r="V219" s="1"/>
      <c r="W219" s="1"/>
      <c r="X219" s="1"/>
      <c r="Y219" s="1"/>
    </row>
    <row r="220" spans="1:25" ht="15" thickBot="1" x14ac:dyDescent="0.35">
      <c r="A220" s="9">
        <v>219</v>
      </c>
      <c r="B220" s="8">
        <v>40553</v>
      </c>
      <c r="C220" s="7">
        <v>1</v>
      </c>
      <c r="D220" s="7">
        <v>0</v>
      </c>
      <c r="E220" s="7">
        <v>1</v>
      </c>
      <c r="F220" s="7">
        <v>9</v>
      </c>
      <c r="G220" s="7" t="b">
        <v>0</v>
      </c>
      <c r="H220" s="7">
        <f t="shared" si="3"/>
        <v>1</v>
      </c>
      <c r="I220" s="7">
        <v>2</v>
      </c>
      <c r="J220" s="10">
        <v>0.14000000000000001</v>
      </c>
      <c r="K220" s="1"/>
      <c r="L220" s="1"/>
      <c r="M220" s="1"/>
      <c r="N220" s="1"/>
      <c r="O220" s="1"/>
      <c r="P220" s="1"/>
      <c r="Q220" s="1"/>
      <c r="R220" s="1"/>
      <c r="S220" s="1"/>
      <c r="T220" s="1"/>
      <c r="U220" s="1"/>
      <c r="V220" s="1"/>
      <c r="W220" s="1"/>
      <c r="X220" s="1"/>
      <c r="Y220" s="1"/>
    </row>
    <row r="221" spans="1:25" ht="15" thickBot="1" x14ac:dyDescent="0.35">
      <c r="A221" s="9">
        <v>220</v>
      </c>
      <c r="B221" s="8">
        <v>40553</v>
      </c>
      <c r="C221" s="7">
        <v>1</v>
      </c>
      <c r="D221" s="7">
        <v>0</v>
      </c>
      <c r="E221" s="7">
        <v>1</v>
      </c>
      <c r="F221" s="7">
        <v>10</v>
      </c>
      <c r="G221" s="7" t="b">
        <v>0</v>
      </c>
      <c r="H221" s="7">
        <f t="shared" si="3"/>
        <v>1</v>
      </c>
      <c r="I221" s="7">
        <v>2</v>
      </c>
      <c r="J221" s="10">
        <v>0.14000000000000001</v>
      </c>
      <c r="K221" s="1"/>
      <c r="L221" s="1"/>
      <c r="M221" s="1"/>
      <c r="N221" s="1"/>
      <c r="O221" s="1"/>
      <c r="P221" s="1"/>
      <c r="Q221" s="1"/>
      <c r="R221" s="1"/>
      <c r="S221" s="1"/>
      <c r="T221" s="1"/>
      <c r="U221" s="1"/>
      <c r="V221" s="1"/>
      <c r="W221" s="1"/>
      <c r="X221" s="1"/>
      <c r="Y221" s="1"/>
    </row>
    <row r="222" spans="1:25" ht="15" thickBot="1" x14ac:dyDescent="0.35">
      <c r="A222" s="9">
        <v>221</v>
      </c>
      <c r="B222" s="8">
        <v>40553</v>
      </c>
      <c r="C222" s="7">
        <v>1</v>
      </c>
      <c r="D222" s="7">
        <v>0</v>
      </c>
      <c r="E222" s="7">
        <v>1</v>
      </c>
      <c r="F222" s="7">
        <v>11</v>
      </c>
      <c r="G222" s="7" t="b">
        <v>0</v>
      </c>
      <c r="H222" s="7">
        <f t="shared" si="3"/>
        <v>1</v>
      </c>
      <c r="I222" s="7">
        <v>2</v>
      </c>
      <c r="J222" s="10">
        <v>0.16</v>
      </c>
      <c r="K222" s="1"/>
      <c r="L222" s="1"/>
      <c r="M222" s="1"/>
      <c r="N222" s="1"/>
      <c r="O222" s="1"/>
      <c r="P222" s="1"/>
      <c r="Q222" s="1"/>
      <c r="R222" s="1"/>
      <c r="S222" s="1"/>
      <c r="T222" s="1"/>
      <c r="U222" s="1"/>
      <c r="V222" s="1"/>
      <c r="W222" s="1"/>
      <c r="X222" s="1"/>
      <c r="Y222" s="1"/>
    </row>
    <row r="223" spans="1:25" ht="15" thickBot="1" x14ac:dyDescent="0.35">
      <c r="A223" s="9">
        <v>222</v>
      </c>
      <c r="B223" s="8">
        <v>40553</v>
      </c>
      <c r="C223" s="7">
        <v>1</v>
      </c>
      <c r="D223" s="7">
        <v>0</v>
      </c>
      <c r="E223" s="7">
        <v>1</v>
      </c>
      <c r="F223" s="7">
        <v>12</v>
      </c>
      <c r="G223" s="7" t="b">
        <v>0</v>
      </c>
      <c r="H223" s="7">
        <f t="shared" si="3"/>
        <v>1</v>
      </c>
      <c r="I223" s="7">
        <v>2</v>
      </c>
      <c r="J223" s="10">
        <v>0.2</v>
      </c>
      <c r="K223" s="1"/>
      <c r="L223" s="1"/>
      <c r="M223" s="1"/>
      <c r="N223" s="1"/>
      <c r="O223" s="1"/>
      <c r="P223" s="1"/>
      <c r="Q223" s="1"/>
      <c r="R223" s="1"/>
      <c r="S223" s="1"/>
      <c r="T223" s="1"/>
      <c r="U223" s="1"/>
      <c r="V223" s="1"/>
      <c r="W223" s="1"/>
      <c r="X223" s="1"/>
      <c r="Y223" s="1"/>
    </row>
    <row r="224" spans="1:25" ht="15" thickBot="1" x14ac:dyDescent="0.35">
      <c r="A224" s="9">
        <v>223</v>
      </c>
      <c r="B224" s="8">
        <v>40553</v>
      </c>
      <c r="C224" s="7">
        <v>1</v>
      </c>
      <c r="D224" s="7">
        <v>0</v>
      </c>
      <c r="E224" s="7">
        <v>1</v>
      </c>
      <c r="F224" s="7">
        <v>13</v>
      </c>
      <c r="G224" s="7" t="b">
        <v>0</v>
      </c>
      <c r="H224" s="7">
        <f t="shared" si="3"/>
        <v>1</v>
      </c>
      <c r="I224" s="7">
        <v>2</v>
      </c>
      <c r="J224" s="10">
        <v>0.2</v>
      </c>
      <c r="K224" s="1"/>
      <c r="L224" s="1"/>
      <c r="M224" s="1"/>
      <c r="N224" s="1"/>
      <c r="O224" s="1"/>
      <c r="P224" s="1"/>
      <c r="Q224" s="1"/>
      <c r="R224" s="1"/>
      <c r="S224" s="1"/>
      <c r="T224" s="1"/>
      <c r="U224" s="1"/>
      <c r="V224" s="1"/>
      <c r="W224" s="1"/>
      <c r="X224" s="1"/>
      <c r="Y224" s="1"/>
    </row>
    <row r="225" spans="1:25" ht="15" thickBot="1" x14ac:dyDescent="0.35">
      <c r="A225" s="9">
        <v>224</v>
      </c>
      <c r="B225" s="8">
        <v>40553</v>
      </c>
      <c r="C225" s="7">
        <v>1</v>
      </c>
      <c r="D225" s="7">
        <v>0</v>
      </c>
      <c r="E225" s="7">
        <v>1</v>
      </c>
      <c r="F225" s="7">
        <v>14</v>
      </c>
      <c r="G225" s="7" t="b">
        <v>0</v>
      </c>
      <c r="H225" s="7">
        <f t="shared" si="3"/>
        <v>1</v>
      </c>
      <c r="I225" s="7">
        <v>2</v>
      </c>
      <c r="J225" s="10">
        <v>0.2</v>
      </c>
      <c r="K225" s="1"/>
      <c r="L225" s="1"/>
      <c r="M225" s="1"/>
      <c r="N225" s="1"/>
      <c r="O225" s="1"/>
      <c r="P225" s="1"/>
      <c r="Q225" s="1"/>
      <c r="R225" s="1"/>
      <c r="S225" s="1"/>
      <c r="T225" s="1"/>
      <c r="U225" s="1"/>
      <c r="V225" s="1"/>
      <c r="W225" s="1"/>
      <c r="X225" s="1"/>
      <c r="Y225" s="1"/>
    </row>
    <row r="226" spans="1:25" ht="15" thickBot="1" x14ac:dyDescent="0.35">
      <c r="A226" s="9">
        <v>225</v>
      </c>
      <c r="B226" s="8">
        <v>40553</v>
      </c>
      <c r="C226" s="7">
        <v>1</v>
      </c>
      <c r="D226" s="7">
        <v>0</v>
      </c>
      <c r="E226" s="7">
        <v>1</v>
      </c>
      <c r="F226" s="7">
        <v>15</v>
      </c>
      <c r="G226" s="7" t="b">
        <v>0</v>
      </c>
      <c r="H226" s="7">
        <f t="shared" si="3"/>
        <v>1</v>
      </c>
      <c r="I226" s="7">
        <v>2</v>
      </c>
      <c r="J226" s="10">
        <v>0.2</v>
      </c>
      <c r="K226" s="1"/>
      <c r="L226" s="1"/>
      <c r="M226" s="1"/>
      <c r="N226" s="1"/>
      <c r="O226" s="1"/>
      <c r="P226" s="1"/>
      <c r="Q226" s="1"/>
      <c r="R226" s="1"/>
      <c r="S226" s="1"/>
      <c r="T226" s="1"/>
      <c r="U226" s="1"/>
      <c r="V226" s="1"/>
      <c r="W226" s="1"/>
      <c r="X226" s="1"/>
      <c r="Y226" s="1"/>
    </row>
    <row r="227" spans="1:25" ht="15" thickBot="1" x14ac:dyDescent="0.35">
      <c r="A227" s="9">
        <v>226</v>
      </c>
      <c r="B227" s="8">
        <v>40553</v>
      </c>
      <c r="C227" s="7">
        <v>1</v>
      </c>
      <c r="D227" s="7">
        <v>0</v>
      </c>
      <c r="E227" s="7">
        <v>1</v>
      </c>
      <c r="F227" s="7">
        <v>16</v>
      </c>
      <c r="G227" s="7" t="b">
        <v>0</v>
      </c>
      <c r="H227" s="7">
        <f t="shared" si="3"/>
        <v>1</v>
      </c>
      <c r="I227" s="7">
        <v>1</v>
      </c>
      <c r="J227" s="10">
        <v>0.2</v>
      </c>
      <c r="K227" s="1"/>
      <c r="L227" s="1"/>
      <c r="M227" s="1"/>
      <c r="N227" s="1"/>
      <c r="O227" s="1"/>
      <c r="P227" s="1"/>
      <c r="Q227" s="1"/>
      <c r="R227" s="1"/>
      <c r="S227" s="1"/>
      <c r="T227" s="1"/>
      <c r="U227" s="1"/>
      <c r="V227" s="1"/>
      <c r="W227" s="1"/>
      <c r="X227" s="1"/>
      <c r="Y227" s="1"/>
    </row>
    <row r="228" spans="1:25" ht="15" thickBot="1" x14ac:dyDescent="0.35">
      <c r="A228" s="9">
        <v>227</v>
      </c>
      <c r="B228" s="8">
        <v>40553</v>
      </c>
      <c r="C228" s="7">
        <v>1</v>
      </c>
      <c r="D228" s="7">
        <v>0</v>
      </c>
      <c r="E228" s="7">
        <v>1</v>
      </c>
      <c r="F228" s="7">
        <v>17</v>
      </c>
      <c r="G228" s="7" t="b">
        <v>0</v>
      </c>
      <c r="H228" s="7">
        <f t="shared" si="3"/>
        <v>1</v>
      </c>
      <c r="I228" s="7">
        <v>1</v>
      </c>
      <c r="J228" s="10">
        <v>0.2</v>
      </c>
      <c r="K228" s="1"/>
      <c r="L228" s="1"/>
      <c r="M228" s="1"/>
      <c r="N228" s="1"/>
      <c r="O228" s="1"/>
      <c r="P228" s="1"/>
      <c r="Q228" s="1"/>
      <c r="R228" s="1"/>
      <c r="S228" s="1"/>
      <c r="T228" s="1"/>
      <c r="U228" s="1"/>
      <c r="V228" s="1"/>
      <c r="W228" s="1"/>
      <c r="X228" s="1"/>
      <c r="Y228" s="1"/>
    </row>
    <row r="229" spans="1:25" ht="15" thickBot="1" x14ac:dyDescent="0.35">
      <c r="A229" s="9">
        <v>228</v>
      </c>
      <c r="B229" s="8">
        <v>40553</v>
      </c>
      <c r="C229" s="7">
        <v>1</v>
      </c>
      <c r="D229" s="7">
        <v>0</v>
      </c>
      <c r="E229" s="7">
        <v>1</v>
      </c>
      <c r="F229" s="7">
        <v>18</v>
      </c>
      <c r="G229" s="7" t="b">
        <v>0</v>
      </c>
      <c r="H229" s="7">
        <f t="shared" si="3"/>
        <v>1</v>
      </c>
      <c r="I229" s="7">
        <v>1</v>
      </c>
      <c r="J229" s="10">
        <v>0.2</v>
      </c>
      <c r="K229" s="1"/>
      <c r="L229" s="1"/>
      <c r="M229" s="1"/>
      <c r="N229" s="1"/>
      <c r="O229" s="1"/>
      <c r="P229" s="1"/>
      <c r="Q229" s="1"/>
      <c r="R229" s="1"/>
      <c r="S229" s="1"/>
      <c r="T229" s="1"/>
      <c r="U229" s="1"/>
      <c r="V229" s="1"/>
      <c r="W229" s="1"/>
      <c r="X229" s="1"/>
      <c r="Y229" s="1"/>
    </row>
    <row r="230" spans="1:25" ht="15" thickBot="1" x14ac:dyDescent="0.35">
      <c r="A230" s="9">
        <v>229</v>
      </c>
      <c r="B230" s="8">
        <v>40553</v>
      </c>
      <c r="C230" s="7">
        <v>1</v>
      </c>
      <c r="D230" s="7">
        <v>0</v>
      </c>
      <c r="E230" s="7">
        <v>1</v>
      </c>
      <c r="F230" s="7">
        <v>19</v>
      </c>
      <c r="G230" s="7" t="b">
        <v>0</v>
      </c>
      <c r="H230" s="7">
        <f t="shared" si="3"/>
        <v>1</v>
      </c>
      <c r="I230" s="7">
        <v>1</v>
      </c>
      <c r="J230" s="10">
        <v>0.16</v>
      </c>
      <c r="K230" s="1"/>
      <c r="L230" s="1"/>
      <c r="M230" s="1"/>
      <c r="N230" s="1"/>
      <c r="O230" s="1"/>
      <c r="P230" s="1"/>
      <c r="Q230" s="1"/>
      <c r="R230" s="1"/>
      <c r="S230" s="1"/>
      <c r="T230" s="1"/>
      <c r="U230" s="1"/>
      <c r="V230" s="1"/>
      <c r="W230" s="1"/>
      <c r="X230" s="1"/>
      <c r="Y230" s="1"/>
    </row>
    <row r="231" spans="1:25" ht="15" thickBot="1" x14ac:dyDescent="0.35">
      <c r="A231" s="9">
        <v>230</v>
      </c>
      <c r="B231" s="8">
        <v>40553</v>
      </c>
      <c r="C231" s="7">
        <v>1</v>
      </c>
      <c r="D231" s="7">
        <v>0</v>
      </c>
      <c r="E231" s="7">
        <v>1</v>
      </c>
      <c r="F231" s="7">
        <v>20</v>
      </c>
      <c r="G231" s="7" t="b">
        <v>0</v>
      </c>
      <c r="H231" s="7">
        <f t="shared" si="3"/>
        <v>1</v>
      </c>
      <c r="I231" s="7">
        <v>1</v>
      </c>
      <c r="J231" s="10">
        <v>0.16</v>
      </c>
      <c r="K231" s="1"/>
      <c r="L231" s="1"/>
      <c r="M231" s="1"/>
      <c r="N231" s="1"/>
      <c r="O231" s="1"/>
      <c r="P231" s="1"/>
      <c r="Q231" s="1"/>
      <c r="R231" s="1"/>
      <c r="S231" s="1"/>
      <c r="T231" s="1"/>
      <c r="U231" s="1"/>
      <c r="V231" s="1"/>
      <c r="W231" s="1"/>
      <c r="X231" s="1"/>
      <c r="Y231" s="1"/>
    </row>
    <row r="232" spans="1:25" ht="15" thickBot="1" x14ac:dyDescent="0.35">
      <c r="A232" s="9">
        <v>231</v>
      </c>
      <c r="B232" s="8">
        <v>40553</v>
      </c>
      <c r="C232" s="7">
        <v>1</v>
      </c>
      <c r="D232" s="7">
        <v>0</v>
      </c>
      <c r="E232" s="7">
        <v>1</v>
      </c>
      <c r="F232" s="7">
        <v>21</v>
      </c>
      <c r="G232" s="7" t="b">
        <v>0</v>
      </c>
      <c r="H232" s="7">
        <f t="shared" si="3"/>
        <v>1</v>
      </c>
      <c r="I232" s="7">
        <v>1</v>
      </c>
      <c r="J232" s="10">
        <v>0.14000000000000001</v>
      </c>
      <c r="K232" s="1"/>
      <c r="L232" s="1"/>
      <c r="M232" s="1"/>
      <c r="N232" s="1"/>
      <c r="O232" s="1"/>
      <c r="P232" s="1"/>
      <c r="Q232" s="1"/>
      <c r="R232" s="1"/>
      <c r="S232" s="1"/>
      <c r="T232" s="1"/>
      <c r="U232" s="1"/>
      <c r="V232" s="1"/>
      <c r="W232" s="1"/>
      <c r="X232" s="1"/>
      <c r="Y232" s="1"/>
    </row>
    <row r="233" spans="1:25" ht="15" thickBot="1" x14ac:dyDescent="0.35">
      <c r="A233" s="9">
        <v>232</v>
      </c>
      <c r="B233" s="8">
        <v>40553</v>
      </c>
      <c r="C233" s="7">
        <v>1</v>
      </c>
      <c r="D233" s="7">
        <v>0</v>
      </c>
      <c r="E233" s="7">
        <v>1</v>
      </c>
      <c r="F233" s="7">
        <v>22</v>
      </c>
      <c r="G233" s="7" t="b">
        <v>0</v>
      </c>
      <c r="H233" s="7">
        <f t="shared" si="3"/>
        <v>1</v>
      </c>
      <c r="I233" s="7">
        <v>1</v>
      </c>
      <c r="J233" s="10">
        <v>0.14000000000000001</v>
      </c>
      <c r="K233" s="1"/>
      <c r="L233" s="1"/>
      <c r="M233" s="1"/>
      <c r="N233" s="1"/>
      <c r="O233" s="1"/>
      <c r="P233" s="1"/>
      <c r="Q233" s="1"/>
      <c r="R233" s="1"/>
      <c r="S233" s="1"/>
      <c r="T233" s="1"/>
      <c r="U233" s="1"/>
      <c r="V233" s="1"/>
      <c r="W233" s="1"/>
      <c r="X233" s="1"/>
      <c r="Y233" s="1"/>
    </row>
    <row r="234" spans="1:25" ht="15" thickBot="1" x14ac:dyDescent="0.35">
      <c r="A234" s="9">
        <v>233</v>
      </c>
      <c r="B234" s="8">
        <v>40553</v>
      </c>
      <c r="C234" s="7">
        <v>1</v>
      </c>
      <c r="D234" s="7">
        <v>0</v>
      </c>
      <c r="E234" s="7">
        <v>1</v>
      </c>
      <c r="F234" s="7">
        <v>23</v>
      </c>
      <c r="G234" s="7" t="b">
        <v>0</v>
      </c>
      <c r="H234" s="7">
        <f t="shared" si="3"/>
        <v>1</v>
      </c>
      <c r="I234" s="7">
        <v>1</v>
      </c>
      <c r="J234" s="10">
        <v>0.14000000000000001</v>
      </c>
      <c r="K234" s="1"/>
      <c r="L234" s="1"/>
      <c r="M234" s="1"/>
      <c r="N234" s="1"/>
      <c r="O234" s="1"/>
      <c r="P234" s="1"/>
      <c r="Q234" s="1"/>
      <c r="R234" s="1"/>
      <c r="S234" s="1"/>
      <c r="T234" s="1"/>
      <c r="U234" s="1"/>
      <c r="V234" s="1"/>
      <c r="W234" s="1"/>
      <c r="X234" s="1"/>
      <c r="Y234" s="1"/>
    </row>
    <row r="235" spans="1:25" ht="15" thickBot="1" x14ac:dyDescent="0.35">
      <c r="A235" s="9">
        <v>234</v>
      </c>
      <c r="B235" s="8">
        <v>40554</v>
      </c>
      <c r="C235" s="7">
        <v>1</v>
      </c>
      <c r="D235" s="7">
        <v>0</v>
      </c>
      <c r="E235" s="7">
        <v>1</v>
      </c>
      <c r="F235" s="7">
        <v>0</v>
      </c>
      <c r="G235" s="7" t="b">
        <v>0</v>
      </c>
      <c r="H235" s="7">
        <f t="shared" si="3"/>
        <v>2</v>
      </c>
      <c r="I235" s="7">
        <v>1</v>
      </c>
      <c r="J235" s="10">
        <v>0.14000000000000001</v>
      </c>
      <c r="K235" s="1"/>
      <c r="L235" s="1"/>
      <c r="M235" s="1"/>
      <c r="N235" s="1"/>
      <c r="O235" s="1"/>
      <c r="P235" s="1"/>
      <c r="Q235" s="1"/>
      <c r="R235" s="1"/>
      <c r="S235" s="1"/>
      <c r="T235" s="1"/>
      <c r="U235" s="1"/>
      <c r="V235" s="1"/>
      <c r="W235" s="1"/>
      <c r="X235" s="1"/>
      <c r="Y235" s="1"/>
    </row>
    <row r="236" spans="1:25" ht="15" thickBot="1" x14ac:dyDescent="0.35">
      <c r="A236" s="9">
        <v>235</v>
      </c>
      <c r="B236" s="8">
        <v>40554</v>
      </c>
      <c r="C236" s="7">
        <v>1</v>
      </c>
      <c r="D236" s="7">
        <v>0</v>
      </c>
      <c r="E236" s="7">
        <v>1</v>
      </c>
      <c r="F236" s="7">
        <v>1</v>
      </c>
      <c r="G236" s="7" t="b">
        <v>0</v>
      </c>
      <c r="H236" s="7">
        <f t="shared" si="3"/>
        <v>2</v>
      </c>
      <c r="I236" s="7">
        <v>1</v>
      </c>
      <c r="J236" s="10">
        <v>0.14000000000000001</v>
      </c>
      <c r="K236" s="1"/>
      <c r="L236" s="1"/>
      <c r="M236" s="1"/>
      <c r="N236" s="1"/>
      <c r="O236" s="1"/>
      <c r="P236" s="1"/>
      <c r="Q236" s="1"/>
      <c r="R236" s="1"/>
      <c r="S236" s="1"/>
      <c r="T236" s="1"/>
      <c r="U236" s="1"/>
      <c r="V236" s="1"/>
      <c r="W236" s="1"/>
      <c r="X236" s="1"/>
      <c r="Y236" s="1"/>
    </row>
    <row r="237" spans="1:25" ht="15" thickBot="1" x14ac:dyDescent="0.35">
      <c r="A237" s="9">
        <v>236</v>
      </c>
      <c r="B237" s="8">
        <v>40554</v>
      </c>
      <c r="C237" s="7">
        <v>1</v>
      </c>
      <c r="D237" s="7">
        <v>0</v>
      </c>
      <c r="E237" s="7">
        <v>1</v>
      </c>
      <c r="F237" s="7">
        <v>2</v>
      </c>
      <c r="G237" s="7" t="b">
        <v>0</v>
      </c>
      <c r="H237" s="7">
        <f t="shared" si="3"/>
        <v>2</v>
      </c>
      <c r="I237" s="7">
        <v>2</v>
      </c>
      <c r="J237" s="10">
        <v>0.16</v>
      </c>
      <c r="K237" s="1"/>
      <c r="L237" s="1"/>
      <c r="M237" s="1"/>
      <c r="N237" s="1"/>
      <c r="O237" s="1"/>
      <c r="P237" s="1"/>
      <c r="Q237" s="1"/>
      <c r="R237" s="1"/>
      <c r="S237" s="1"/>
      <c r="T237" s="1"/>
      <c r="U237" s="1"/>
      <c r="V237" s="1"/>
      <c r="W237" s="1"/>
      <c r="X237" s="1"/>
      <c r="Y237" s="1"/>
    </row>
    <row r="238" spans="1:25" ht="15" thickBot="1" x14ac:dyDescent="0.35">
      <c r="A238" s="9">
        <v>237</v>
      </c>
      <c r="B238" s="8">
        <v>40554</v>
      </c>
      <c r="C238" s="7">
        <v>1</v>
      </c>
      <c r="D238" s="7">
        <v>0</v>
      </c>
      <c r="E238" s="7">
        <v>1</v>
      </c>
      <c r="F238" s="7">
        <v>5</v>
      </c>
      <c r="G238" s="7" t="b">
        <v>0</v>
      </c>
      <c r="H238" s="7">
        <f t="shared" si="3"/>
        <v>2</v>
      </c>
      <c r="I238" s="7">
        <v>2</v>
      </c>
      <c r="J238" s="10">
        <v>0.16</v>
      </c>
      <c r="K238" s="1"/>
      <c r="L238" s="1"/>
      <c r="M238" s="1"/>
      <c r="N238" s="1"/>
      <c r="O238" s="1"/>
      <c r="P238" s="1"/>
      <c r="Q238" s="1"/>
      <c r="R238" s="1"/>
      <c r="S238" s="1"/>
      <c r="T238" s="1"/>
      <c r="U238" s="1"/>
      <c r="V238" s="1"/>
      <c r="W238" s="1"/>
      <c r="X238" s="1"/>
      <c r="Y238" s="1"/>
    </row>
    <row r="239" spans="1:25" ht="15" thickBot="1" x14ac:dyDescent="0.35">
      <c r="A239" s="9">
        <v>238</v>
      </c>
      <c r="B239" s="8">
        <v>40554</v>
      </c>
      <c r="C239" s="7">
        <v>1</v>
      </c>
      <c r="D239" s="7">
        <v>0</v>
      </c>
      <c r="E239" s="7">
        <v>1</v>
      </c>
      <c r="F239" s="7">
        <v>6</v>
      </c>
      <c r="G239" s="7" t="b">
        <v>0</v>
      </c>
      <c r="H239" s="7">
        <f t="shared" si="3"/>
        <v>2</v>
      </c>
      <c r="I239" s="7">
        <v>2</v>
      </c>
      <c r="J239" s="10">
        <v>0.16</v>
      </c>
      <c r="K239" s="1"/>
      <c r="L239" s="1"/>
      <c r="M239" s="1"/>
      <c r="N239" s="1"/>
      <c r="O239" s="1"/>
      <c r="P239" s="1"/>
      <c r="Q239" s="1"/>
      <c r="R239" s="1"/>
      <c r="S239" s="1"/>
      <c r="T239" s="1"/>
      <c r="U239" s="1"/>
      <c r="V239" s="1"/>
      <c r="W239" s="1"/>
      <c r="X239" s="1"/>
      <c r="Y239" s="1"/>
    </row>
    <row r="240" spans="1:25" ht="15" thickBot="1" x14ac:dyDescent="0.35">
      <c r="A240" s="9">
        <v>239</v>
      </c>
      <c r="B240" s="8">
        <v>40554</v>
      </c>
      <c r="C240" s="7">
        <v>1</v>
      </c>
      <c r="D240" s="7">
        <v>0</v>
      </c>
      <c r="E240" s="7">
        <v>1</v>
      </c>
      <c r="F240" s="7">
        <v>7</v>
      </c>
      <c r="G240" s="7" t="b">
        <v>0</v>
      </c>
      <c r="H240" s="7">
        <f t="shared" si="3"/>
        <v>2</v>
      </c>
      <c r="I240" s="7">
        <v>2</v>
      </c>
      <c r="J240" s="10">
        <v>0.16</v>
      </c>
      <c r="K240" s="1"/>
      <c r="L240" s="1"/>
      <c r="M240" s="1"/>
      <c r="N240" s="1"/>
      <c r="O240" s="1"/>
      <c r="P240" s="1"/>
      <c r="Q240" s="1"/>
      <c r="R240" s="1"/>
      <c r="S240" s="1"/>
      <c r="T240" s="1"/>
      <c r="U240" s="1"/>
      <c r="V240" s="1"/>
      <c r="W240" s="1"/>
      <c r="X240" s="1"/>
      <c r="Y240" s="1"/>
    </row>
    <row r="241" spans="1:25" ht="15" thickBot="1" x14ac:dyDescent="0.35">
      <c r="A241" s="9">
        <v>240</v>
      </c>
      <c r="B241" s="8">
        <v>40554</v>
      </c>
      <c r="C241" s="7">
        <v>1</v>
      </c>
      <c r="D241" s="7">
        <v>0</v>
      </c>
      <c r="E241" s="7">
        <v>1</v>
      </c>
      <c r="F241" s="7">
        <v>8</v>
      </c>
      <c r="G241" s="7" t="b">
        <v>0</v>
      </c>
      <c r="H241" s="7">
        <f t="shared" si="3"/>
        <v>2</v>
      </c>
      <c r="I241" s="7">
        <v>2</v>
      </c>
      <c r="J241" s="10">
        <v>0.18</v>
      </c>
      <c r="K241" s="1"/>
      <c r="L241" s="1"/>
      <c r="M241" s="1"/>
      <c r="N241" s="1"/>
      <c r="O241" s="1"/>
      <c r="P241" s="1"/>
      <c r="Q241" s="1"/>
      <c r="R241" s="1"/>
      <c r="S241" s="1"/>
      <c r="T241" s="1"/>
      <c r="U241" s="1"/>
      <c r="V241" s="1"/>
      <c r="W241" s="1"/>
      <c r="X241" s="1"/>
      <c r="Y241" s="1"/>
    </row>
    <row r="242" spans="1:25" ht="15" thickBot="1" x14ac:dyDescent="0.35">
      <c r="A242" s="9">
        <v>241</v>
      </c>
      <c r="B242" s="8">
        <v>40554</v>
      </c>
      <c r="C242" s="7">
        <v>1</v>
      </c>
      <c r="D242" s="7">
        <v>0</v>
      </c>
      <c r="E242" s="7">
        <v>1</v>
      </c>
      <c r="F242" s="7">
        <v>9</v>
      </c>
      <c r="G242" s="7" t="b">
        <v>0</v>
      </c>
      <c r="H242" s="7">
        <f t="shared" si="3"/>
        <v>2</v>
      </c>
      <c r="I242" s="7">
        <v>2</v>
      </c>
      <c r="J242" s="10">
        <v>0.18</v>
      </c>
      <c r="K242" s="1"/>
      <c r="L242" s="1"/>
      <c r="M242" s="1"/>
      <c r="N242" s="1"/>
      <c r="O242" s="1"/>
      <c r="P242" s="1"/>
      <c r="Q242" s="1"/>
      <c r="R242" s="1"/>
      <c r="S242" s="1"/>
      <c r="T242" s="1"/>
      <c r="U242" s="1"/>
      <c r="V242" s="1"/>
      <c r="W242" s="1"/>
      <c r="X242" s="1"/>
      <c r="Y242" s="1"/>
    </row>
    <row r="243" spans="1:25" ht="15" thickBot="1" x14ac:dyDescent="0.35">
      <c r="A243" s="9">
        <v>242</v>
      </c>
      <c r="B243" s="8">
        <v>40554</v>
      </c>
      <c r="C243" s="7">
        <v>1</v>
      </c>
      <c r="D243" s="7">
        <v>0</v>
      </c>
      <c r="E243" s="7">
        <v>1</v>
      </c>
      <c r="F243" s="7">
        <v>10</v>
      </c>
      <c r="G243" s="7" t="b">
        <v>0</v>
      </c>
      <c r="H243" s="7">
        <f t="shared" si="3"/>
        <v>2</v>
      </c>
      <c r="I243" s="7">
        <v>2</v>
      </c>
      <c r="J243" s="10">
        <v>0.2</v>
      </c>
      <c r="K243" s="1"/>
      <c r="L243" s="1"/>
      <c r="M243" s="1"/>
      <c r="N243" s="1"/>
      <c r="O243" s="1"/>
      <c r="P243" s="1"/>
      <c r="Q243" s="1"/>
      <c r="R243" s="1"/>
      <c r="S243" s="1"/>
      <c r="T243" s="1"/>
      <c r="U243" s="1"/>
      <c r="V243" s="1"/>
      <c r="W243" s="1"/>
      <c r="X243" s="1"/>
      <c r="Y243" s="1"/>
    </row>
    <row r="244" spans="1:25" ht="15" thickBot="1" x14ac:dyDescent="0.35">
      <c r="A244" s="9">
        <v>243</v>
      </c>
      <c r="B244" s="8">
        <v>40554</v>
      </c>
      <c r="C244" s="7">
        <v>1</v>
      </c>
      <c r="D244" s="7">
        <v>0</v>
      </c>
      <c r="E244" s="7">
        <v>1</v>
      </c>
      <c r="F244" s="7">
        <v>11</v>
      </c>
      <c r="G244" s="7" t="b">
        <v>0</v>
      </c>
      <c r="H244" s="7">
        <f t="shared" si="3"/>
        <v>2</v>
      </c>
      <c r="I244" s="7">
        <v>2</v>
      </c>
      <c r="J244" s="10">
        <v>0.2</v>
      </c>
      <c r="K244" s="1"/>
      <c r="L244" s="1"/>
      <c r="M244" s="1"/>
      <c r="N244" s="1"/>
      <c r="O244" s="1"/>
      <c r="P244" s="1"/>
      <c r="Q244" s="1"/>
      <c r="R244" s="1"/>
      <c r="S244" s="1"/>
      <c r="T244" s="1"/>
      <c r="U244" s="1"/>
      <c r="V244" s="1"/>
      <c r="W244" s="1"/>
      <c r="X244" s="1"/>
      <c r="Y244" s="1"/>
    </row>
    <row r="245" spans="1:25" ht="15" thickBot="1" x14ac:dyDescent="0.35">
      <c r="A245" s="9">
        <v>244</v>
      </c>
      <c r="B245" s="8">
        <v>40554</v>
      </c>
      <c r="C245" s="7">
        <v>1</v>
      </c>
      <c r="D245" s="7">
        <v>0</v>
      </c>
      <c r="E245" s="7">
        <v>1</v>
      </c>
      <c r="F245" s="7">
        <v>12</v>
      </c>
      <c r="G245" s="7" t="b">
        <v>0</v>
      </c>
      <c r="H245" s="7">
        <f t="shared" si="3"/>
        <v>2</v>
      </c>
      <c r="I245" s="7">
        <v>2</v>
      </c>
      <c r="J245" s="10">
        <v>0.2</v>
      </c>
      <c r="K245" s="1"/>
      <c r="L245" s="1"/>
      <c r="M245" s="1"/>
      <c r="N245" s="1"/>
      <c r="O245" s="1"/>
      <c r="P245" s="1"/>
      <c r="Q245" s="1"/>
      <c r="R245" s="1"/>
      <c r="S245" s="1"/>
      <c r="T245" s="1"/>
      <c r="U245" s="1"/>
      <c r="V245" s="1"/>
      <c r="W245" s="1"/>
      <c r="X245" s="1"/>
      <c r="Y245" s="1"/>
    </row>
    <row r="246" spans="1:25" ht="15" thickBot="1" x14ac:dyDescent="0.35">
      <c r="A246" s="9">
        <v>245</v>
      </c>
      <c r="B246" s="8">
        <v>40554</v>
      </c>
      <c r="C246" s="7">
        <v>1</v>
      </c>
      <c r="D246" s="7">
        <v>0</v>
      </c>
      <c r="E246" s="7">
        <v>1</v>
      </c>
      <c r="F246" s="7">
        <v>13</v>
      </c>
      <c r="G246" s="7" t="b">
        <v>0</v>
      </c>
      <c r="H246" s="7">
        <f t="shared" si="3"/>
        <v>2</v>
      </c>
      <c r="I246" s="7">
        <v>2</v>
      </c>
      <c r="J246" s="10">
        <v>0.2</v>
      </c>
      <c r="K246" s="1"/>
      <c r="L246" s="1"/>
      <c r="M246" s="1"/>
      <c r="N246" s="1"/>
      <c r="O246" s="1"/>
      <c r="P246" s="1"/>
      <c r="Q246" s="1"/>
      <c r="R246" s="1"/>
      <c r="S246" s="1"/>
      <c r="T246" s="1"/>
      <c r="U246" s="1"/>
      <c r="V246" s="1"/>
      <c r="W246" s="1"/>
      <c r="X246" s="1"/>
      <c r="Y246" s="1"/>
    </row>
    <row r="247" spans="1:25" ht="15" thickBot="1" x14ac:dyDescent="0.35">
      <c r="A247" s="9">
        <v>246</v>
      </c>
      <c r="B247" s="8">
        <v>40554</v>
      </c>
      <c r="C247" s="7">
        <v>1</v>
      </c>
      <c r="D247" s="7">
        <v>0</v>
      </c>
      <c r="E247" s="7">
        <v>1</v>
      </c>
      <c r="F247" s="7">
        <v>14</v>
      </c>
      <c r="G247" s="7" t="b">
        <v>0</v>
      </c>
      <c r="H247" s="7">
        <f t="shared" si="3"/>
        <v>2</v>
      </c>
      <c r="I247" s="7">
        <v>2</v>
      </c>
      <c r="J247" s="10">
        <v>0.2</v>
      </c>
      <c r="K247" s="1"/>
      <c r="L247" s="1"/>
      <c r="M247" s="1"/>
      <c r="N247" s="1"/>
      <c r="O247" s="1"/>
      <c r="P247" s="1"/>
      <c r="Q247" s="1"/>
      <c r="R247" s="1"/>
      <c r="S247" s="1"/>
      <c r="T247" s="1"/>
      <c r="U247" s="1"/>
      <c r="V247" s="1"/>
      <c r="W247" s="1"/>
      <c r="X247" s="1"/>
      <c r="Y247" s="1"/>
    </row>
    <row r="248" spans="1:25" ht="15" thickBot="1" x14ac:dyDescent="0.35">
      <c r="A248" s="9">
        <v>247</v>
      </c>
      <c r="B248" s="8">
        <v>40554</v>
      </c>
      <c r="C248" s="7">
        <v>1</v>
      </c>
      <c r="D248" s="7">
        <v>0</v>
      </c>
      <c r="E248" s="7">
        <v>1</v>
      </c>
      <c r="F248" s="7">
        <v>15</v>
      </c>
      <c r="G248" s="7" t="b">
        <v>0</v>
      </c>
      <c r="H248" s="7">
        <f t="shared" si="3"/>
        <v>2</v>
      </c>
      <c r="I248" s="7">
        <v>2</v>
      </c>
      <c r="J248" s="10">
        <v>0.16</v>
      </c>
      <c r="K248" s="1"/>
      <c r="L248" s="1"/>
      <c r="M248" s="1"/>
      <c r="N248" s="1"/>
      <c r="O248" s="1"/>
      <c r="P248" s="1"/>
      <c r="Q248" s="1"/>
      <c r="R248" s="1"/>
      <c r="S248" s="1"/>
      <c r="T248" s="1"/>
      <c r="U248" s="1"/>
      <c r="V248" s="1"/>
      <c r="W248" s="1"/>
      <c r="X248" s="1"/>
      <c r="Y248" s="1"/>
    </row>
    <row r="249" spans="1:25" ht="15" thickBot="1" x14ac:dyDescent="0.35">
      <c r="A249" s="9">
        <v>248</v>
      </c>
      <c r="B249" s="8">
        <v>40554</v>
      </c>
      <c r="C249" s="7">
        <v>1</v>
      </c>
      <c r="D249" s="7">
        <v>0</v>
      </c>
      <c r="E249" s="7">
        <v>1</v>
      </c>
      <c r="F249" s="7">
        <v>16</v>
      </c>
      <c r="G249" s="7" t="b">
        <v>0</v>
      </c>
      <c r="H249" s="7">
        <f t="shared" si="3"/>
        <v>2</v>
      </c>
      <c r="I249" s="7">
        <v>2</v>
      </c>
      <c r="J249" s="10">
        <v>0.16</v>
      </c>
      <c r="K249" s="1"/>
      <c r="L249" s="1"/>
      <c r="M249" s="1"/>
      <c r="N249" s="1"/>
      <c r="O249" s="1"/>
      <c r="P249" s="1"/>
      <c r="Q249" s="1"/>
      <c r="R249" s="1"/>
      <c r="S249" s="1"/>
      <c r="T249" s="1"/>
      <c r="U249" s="1"/>
      <c r="V249" s="1"/>
      <c r="W249" s="1"/>
      <c r="X249" s="1"/>
      <c r="Y249" s="1"/>
    </row>
    <row r="250" spans="1:25" ht="15" thickBot="1" x14ac:dyDescent="0.35">
      <c r="A250" s="9">
        <v>249</v>
      </c>
      <c r="B250" s="8">
        <v>40554</v>
      </c>
      <c r="C250" s="7">
        <v>1</v>
      </c>
      <c r="D250" s="7">
        <v>0</v>
      </c>
      <c r="E250" s="7">
        <v>1</v>
      </c>
      <c r="F250" s="7">
        <v>17</v>
      </c>
      <c r="G250" s="7" t="b">
        <v>0</v>
      </c>
      <c r="H250" s="7">
        <f t="shared" si="3"/>
        <v>2</v>
      </c>
      <c r="I250" s="7">
        <v>2</v>
      </c>
      <c r="J250" s="10">
        <v>0.16</v>
      </c>
      <c r="K250" s="1"/>
      <c r="L250" s="1"/>
      <c r="M250" s="1"/>
      <c r="N250" s="1"/>
      <c r="O250" s="1"/>
      <c r="P250" s="1"/>
      <c r="Q250" s="1"/>
      <c r="R250" s="1"/>
      <c r="S250" s="1"/>
      <c r="T250" s="1"/>
      <c r="U250" s="1"/>
      <c r="V250" s="1"/>
      <c r="W250" s="1"/>
      <c r="X250" s="1"/>
      <c r="Y250" s="1"/>
    </row>
    <row r="251" spans="1:25" ht="15" thickBot="1" x14ac:dyDescent="0.35">
      <c r="A251" s="9">
        <v>250</v>
      </c>
      <c r="B251" s="8">
        <v>40554</v>
      </c>
      <c r="C251" s="7">
        <v>1</v>
      </c>
      <c r="D251" s="7">
        <v>0</v>
      </c>
      <c r="E251" s="7">
        <v>1</v>
      </c>
      <c r="F251" s="7">
        <v>18</v>
      </c>
      <c r="G251" s="7" t="b">
        <v>0</v>
      </c>
      <c r="H251" s="7">
        <f t="shared" si="3"/>
        <v>2</v>
      </c>
      <c r="I251" s="7">
        <v>3</v>
      </c>
      <c r="J251" s="10">
        <v>0.16</v>
      </c>
      <c r="K251" s="1"/>
      <c r="L251" s="1"/>
      <c r="M251" s="1"/>
      <c r="N251" s="1"/>
      <c r="O251" s="1"/>
      <c r="P251" s="1"/>
      <c r="Q251" s="1"/>
      <c r="R251" s="1"/>
      <c r="S251" s="1"/>
      <c r="T251" s="1"/>
      <c r="U251" s="1"/>
      <c r="V251" s="1"/>
      <c r="W251" s="1"/>
      <c r="X251" s="1"/>
      <c r="Y251" s="1"/>
    </row>
    <row r="252" spans="1:25" ht="15" thickBot="1" x14ac:dyDescent="0.35">
      <c r="A252" s="9">
        <v>251</v>
      </c>
      <c r="B252" s="8">
        <v>40554</v>
      </c>
      <c r="C252" s="7">
        <v>1</v>
      </c>
      <c r="D252" s="7">
        <v>0</v>
      </c>
      <c r="E252" s="7">
        <v>1</v>
      </c>
      <c r="F252" s="7">
        <v>19</v>
      </c>
      <c r="G252" s="7" t="b">
        <v>0</v>
      </c>
      <c r="H252" s="7">
        <f t="shared" si="3"/>
        <v>2</v>
      </c>
      <c r="I252" s="7">
        <v>3</v>
      </c>
      <c r="J252" s="10">
        <v>0.16</v>
      </c>
      <c r="K252" s="1"/>
      <c r="L252" s="1"/>
      <c r="M252" s="1"/>
      <c r="N252" s="1"/>
      <c r="O252" s="1"/>
      <c r="P252" s="1"/>
      <c r="Q252" s="1"/>
      <c r="R252" s="1"/>
      <c r="S252" s="1"/>
      <c r="T252" s="1"/>
      <c r="U252" s="1"/>
      <c r="V252" s="1"/>
      <c r="W252" s="1"/>
      <c r="X252" s="1"/>
      <c r="Y252" s="1"/>
    </row>
    <row r="253" spans="1:25" ht="15" thickBot="1" x14ac:dyDescent="0.35">
      <c r="A253" s="9">
        <v>252</v>
      </c>
      <c r="B253" s="8">
        <v>40554</v>
      </c>
      <c r="C253" s="7">
        <v>1</v>
      </c>
      <c r="D253" s="7">
        <v>0</v>
      </c>
      <c r="E253" s="7">
        <v>1</v>
      </c>
      <c r="F253" s="7">
        <v>20</v>
      </c>
      <c r="G253" s="7" t="b">
        <v>0</v>
      </c>
      <c r="H253" s="7">
        <f t="shared" si="3"/>
        <v>2</v>
      </c>
      <c r="I253" s="7">
        <v>3</v>
      </c>
      <c r="J253" s="10">
        <v>0.16</v>
      </c>
      <c r="K253" s="1"/>
      <c r="L253" s="1"/>
      <c r="M253" s="1"/>
      <c r="N253" s="1"/>
      <c r="O253" s="1"/>
      <c r="P253" s="1"/>
      <c r="Q253" s="1"/>
      <c r="R253" s="1"/>
      <c r="S253" s="1"/>
      <c r="T253" s="1"/>
      <c r="U253" s="1"/>
      <c r="V253" s="1"/>
      <c r="W253" s="1"/>
      <c r="X253" s="1"/>
      <c r="Y253" s="1"/>
    </row>
    <row r="254" spans="1:25" ht="15" thickBot="1" x14ac:dyDescent="0.35">
      <c r="A254" s="9">
        <v>253</v>
      </c>
      <c r="B254" s="8">
        <v>40554</v>
      </c>
      <c r="C254" s="7">
        <v>1</v>
      </c>
      <c r="D254" s="7">
        <v>0</v>
      </c>
      <c r="E254" s="7">
        <v>1</v>
      </c>
      <c r="F254" s="7">
        <v>21</v>
      </c>
      <c r="G254" s="7" t="b">
        <v>0</v>
      </c>
      <c r="H254" s="7">
        <f t="shared" si="3"/>
        <v>2</v>
      </c>
      <c r="I254" s="7">
        <v>3</v>
      </c>
      <c r="J254" s="10">
        <v>0.16</v>
      </c>
      <c r="K254" s="1"/>
      <c r="L254" s="1"/>
      <c r="M254" s="1"/>
      <c r="N254" s="1"/>
      <c r="O254" s="1"/>
      <c r="P254" s="1"/>
      <c r="Q254" s="1"/>
      <c r="R254" s="1"/>
      <c r="S254" s="1"/>
      <c r="T254" s="1"/>
      <c r="U254" s="1"/>
      <c r="V254" s="1"/>
      <c r="W254" s="1"/>
      <c r="X254" s="1"/>
      <c r="Y254" s="1"/>
    </row>
    <row r="255" spans="1:25" ht="15" thickBot="1" x14ac:dyDescent="0.35">
      <c r="A255" s="9">
        <v>254</v>
      </c>
      <c r="B255" s="8">
        <v>40554</v>
      </c>
      <c r="C255" s="7">
        <v>1</v>
      </c>
      <c r="D255" s="7">
        <v>0</v>
      </c>
      <c r="E255" s="7">
        <v>1</v>
      </c>
      <c r="F255" s="7">
        <v>22</v>
      </c>
      <c r="G255" s="7" t="b">
        <v>0</v>
      </c>
      <c r="H255" s="7">
        <f t="shared" si="3"/>
        <v>2</v>
      </c>
      <c r="I255" s="7">
        <v>3</v>
      </c>
      <c r="J255" s="10">
        <v>0.16</v>
      </c>
      <c r="K255" s="1"/>
      <c r="L255" s="1"/>
      <c r="M255" s="1"/>
      <c r="N255" s="1"/>
      <c r="O255" s="1"/>
      <c r="P255" s="1"/>
      <c r="Q255" s="1"/>
      <c r="R255" s="1"/>
      <c r="S255" s="1"/>
      <c r="T255" s="1"/>
      <c r="U255" s="1"/>
      <c r="V255" s="1"/>
      <c r="W255" s="1"/>
      <c r="X255" s="1"/>
      <c r="Y255" s="1"/>
    </row>
    <row r="256" spans="1:25" ht="15" thickBot="1" x14ac:dyDescent="0.35">
      <c r="A256" s="9">
        <v>255</v>
      </c>
      <c r="B256" s="8">
        <v>40554</v>
      </c>
      <c r="C256" s="7">
        <v>1</v>
      </c>
      <c r="D256" s="7">
        <v>0</v>
      </c>
      <c r="E256" s="7">
        <v>1</v>
      </c>
      <c r="F256" s="7">
        <v>23</v>
      </c>
      <c r="G256" s="7" t="b">
        <v>0</v>
      </c>
      <c r="H256" s="7">
        <f t="shared" si="3"/>
        <v>2</v>
      </c>
      <c r="I256" s="7">
        <v>3</v>
      </c>
      <c r="J256" s="10">
        <v>0.16</v>
      </c>
      <c r="K256" s="1"/>
      <c r="L256" s="1"/>
      <c r="M256" s="1"/>
      <c r="N256" s="1"/>
      <c r="O256" s="1"/>
      <c r="P256" s="1"/>
      <c r="Q256" s="1"/>
      <c r="R256" s="1"/>
      <c r="S256" s="1"/>
      <c r="T256" s="1"/>
      <c r="U256" s="1"/>
      <c r="V256" s="1"/>
      <c r="W256" s="1"/>
      <c r="X256" s="1"/>
      <c r="Y256" s="1"/>
    </row>
    <row r="257" spans="1:25" ht="15" thickBot="1" x14ac:dyDescent="0.35">
      <c r="A257" s="9">
        <v>256</v>
      </c>
      <c r="B257" s="8">
        <v>40555</v>
      </c>
      <c r="C257" s="7">
        <v>1</v>
      </c>
      <c r="D257" s="7">
        <v>0</v>
      </c>
      <c r="E257" s="7">
        <v>1</v>
      </c>
      <c r="F257" s="7">
        <v>0</v>
      </c>
      <c r="G257" s="7" t="b">
        <v>0</v>
      </c>
      <c r="H257" s="7">
        <f t="shared" si="3"/>
        <v>3</v>
      </c>
      <c r="I257" s="7">
        <v>2</v>
      </c>
      <c r="J257" s="10">
        <v>0.16</v>
      </c>
      <c r="K257" s="1"/>
      <c r="L257" s="1"/>
      <c r="M257" s="1"/>
      <c r="N257" s="1"/>
      <c r="O257" s="1"/>
      <c r="P257" s="1"/>
      <c r="Q257" s="1"/>
      <c r="R257" s="1"/>
      <c r="S257" s="1"/>
      <c r="T257" s="1"/>
      <c r="U257" s="1"/>
      <c r="V257" s="1"/>
      <c r="W257" s="1"/>
      <c r="X257" s="1"/>
      <c r="Y257" s="1"/>
    </row>
    <row r="258" spans="1:25" ht="15" thickBot="1" x14ac:dyDescent="0.35">
      <c r="A258" s="9">
        <v>257</v>
      </c>
      <c r="B258" s="8">
        <v>40555</v>
      </c>
      <c r="C258" s="7">
        <v>1</v>
      </c>
      <c r="D258" s="7">
        <v>0</v>
      </c>
      <c r="E258" s="7">
        <v>1</v>
      </c>
      <c r="F258" s="7">
        <v>1</v>
      </c>
      <c r="G258" s="7" t="b">
        <v>0</v>
      </c>
      <c r="H258" s="7">
        <f t="shared" si="3"/>
        <v>3</v>
      </c>
      <c r="I258" s="7">
        <v>2</v>
      </c>
      <c r="J258" s="10">
        <v>0.16</v>
      </c>
      <c r="K258" s="1"/>
      <c r="L258" s="1"/>
      <c r="M258" s="1"/>
      <c r="N258" s="1"/>
      <c r="O258" s="1"/>
      <c r="P258" s="1"/>
      <c r="Q258" s="1"/>
      <c r="R258" s="1"/>
      <c r="S258" s="1"/>
      <c r="T258" s="1"/>
      <c r="U258" s="1"/>
      <c r="V258" s="1"/>
      <c r="W258" s="1"/>
      <c r="X258" s="1"/>
      <c r="Y258" s="1"/>
    </row>
    <row r="259" spans="1:25" ht="15" thickBot="1" x14ac:dyDescent="0.35">
      <c r="A259" s="9">
        <v>258</v>
      </c>
      <c r="B259" s="8">
        <v>40555</v>
      </c>
      <c r="C259" s="7">
        <v>1</v>
      </c>
      <c r="D259" s="7">
        <v>0</v>
      </c>
      <c r="E259" s="7">
        <v>1</v>
      </c>
      <c r="F259" s="7">
        <v>2</v>
      </c>
      <c r="G259" s="7" t="b">
        <v>0</v>
      </c>
      <c r="H259" s="7">
        <f t="shared" ref="H259:H322" si="4">WEEKDAY($B259,2)</f>
        <v>3</v>
      </c>
      <c r="I259" s="7">
        <v>1</v>
      </c>
      <c r="J259" s="10">
        <v>0.14000000000000001</v>
      </c>
      <c r="K259" s="1"/>
      <c r="L259" s="1"/>
      <c r="M259" s="1"/>
      <c r="N259" s="1"/>
      <c r="O259" s="1"/>
      <c r="P259" s="1"/>
      <c r="Q259" s="1"/>
      <c r="R259" s="1"/>
      <c r="S259" s="1"/>
      <c r="T259" s="1"/>
      <c r="U259" s="1"/>
      <c r="V259" s="1"/>
      <c r="W259" s="1"/>
      <c r="X259" s="1"/>
      <c r="Y259" s="1"/>
    </row>
    <row r="260" spans="1:25" ht="15" thickBot="1" x14ac:dyDescent="0.35">
      <c r="A260" s="9">
        <v>259</v>
      </c>
      <c r="B260" s="8">
        <v>40555</v>
      </c>
      <c r="C260" s="7">
        <v>1</v>
      </c>
      <c r="D260" s="7">
        <v>0</v>
      </c>
      <c r="E260" s="7">
        <v>1</v>
      </c>
      <c r="F260" s="7">
        <v>5</v>
      </c>
      <c r="G260" s="7" t="b">
        <v>0</v>
      </c>
      <c r="H260" s="7">
        <f t="shared" si="4"/>
        <v>3</v>
      </c>
      <c r="I260" s="7">
        <v>1</v>
      </c>
      <c r="J260" s="10">
        <v>0.14000000000000001</v>
      </c>
      <c r="K260" s="1"/>
      <c r="L260" s="1"/>
      <c r="M260" s="1"/>
      <c r="N260" s="1"/>
      <c r="O260" s="1"/>
      <c r="P260" s="1"/>
      <c r="Q260" s="1"/>
      <c r="R260" s="1"/>
      <c r="S260" s="1"/>
      <c r="T260" s="1"/>
      <c r="U260" s="1"/>
      <c r="V260" s="1"/>
      <c r="W260" s="1"/>
      <c r="X260" s="1"/>
      <c r="Y260" s="1"/>
    </row>
    <row r="261" spans="1:25" ht="15" thickBot="1" x14ac:dyDescent="0.35">
      <c r="A261" s="9">
        <v>260</v>
      </c>
      <c r="B261" s="8">
        <v>40555</v>
      </c>
      <c r="C261" s="7">
        <v>1</v>
      </c>
      <c r="D261" s="7">
        <v>0</v>
      </c>
      <c r="E261" s="7">
        <v>1</v>
      </c>
      <c r="F261" s="7">
        <v>6</v>
      </c>
      <c r="G261" s="7" t="b">
        <v>0</v>
      </c>
      <c r="H261" s="7">
        <f t="shared" si="4"/>
        <v>3</v>
      </c>
      <c r="I261" s="7">
        <v>1</v>
      </c>
      <c r="J261" s="10">
        <v>0.12</v>
      </c>
      <c r="K261" s="1"/>
      <c r="L261" s="1"/>
      <c r="M261" s="1"/>
      <c r="N261" s="1"/>
      <c r="O261" s="1"/>
      <c r="P261" s="1"/>
      <c r="Q261" s="1"/>
      <c r="R261" s="1"/>
      <c r="S261" s="1"/>
      <c r="T261" s="1"/>
      <c r="U261" s="1"/>
      <c r="V261" s="1"/>
      <c r="W261" s="1"/>
      <c r="X261" s="1"/>
      <c r="Y261" s="1"/>
    </row>
    <row r="262" spans="1:25" ht="15" thickBot="1" x14ac:dyDescent="0.35">
      <c r="A262" s="9">
        <v>261</v>
      </c>
      <c r="B262" s="8">
        <v>40555</v>
      </c>
      <c r="C262" s="7">
        <v>1</v>
      </c>
      <c r="D262" s="7">
        <v>0</v>
      </c>
      <c r="E262" s="7">
        <v>1</v>
      </c>
      <c r="F262" s="7">
        <v>7</v>
      </c>
      <c r="G262" s="7" t="b">
        <v>0</v>
      </c>
      <c r="H262" s="7">
        <f t="shared" si="4"/>
        <v>3</v>
      </c>
      <c r="I262" s="7">
        <v>1</v>
      </c>
      <c r="J262" s="10">
        <v>0.14000000000000001</v>
      </c>
      <c r="K262" s="1"/>
      <c r="L262" s="1"/>
      <c r="M262" s="1"/>
      <c r="N262" s="1"/>
      <c r="O262" s="1"/>
      <c r="P262" s="1"/>
      <c r="Q262" s="1"/>
      <c r="R262" s="1"/>
      <c r="S262" s="1"/>
      <c r="T262" s="1"/>
      <c r="U262" s="1"/>
      <c r="V262" s="1"/>
      <c r="W262" s="1"/>
      <c r="X262" s="1"/>
      <c r="Y262" s="1"/>
    </row>
    <row r="263" spans="1:25" ht="15" thickBot="1" x14ac:dyDescent="0.35">
      <c r="A263" s="9">
        <v>262</v>
      </c>
      <c r="B263" s="8">
        <v>40555</v>
      </c>
      <c r="C263" s="7">
        <v>1</v>
      </c>
      <c r="D263" s="7">
        <v>0</v>
      </c>
      <c r="E263" s="7">
        <v>1</v>
      </c>
      <c r="F263" s="7">
        <v>8</v>
      </c>
      <c r="G263" s="7" t="b">
        <v>0</v>
      </c>
      <c r="H263" s="7">
        <f t="shared" si="4"/>
        <v>3</v>
      </c>
      <c r="I263" s="7">
        <v>1</v>
      </c>
      <c r="J263" s="10">
        <v>0.16</v>
      </c>
      <c r="K263" s="1"/>
      <c r="L263" s="1"/>
      <c r="M263" s="1"/>
      <c r="N263" s="1"/>
      <c r="O263" s="1"/>
      <c r="P263" s="1"/>
      <c r="Q263" s="1"/>
      <c r="R263" s="1"/>
      <c r="S263" s="1"/>
      <c r="T263" s="1"/>
      <c r="U263" s="1"/>
      <c r="V263" s="1"/>
      <c r="W263" s="1"/>
      <c r="X263" s="1"/>
      <c r="Y263" s="1"/>
    </row>
    <row r="264" spans="1:25" ht="15" thickBot="1" x14ac:dyDescent="0.35">
      <c r="A264" s="9">
        <v>263</v>
      </c>
      <c r="B264" s="8">
        <v>40555</v>
      </c>
      <c r="C264" s="7">
        <v>1</v>
      </c>
      <c r="D264" s="7">
        <v>0</v>
      </c>
      <c r="E264" s="7">
        <v>1</v>
      </c>
      <c r="F264" s="7">
        <v>9</v>
      </c>
      <c r="G264" s="7" t="b">
        <v>0</v>
      </c>
      <c r="H264" s="7">
        <f t="shared" si="4"/>
        <v>3</v>
      </c>
      <c r="I264" s="7">
        <v>1</v>
      </c>
      <c r="J264" s="10">
        <v>0.16</v>
      </c>
      <c r="K264" s="1"/>
      <c r="L264" s="1"/>
      <c r="M264" s="1"/>
      <c r="N264" s="1"/>
      <c r="O264" s="1"/>
      <c r="P264" s="1"/>
      <c r="Q264" s="1"/>
      <c r="R264" s="1"/>
      <c r="S264" s="1"/>
      <c r="T264" s="1"/>
      <c r="U264" s="1"/>
      <c r="V264" s="1"/>
      <c r="W264" s="1"/>
      <c r="X264" s="1"/>
      <c r="Y264" s="1"/>
    </row>
    <row r="265" spans="1:25" ht="15" thickBot="1" x14ac:dyDescent="0.35">
      <c r="A265" s="9">
        <v>264</v>
      </c>
      <c r="B265" s="8">
        <v>40555</v>
      </c>
      <c r="C265" s="7">
        <v>1</v>
      </c>
      <c r="D265" s="7">
        <v>0</v>
      </c>
      <c r="E265" s="7">
        <v>1</v>
      </c>
      <c r="F265" s="7">
        <v>10</v>
      </c>
      <c r="G265" s="7" t="b">
        <v>0</v>
      </c>
      <c r="H265" s="7">
        <f t="shared" si="4"/>
        <v>3</v>
      </c>
      <c r="I265" s="7">
        <v>1</v>
      </c>
      <c r="J265" s="10">
        <v>0.18</v>
      </c>
      <c r="K265" s="1"/>
      <c r="L265" s="1"/>
      <c r="M265" s="1"/>
      <c r="N265" s="1"/>
      <c r="O265" s="1"/>
      <c r="P265" s="1"/>
      <c r="Q265" s="1"/>
      <c r="R265" s="1"/>
      <c r="S265" s="1"/>
      <c r="T265" s="1"/>
      <c r="U265" s="1"/>
      <c r="V265" s="1"/>
      <c r="W265" s="1"/>
      <c r="X265" s="1"/>
      <c r="Y265" s="1"/>
    </row>
    <row r="266" spans="1:25" ht="15" thickBot="1" x14ac:dyDescent="0.35">
      <c r="A266" s="9">
        <v>265</v>
      </c>
      <c r="B266" s="8">
        <v>40555</v>
      </c>
      <c r="C266" s="7">
        <v>1</v>
      </c>
      <c r="D266" s="7">
        <v>0</v>
      </c>
      <c r="E266" s="7">
        <v>1</v>
      </c>
      <c r="F266" s="7">
        <v>11</v>
      </c>
      <c r="G266" s="7" t="b">
        <v>0</v>
      </c>
      <c r="H266" s="7">
        <f t="shared" si="4"/>
        <v>3</v>
      </c>
      <c r="I266" s="7">
        <v>1</v>
      </c>
      <c r="J266" s="10">
        <v>0.2</v>
      </c>
      <c r="K266" s="1"/>
      <c r="L266" s="1"/>
      <c r="M266" s="1"/>
      <c r="N266" s="1"/>
      <c r="O266" s="1"/>
      <c r="P266" s="1"/>
      <c r="Q266" s="1"/>
      <c r="R266" s="1"/>
      <c r="S266" s="1"/>
      <c r="T266" s="1"/>
      <c r="U266" s="1"/>
      <c r="V266" s="1"/>
      <c r="W266" s="1"/>
      <c r="X266" s="1"/>
      <c r="Y266" s="1"/>
    </row>
    <row r="267" spans="1:25" ht="15" thickBot="1" x14ac:dyDescent="0.35">
      <c r="A267" s="9">
        <v>266</v>
      </c>
      <c r="B267" s="8">
        <v>40555</v>
      </c>
      <c r="C267" s="7">
        <v>1</v>
      </c>
      <c r="D267" s="7">
        <v>0</v>
      </c>
      <c r="E267" s="7">
        <v>1</v>
      </c>
      <c r="F267" s="7">
        <v>12</v>
      </c>
      <c r="G267" s="7" t="b">
        <v>0</v>
      </c>
      <c r="H267" s="7">
        <f t="shared" si="4"/>
        <v>3</v>
      </c>
      <c r="I267" s="7">
        <v>1</v>
      </c>
      <c r="J267" s="10">
        <v>0.2</v>
      </c>
      <c r="K267" s="1"/>
      <c r="L267" s="1"/>
      <c r="M267" s="1"/>
      <c r="N267" s="1"/>
      <c r="O267" s="1"/>
      <c r="P267" s="1"/>
      <c r="Q267" s="1"/>
      <c r="R267" s="1"/>
      <c r="S267" s="1"/>
      <c r="T267" s="1"/>
      <c r="U267" s="1"/>
      <c r="V267" s="1"/>
      <c r="W267" s="1"/>
      <c r="X267" s="1"/>
      <c r="Y267" s="1"/>
    </row>
    <row r="268" spans="1:25" ht="15" thickBot="1" x14ac:dyDescent="0.35">
      <c r="A268" s="9">
        <v>267</v>
      </c>
      <c r="B268" s="8">
        <v>40555</v>
      </c>
      <c r="C268" s="7">
        <v>1</v>
      </c>
      <c r="D268" s="7">
        <v>0</v>
      </c>
      <c r="E268" s="7">
        <v>1</v>
      </c>
      <c r="F268" s="7">
        <v>13</v>
      </c>
      <c r="G268" s="7" t="b">
        <v>0</v>
      </c>
      <c r="H268" s="7">
        <f t="shared" si="4"/>
        <v>3</v>
      </c>
      <c r="I268" s="7">
        <v>1</v>
      </c>
      <c r="J268" s="10">
        <v>0.22</v>
      </c>
      <c r="K268" s="1"/>
      <c r="L268" s="1"/>
      <c r="M268" s="1"/>
      <c r="N268" s="1"/>
      <c r="O268" s="1"/>
      <c r="P268" s="1"/>
      <c r="Q268" s="1"/>
      <c r="R268" s="1"/>
      <c r="S268" s="1"/>
      <c r="T268" s="1"/>
      <c r="U268" s="1"/>
      <c r="V268" s="1"/>
      <c r="W268" s="1"/>
      <c r="X268" s="1"/>
      <c r="Y268" s="1"/>
    </row>
    <row r="269" spans="1:25" ht="15" thickBot="1" x14ac:dyDescent="0.35">
      <c r="A269" s="9">
        <v>268</v>
      </c>
      <c r="B269" s="8">
        <v>40555</v>
      </c>
      <c r="C269" s="7">
        <v>1</v>
      </c>
      <c r="D269" s="7">
        <v>0</v>
      </c>
      <c r="E269" s="7">
        <v>1</v>
      </c>
      <c r="F269" s="7">
        <v>14</v>
      </c>
      <c r="G269" s="7" t="b">
        <v>0</v>
      </c>
      <c r="H269" s="7">
        <f t="shared" si="4"/>
        <v>3</v>
      </c>
      <c r="I269" s="7">
        <v>1</v>
      </c>
      <c r="J269" s="10">
        <v>0.2</v>
      </c>
      <c r="K269" s="1"/>
      <c r="L269" s="1"/>
      <c r="M269" s="1"/>
      <c r="N269" s="1"/>
      <c r="O269" s="1"/>
      <c r="P269" s="1"/>
      <c r="Q269" s="1"/>
      <c r="R269" s="1"/>
      <c r="S269" s="1"/>
      <c r="T269" s="1"/>
      <c r="U269" s="1"/>
      <c r="V269" s="1"/>
      <c r="W269" s="1"/>
      <c r="X269" s="1"/>
      <c r="Y269" s="1"/>
    </row>
    <row r="270" spans="1:25" ht="15" thickBot="1" x14ac:dyDescent="0.35">
      <c r="A270" s="9">
        <v>269</v>
      </c>
      <c r="B270" s="8">
        <v>40555</v>
      </c>
      <c r="C270" s="7">
        <v>1</v>
      </c>
      <c r="D270" s="7">
        <v>0</v>
      </c>
      <c r="E270" s="7">
        <v>1</v>
      </c>
      <c r="F270" s="7">
        <v>15</v>
      </c>
      <c r="G270" s="7" t="b">
        <v>0</v>
      </c>
      <c r="H270" s="7">
        <f t="shared" si="4"/>
        <v>3</v>
      </c>
      <c r="I270" s="7">
        <v>1</v>
      </c>
      <c r="J270" s="10">
        <v>0.2</v>
      </c>
      <c r="K270" s="1"/>
      <c r="L270" s="1"/>
      <c r="M270" s="1"/>
      <c r="N270" s="1"/>
      <c r="O270" s="1"/>
      <c r="P270" s="1"/>
      <c r="Q270" s="1"/>
      <c r="R270" s="1"/>
      <c r="S270" s="1"/>
      <c r="T270" s="1"/>
      <c r="U270" s="1"/>
      <c r="V270" s="1"/>
      <c r="W270" s="1"/>
      <c r="X270" s="1"/>
      <c r="Y270" s="1"/>
    </row>
    <row r="271" spans="1:25" ht="15" thickBot="1" x14ac:dyDescent="0.35">
      <c r="A271" s="9">
        <v>270</v>
      </c>
      <c r="B271" s="8">
        <v>40555</v>
      </c>
      <c r="C271" s="7">
        <v>1</v>
      </c>
      <c r="D271" s="7">
        <v>0</v>
      </c>
      <c r="E271" s="7">
        <v>1</v>
      </c>
      <c r="F271" s="7">
        <v>16</v>
      </c>
      <c r="G271" s="7" t="b">
        <v>0</v>
      </c>
      <c r="H271" s="7">
        <f t="shared" si="4"/>
        <v>3</v>
      </c>
      <c r="I271" s="7">
        <v>1</v>
      </c>
      <c r="J271" s="10">
        <v>0.22</v>
      </c>
      <c r="K271" s="1"/>
      <c r="L271" s="1"/>
      <c r="M271" s="1"/>
      <c r="N271" s="1"/>
      <c r="O271" s="1"/>
      <c r="P271" s="1"/>
      <c r="Q271" s="1"/>
      <c r="R271" s="1"/>
      <c r="S271" s="1"/>
      <c r="T271" s="1"/>
      <c r="U271" s="1"/>
      <c r="V271" s="1"/>
      <c r="W271" s="1"/>
      <c r="X271" s="1"/>
      <c r="Y271" s="1"/>
    </row>
    <row r="272" spans="1:25" ht="15" thickBot="1" x14ac:dyDescent="0.35">
      <c r="A272" s="9">
        <v>271</v>
      </c>
      <c r="B272" s="8">
        <v>40555</v>
      </c>
      <c r="C272" s="7">
        <v>1</v>
      </c>
      <c r="D272" s="7">
        <v>0</v>
      </c>
      <c r="E272" s="7">
        <v>1</v>
      </c>
      <c r="F272" s="7">
        <v>17</v>
      </c>
      <c r="G272" s="7" t="b">
        <v>0</v>
      </c>
      <c r="H272" s="7">
        <f t="shared" si="4"/>
        <v>3</v>
      </c>
      <c r="I272" s="7">
        <v>1</v>
      </c>
      <c r="J272" s="10">
        <v>0.2</v>
      </c>
      <c r="K272" s="1"/>
      <c r="L272" s="1"/>
      <c r="M272" s="1"/>
      <c r="N272" s="1"/>
      <c r="O272" s="1"/>
      <c r="P272" s="1"/>
      <c r="Q272" s="1"/>
      <c r="R272" s="1"/>
      <c r="S272" s="1"/>
      <c r="T272" s="1"/>
      <c r="U272" s="1"/>
      <c r="V272" s="1"/>
      <c r="W272" s="1"/>
      <c r="X272" s="1"/>
      <c r="Y272" s="1"/>
    </row>
    <row r="273" spans="1:25" ht="15" thickBot="1" x14ac:dyDescent="0.35">
      <c r="A273" s="9">
        <v>272</v>
      </c>
      <c r="B273" s="8">
        <v>40555</v>
      </c>
      <c r="C273" s="7">
        <v>1</v>
      </c>
      <c r="D273" s="7">
        <v>0</v>
      </c>
      <c r="E273" s="7">
        <v>1</v>
      </c>
      <c r="F273" s="7">
        <v>18</v>
      </c>
      <c r="G273" s="7" t="b">
        <v>0</v>
      </c>
      <c r="H273" s="7">
        <f t="shared" si="4"/>
        <v>3</v>
      </c>
      <c r="I273" s="7">
        <v>1</v>
      </c>
      <c r="J273" s="10">
        <v>0.2</v>
      </c>
      <c r="K273" s="1"/>
      <c r="L273" s="1"/>
      <c r="M273" s="1"/>
      <c r="N273" s="1"/>
      <c r="O273" s="1"/>
      <c r="P273" s="1"/>
      <c r="Q273" s="1"/>
      <c r="R273" s="1"/>
      <c r="S273" s="1"/>
      <c r="T273" s="1"/>
      <c r="U273" s="1"/>
      <c r="V273" s="1"/>
      <c r="W273" s="1"/>
      <c r="X273" s="1"/>
      <c r="Y273" s="1"/>
    </row>
    <row r="274" spans="1:25" ht="15" thickBot="1" x14ac:dyDescent="0.35">
      <c r="A274" s="9">
        <v>273</v>
      </c>
      <c r="B274" s="8">
        <v>40555</v>
      </c>
      <c r="C274" s="7">
        <v>1</v>
      </c>
      <c r="D274" s="7">
        <v>0</v>
      </c>
      <c r="E274" s="7">
        <v>1</v>
      </c>
      <c r="F274" s="7">
        <v>19</v>
      </c>
      <c r="G274" s="7" t="b">
        <v>0</v>
      </c>
      <c r="H274" s="7">
        <f t="shared" si="4"/>
        <v>3</v>
      </c>
      <c r="I274" s="7">
        <v>1</v>
      </c>
      <c r="J274" s="10">
        <v>0.18</v>
      </c>
      <c r="K274" s="1"/>
      <c r="L274" s="1"/>
      <c r="M274" s="1"/>
      <c r="N274" s="1"/>
      <c r="O274" s="1"/>
      <c r="P274" s="1"/>
      <c r="Q274" s="1"/>
      <c r="R274" s="1"/>
      <c r="S274" s="1"/>
      <c r="T274" s="1"/>
      <c r="U274" s="1"/>
      <c r="V274" s="1"/>
      <c r="W274" s="1"/>
      <c r="X274" s="1"/>
      <c r="Y274" s="1"/>
    </row>
    <row r="275" spans="1:25" ht="15" thickBot="1" x14ac:dyDescent="0.35">
      <c r="A275" s="9">
        <v>274</v>
      </c>
      <c r="B275" s="8">
        <v>40555</v>
      </c>
      <c r="C275" s="7">
        <v>1</v>
      </c>
      <c r="D275" s="7">
        <v>0</v>
      </c>
      <c r="E275" s="7">
        <v>1</v>
      </c>
      <c r="F275" s="7">
        <v>20</v>
      </c>
      <c r="G275" s="7" t="b">
        <v>0</v>
      </c>
      <c r="H275" s="7">
        <f t="shared" si="4"/>
        <v>3</v>
      </c>
      <c r="I275" s="7">
        <v>1</v>
      </c>
      <c r="J275" s="10">
        <v>0.16</v>
      </c>
      <c r="K275" s="1"/>
      <c r="L275" s="1"/>
      <c r="M275" s="1"/>
      <c r="N275" s="1"/>
      <c r="O275" s="1"/>
      <c r="P275" s="1"/>
      <c r="Q275" s="1"/>
      <c r="R275" s="1"/>
      <c r="S275" s="1"/>
      <c r="T275" s="1"/>
      <c r="U275" s="1"/>
      <c r="V275" s="1"/>
      <c r="W275" s="1"/>
      <c r="X275" s="1"/>
      <c r="Y275" s="1"/>
    </row>
    <row r="276" spans="1:25" ht="15" thickBot="1" x14ac:dyDescent="0.35">
      <c r="A276" s="9">
        <v>275</v>
      </c>
      <c r="B276" s="8">
        <v>40555</v>
      </c>
      <c r="C276" s="7">
        <v>1</v>
      </c>
      <c r="D276" s="7">
        <v>0</v>
      </c>
      <c r="E276" s="7">
        <v>1</v>
      </c>
      <c r="F276" s="7">
        <v>21</v>
      </c>
      <c r="G276" s="7" t="b">
        <v>0</v>
      </c>
      <c r="H276" s="7">
        <f t="shared" si="4"/>
        <v>3</v>
      </c>
      <c r="I276" s="7">
        <v>1</v>
      </c>
      <c r="J276" s="10">
        <v>0.16</v>
      </c>
      <c r="K276" s="1"/>
      <c r="L276" s="1"/>
      <c r="M276" s="1"/>
      <c r="N276" s="1"/>
      <c r="O276" s="1"/>
      <c r="P276" s="1"/>
      <c r="Q276" s="1"/>
      <c r="R276" s="1"/>
      <c r="S276" s="1"/>
      <c r="T276" s="1"/>
      <c r="U276" s="1"/>
      <c r="V276" s="1"/>
      <c r="W276" s="1"/>
      <c r="X276" s="1"/>
      <c r="Y276" s="1"/>
    </row>
    <row r="277" spans="1:25" ht="15" thickBot="1" x14ac:dyDescent="0.35">
      <c r="A277" s="9">
        <v>276</v>
      </c>
      <c r="B277" s="8">
        <v>40555</v>
      </c>
      <c r="C277" s="7">
        <v>1</v>
      </c>
      <c r="D277" s="7">
        <v>0</v>
      </c>
      <c r="E277" s="7">
        <v>1</v>
      </c>
      <c r="F277" s="7">
        <v>22</v>
      </c>
      <c r="G277" s="7" t="b">
        <v>0</v>
      </c>
      <c r="H277" s="7">
        <f t="shared" si="4"/>
        <v>3</v>
      </c>
      <c r="I277" s="7">
        <v>1</v>
      </c>
      <c r="J277" s="10">
        <v>0.16</v>
      </c>
      <c r="K277" s="1"/>
      <c r="L277" s="1"/>
      <c r="M277" s="1"/>
      <c r="N277" s="1"/>
      <c r="O277" s="1"/>
      <c r="P277" s="1"/>
      <c r="Q277" s="1"/>
      <c r="R277" s="1"/>
      <c r="S277" s="1"/>
      <c r="T277" s="1"/>
      <c r="U277" s="1"/>
      <c r="V277" s="1"/>
      <c r="W277" s="1"/>
      <c r="X277" s="1"/>
      <c r="Y277" s="1"/>
    </row>
    <row r="278" spans="1:25" ht="15" thickBot="1" x14ac:dyDescent="0.35">
      <c r="A278" s="9">
        <v>277</v>
      </c>
      <c r="B278" s="8">
        <v>40555</v>
      </c>
      <c r="C278" s="7">
        <v>1</v>
      </c>
      <c r="D278" s="7">
        <v>0</v>
      </c>
      <c r="E278" s="7">
        <v>1</v>
      </c>
      <c r="F278" s="7">
        <v>23</v>
      </c>
      <c r="G278" s="7" t="b">
        <v>0</v>
      </c>
      <c r="H278" s="7">
        <f t="shared" si="4"/>
        <v>3</v>
      </c>
      <c r="I278" s="7">
        <v>1</v>
      </c>
      <c r="J278" s="10">
        <v>0.14000000000000001</v>
      </c>
      <c r="K278" s="1"/>
      <c r="L278" s="1"/>
      <c r="M278" s="1"/>
      <c r="N278" s="1"/>
      <c r="O278" s="1"/>
      <c r="P278" s="1"/>
      <c r="Q278" s="1"/>
      <c r="R278" s="1"/>
      <c r="S278" s="1"/>
      <c r="T278" s="1"/>
      <c r="U278" s="1"/>
      <c r="V278" s="1"/>
      <c r="W278" s="1"/>
      <c r="X278" s="1"/>
      <c r="Y278" s="1"/>
    </row>
    <row r="279" spans="1:25" ht="15" thickBot="1" x14ac:dyDescent="0.35">
      <c r="A279" s="9">
        <v>278</v>
      </c>
      <c r="B279" s="8">
        <v>40921</v>
      </c>
      <c r="C279" s="7">
        <v>1</v>
      </c>
      <c r="D279" s="7">
        <v>0</v>
      </c>
      <c r="E279" s="7">
        <v>1</v>
      </c>
      <c r="F279" s="7">
        <v>0</v>
      </c>
      <c r="G279" s="7" t="b">
        <v>0</v>
      </c>
      <c r="H279" s="7">
        <f t="shared" si="4"/>
        <v>5</v>
      </c>
      <c r="I279" s="7">
        <v>1</v>
      </c>
      <c r="J279" s="10">
        <v>0.14000000000000001</v>
      </c>
      <c r="K279" s="1"/>
      <c r="L279" s="1"/>
      <c r="M279" s="1"/>
      <c r="N279" s="1"/>
      <c r="O279" s="1"/>
      <c r="P279" s="1"/>
      <c r="Q279" s="1"/>
      <c r="R279" s="1"/>
      <c r="S279" s="1"/>
      <c r="T279" s="1"/>
      <c r="U279" s="1"/>
      <c r="V279" s="1"/>
      <c r="W279" s="1"/>
      <c r="X279" s="1"/>
      <c r="Y279" s="1"/>
    </row>
    <row r="280" spans="1:25" ht="15" thickBot="1" x14ac:dyDescent="0.35">
      <c r="A280" s="9">
        <v>279</v>
      </c>
      <c r="B280" s="8">
        <v>40921</v>
      </c>
      <c r="C280" s="7">
        <v>1</v>
      </c>
      <c r="D280" s="7">
        <v>0</v>
      </c>
      <c r="E280" s="7">
        <v>1</v>
      </c>
      <c r="F280" s="7">
        <v>1</v>
      </c>
      <c r="G280" s="7" t="b">
        <v>0</v>
      </c>
      <c r="H280" s="7">
        <f t="shared" si="4"/>
        <v>5</v>
      </c>
      <c r="I280" s="7">
        <v>1</v>
      </c>
      <c r="J280" s="10">
        <v>0.14000000000000001</v>
      </c>
      <c r="K280" s="1"/>
      <c r="L280" s="1"/>
      <c r="M280" s="1"/>
      <c r="N280" s="1"/>
      <c r="O280" s="1"/>
      <c r="P280" s="1"/>
      <c r="Q280" s="1"/>
      <c r="R280" s="1"/>
      <c r="S280" s="1"/>
      <c r="T280" s="1"/>
      <c r="U280" s="1"/>
      <c r="V280" s="1"/>
      <c r="W280" s="1"/>
      <c r="X280" s="1"/>
      <c r="Y280" s="1"/>
    </row>
    <row r="281" spans="1:25" ht="15" thickBot="1" x14ac:dyDescent="0.35">
      <c r="A281" s="9">
        <v>280</v>
      </c>
      <c r="B281" s="8">
        <v>40921</v>
      </c>
      <c r="C281" s="7">
        <v>1</v>
      </c>
      <c r="D281" s="7">
        <v>0</v>
      </c>
      <c r="E281" s="7">
        <v>1</v>
      </c>
      <c r="F281" s="7">
        <v>2</v>
      </c>
      <c r="G281" s="7" t="b">
        <v>0</v>
      </c>
      <c r="H281" s="7">
        <f t="shared" si="4"/>
        <v>5</v>
      </c>
      <c r="I281" s="7">
        <v>1</v>
      </c>
      <c r="J281" s="10">
        <v>0.14000000000000001</v>
      </c>
      <c r="K281" s="1"/>
      <c r="L281" s="1"/>
      <c r="M281" s="1"/>
      <c r="N281" s="1"/>
      <c r="O281" s="1"/>
      <c r="P281" s="1"/>
      <c r="Q281" s="1"/>
      <c r="R281" s="1"/>
      <c r="S281" s="1"/>
      <c r="T281" s="1"/>
      <c r="U281" s="1"/>
      <c r="V281" s="1"/>
      <c r="W281" s="1"/>
      <c r="X281" s="1"/>
      <c r="Y281" s="1"/>
    </row>
    <row r="282" spans="1:25" ht="15" thickBot="1" x14ac:dyDescent="0.35">
      <c r="A282" s="9">
        <v>281</v>
      </c>
      <c r="B282" s="8">
        <v>40921</v>
      </c>
      <c r="C282" s="7">
        <v>1</v>
      </c>
      <c r="D282" s="7">
        <v>0</v>
      </c>
      <c r="E282" s="7">
        <v>1</v>
      </c>
      <c r="F282" s="7">
        <v>3</v>
      </c>
      <c r="G282" s="7" t="b">
        <v>0</v>
      </c>
      <c r="H282" s="7">
        <f t="shared" si="4"/>
        <v>5</v>
      </c>
      <c r="I282" s="7">
        <v>1</v>
      </c>
      <c r="J282" s="10">
        <v>0.14000000000000001</v>
      </c>
      <c r="K282" s="1"/>
      <c r="L282" s="1"/>
      <c r="M282" s="1"/>
      <c r="N282" s="1"/>
      <c r="O282" s="1"/>
      <c r="P282" s="1"/>
      <c r="Q282" s="1"/>
      <c r="R282" s="1"/>
      <c r="S282" s="1"/>
      <c r="T282" s="1"/>
      <c r="U282" s="1"/>
      <c r="V282" s="1"/>
      <c r="W282" s="1"/>
      <c r="X282" s="1"/>
      <c r="Y282" s="1"/>
    </row>
    <row r="283" spans="1:25" ht="15" thickBot="1" x14ac:dyDescent="0.35">
      <c r="A283" s="9">
        <v>282</v>
      </c>
      <c r="B283" s="8">
        <v>40921</v>
      </c>
      <c r="C283" s="7">
        <v>1</v>
      </c>
      <c r="D283" s="7">
        <v>0</v>
      </c>
      <c r="E283" s="7">
        <v>1</v>
      </c>
      <c r="F283" s="7">
        <v>4</v>
      </c>
      <c r="G283" s="7" t="b">
        <v>0</v>
      </c>
      <c r="H283" s="7">
        <f t="shared" si="4"/>
        <v>5</v>
      </c>
      <c r="I283" s="7">
        <v>1</v>
      </c>
      <c r="J283" s="10">
        <v>0.14000000000000001</v>
      </c>
      <c r="K283" s="1"/>
      <c r="L283" s="1"/>
      <c r="M283" s="1"/>
      <c r="N283" s="1"/>
      <c r="O283" s="1"/>
      <c r="P283" s="1"/>
      <c r="Q283" s="1"/>
      <c r="R283" s="1"/>
      <c r="S283" s="1"/>
      <c r="T283" s="1"/>
      <c r="U283" s="1"/>
      <c r="V283" s="1"/>
      <c r="W283" s="1"/>
      <c r="X283" s="1"/>
      <c r="Y283" s="1"/>
    </row>
    <row r="284" spans="1:25" ht="15" thickBot="1" x14ac:dyDescent="0.35">
      <c r="A284" s="9">
        <v>283</v>
      </c>
      <c r="B284" s="8">
        <v>40921</v>
      </c>
      <c r="C284" s="7">
        <v>1</v>
      </c>
      <c r="D284" s="7">
        <v>0</v>
      </c>
      <c r="E284" s="7">
        <v>1</v>
      </c>
      <c r="F284" s="7">
        <v>5</v>
      </c>
      <c r="G284" s="7" t="b">
        <v>0</v>
      </c>
      <c r="H284" s="7">
        <f t="shared" si="4"/>
        <v>5</v>
      </c>
      <c r="I284" s="7">
        <v>1</v>
      </c>
      <c r="J284" s="10">
        <v>0.14000000000000001</v>
      </c>
      <c r="K284" s="1"/>
      <c r="L284" s="1"/>
      <c r="M284" s="1"/>
      <c r="N284" s="1"/>
      <c r="O284" s="1"/>
      <c r="P284" s="1"/>
      <c r="Q284" s="1"/>
      <c r="R284" s="1"/>
      <c r="S284" s="1"/>
      <c r="T284" s="1"/>
      <c r="U284" s="1"/>
      <c r="V284" s="1"/>
      <c r="W284" s="1"/>
      <c r="X284" s="1"/>
      <c r="Y284" s="1"/>
    </row>
    <row r="285" spans="1:25" ht="15" thickBot="1" x14ac:dyDescent="0.35">
      <c r="A285" s="9">
        <v>284</v>
      </c>
      <c r="B285" s="8">
        <v>40921</v>
      </c>
      <c r="C285" s="7">
        <v>1</v>
      </c>
      <c r="D285" s="7">
        <v>0</v>
      </c>
      <c r="E285" s="7">
        <v>1</v>
      </c>
      <c r="F285" s="7">
        <v>6</v>
      </c>
      <c r="G285" s="7" t="b">
        <v>0</v>
      </c>
      <c r="H285" s="7">
        <f t="shared" si="4"/>
        <v>5</v>
      </c>
      <c r="I285" s="7">
        <v>1</v>
      </c>
      <c r="J285" s="10">
        <v>0.12</v>
      </c>
      <c r="K285" s="1"/>
      <c r="L285" s="1"/>
      <c r="M285" s="1"/>
      <c r="N285" s="1"/>
      <c r="O285" s="1"/>
      <c r="P285" s="1"/>
      <c r="Q285" s="1"/>
      <c r="R285" s="1"/>
      <c r="S285" s="1"/>
      <c r="T285" s="1"/>
      <c r="U285" s="1"/>
      <c r="V285" s="1"/>
      <c r="W285" s="1"/>
      <c r="X285" s="1"/>
      <c r="Y285" s="1"/>
    </row>
    <row r="286" spans="1:25" ht="15" thickBot="1" x14ac:dyDescent="0.35">
      <c r="A286" s="9">
        <v>285</v>
      </c>
      <c r="B286" s="8">
        <v>40921</v>
      </c>
      <c r="C286" s="7">
        <v>1</v>
      </c>
      <c r="D286" s="7">
        <v>0</v>
      </c>
      <c r="E286" s="7">
        <v>1</v>
      </c>
      <c r="F286" s="7">
        <v>7</v>
      </c>
      <c r="G286" s="7" t="b">
        <v>0</v>
      </c>
      <c r="H286" s="7">
        <f t="shared" si="4"/>
        <v>5</v>
      </c>
      <c r="I286" s="7">
        <v>1</v>
      </c>
      <c r="J286" s="10">
        <v>0.12</v>
      </c>
      <c r="K286" s="1"/>
      <c r="L286" s="1"/>
      <c r="M286" s="1"/>
      <c r="N286" s="1"/>
      <c r="O286" s="1"/>
      <c r="P286" s="1"/>
      <c r="Q286" s="1"/>
      <c r="R286" s="1"/>
      <c r="S286" s="1"/>
      <c r="T286" s="1"/>
      <c r="U286" s="1"/>
      <c r="V286" s="1"/>
      <c r="W286" s="1"/>
      <c r="X286" s="1"/>
      <c r="Y286" s="1"/>
    </row>
    <row r="287" spans="1:25" ht="15" thickBot="1" x14ac:dyDescent="0.35">
      <c r="A287" s="9">
        <v>286</v>
      </c>
      <c r="B287" s="8">
        <v>40921</v>
      </c>
      <c r="C287" s="7">
        <v>1</v>
      </c>
      <c r="D287" s="7">
        <v>0</v>
      </c>
      <c r="E287" s="7">
        <v>1</v>
      </c>
      <c r="F287" s="7">
        <v>8</v>
      </c>
      <c r="G287" s="7" t="b">
        <v>0</v>
      </c>
      <c r="H287" s="7">
        <f t="shared" si="4"/>
        <v>5</v>
      </c>
      <c r="I287" s="7">
        <v>1</v>
      </c>
      <c r="J287" s="10">
        <v>0.14000000000000001</v>
      </c>
      <c r="K287" s="1"/>
      <c r="L287" s="1"/>
      <c r="M287" s="1"/>
      <c r="N287" s="1"/>
      <c r="O287" s="1"/>
      <c r="P287" s="1"/>
      <c r="Q287" s="1"/>
      <c r="R287" s="1"/>
      <c r="S287" s="1"/>
      <c r="T287" s="1"/>
      <c r="U287" s="1"/>
      <c r="V287" s="1"/>
      <c r="W287" s="1"/>
      <c r="X287" s="1"/>
      <c r="Y287" s="1"/>
    </row>
    <row r="288" spans="1:25" ht="15" thickBot="1" x14ac:dyDescent="0.35">
      <c r="A288" s="9">
        <v>287</v>
      </c>
      <c r="B288" s="8">
        <v>40921</v>
      </c>
      <c r="C288" s="7">
        <v>1</v>
      </c>
      <c r="D288" s="7">
        <v>0</v>
      </c>
      <c r="E288" s="7">
        <v>1</v>
      </c>
      <c r="F288" s="7">
        <v>9</v>
      </c>
      <c r="G288" s="7" t="b">
        <v>0</v>
      </c>
      <c r="H288" s="7">
        <f t="shared" si="4"/>
        <v>5</v>
      </c>
      <c r="I288" s="7">
        <v>1</v>
      </c>
      <c r="J288" s="10">
        <v>0.14000000000000001</v>
      </c>
      <c r="K288" s="1"/>
      <c r="L288" s="1"/>
      <c r="M288" s="1"/>
      <c r="N288" s="1"/>
      <c r="O288" s="1"/>
      <c r="P288" s="1"/>
      <c r="Q288" s="1"/>
      <c r="R288" s="1"/>
      <c r="S288" s="1"/>
      <c r="T288" s="1"/>
      <c r="U288" s="1"/>
      <c r="V288" s="1"/>
      <c r="W288" s="1"/>
      <c r="X288" s="1"/>
      <c r="Y288" s="1"/>
    </row>
    <row r="289" spans="1:25" ht="15" thickBot="1" x14ac:dyDescent="0.35">
      <c r="A289" s="9">
        <v>288</v>
      </c>
      <c r="B289" s="8">
        <v>40921</v>
      </c>
      <c r="C289" s="7">
        <v>1</v>
      </c>
      <c r="D289" s="7">
        <v>0</v>
      </c>
      <c r="E289" s="7">
        <v>1</v>
      </c>
      <c r="F289" s="7">
        <v>10</v>
      </c>
      <c r="G289" s="7" t="b">
        <v>0</v>
      </c>
      <c r="H289" s="7">
        <f t="shared" si="4"/>
        <v>5</v>
      </c>
      <c r="I289" s="7">
        <v>2</v>
      </c>
      <c r="J289" s="10">
        <v>0.16</v>
      </c>
      <c r="K289" s="1"/>
      <c r="L289" s="1"/>
      <c r="M289" s="1"/>
      <c r="N289" s="1"/>
      <c r="O289" s="1"/>
      <c r="P289" s="1"/>
      <c r="Q289" s="1"/>
      <c r="R289" s="1"/>
      <c r="S289" s="1"/>
      <c r="T289" s="1"/>
      <c r="U289" s="1"/>
      <c r="V289" s="1"/>
      <c r="W289" s="1"/>
      <c r="X289" s="1"/>
      <c r="Y289" s="1"/>
    </row>
    <row r="290" spans="1:25" ht="15" thickBot="1" x14ac:dyDescent="0.35">
      <c r="A290" s="9">
        <v>289</v>
      </c>
      <c r="B290" s="8">
        <v>40921</v>
      </c>
      <c r="C290" s="7">
        <v>1</v>
      </c>
      <c r="D290" s="7">
        <v>0</v>
      </c>
      <c r="E290" s="7">
        <v>1</v>
      </c>
      <c r="F290" s="7">
        <v>11</v>
      </c>
      <c r="G290" s="7" t="b">
        <v>0</v>
      </c>
      <c r="H290" s="7">
        <f t="shared" si="4"/>
        <v>5</v>
      </c>
      <c r="I290" s="7">
        <v>2</v>
      </c>
      <c r="J290" s="10">
        <v>0.2</v>
      </c>
      <c r="K290" s="1"/>
      <c r="L290" s="1"/>
      <c r="M290" s="1"/>
      <c r="N290" s="1"/>
      <c r="O290" s="1"/>
      <c r="P290" s="1"/>
      <c r="Q290" s="1"/>
      <c r="R290" s="1"/>
      <c r="S290" s="1"/>
      <c r="T290" s="1"/>
      <c r="U290" s="1"/>
      <c r="V290" s="1"/>
      <c r="W290" s="1"/>
      <c r="X290" s="1"/>
      <c r="Y290" s="1"/>
    </row>
    <row r="291" spans="1:25" ht="15" thickBot="1" x14ac:dyDescent="0.35">
      <c r="A291" s="9">
        <v>290</v>
      </c>
      <c r="B291" s="8">
        <v>40921</v>
      </c>
      <c r="C291" s="7">
        <v>1</v>
      </c>
      <c r="D291" s="7">
        <v>0</v>
      </c>
      <c r="E291" s="7">
        <v>1</v>
      </c>
      <c r="F291" s="7">
        <v>12</v>
      </c>
      <c r="G291" s="7" t="b">
        <v>0</v>
      </c>
      <c r="H291" s="7">
        <f t="shared" si="4"/>
        <v>5</v>
      </c>
      <c r="I291" s="7">
        <v>1</v>
      </c>
      <c r="J291" s="10">
        <v>0.2</v>
      </c>
      <c r="K291" s="1"/>
      <c r="L291" s="1"/>
      <c r="M291" s="1"/>
      <c r="N291" s="1"/>
      <c r="O291" s="1"/>
      <c r="P291" s="1"/>
      <c r="Q291" s="1"/>
      <c r="R291" s="1"/>
      <c r="S291" s="1"/>
      <c r="T291" s="1"/>
      <c r="U291" s="1"/>
      <c r="V291" s="1"/>
      <c r="W291" s="1"/>
      <c r="X291" s="1"/>
      <c r="Y291" s="1"/>
    </row>
    <row r="292" spans="1:25" ht="15" thickBot="1" x14ac:dyDescent="0.35">
      <c r="A292" s="9">
        <v>291</v>
      </c>
      <c r="B292" s="8">
        <v>40921</v>
      </c>
      <c r="C292" s="7">
        <v>1</v>
      </c>
      <c r="D292" s="7">
        <v>0</v>
      </c>
      <c r="E292" s="7">
        <v>1</v>
      </c>
      <c r="F292" s="7">
        <v>13</v>
      </c>
      <c r="G292" s="7" t="b">
        <v>0</v>
      </c>
      <c r="H292" s="7">
        <f t="shared" si="4"/>
        <v>5</v>
      </c>
      <c r="I292" s="7">
        <v>1</v>
      </c>
      <c r="J292" s="10">
        <v>0.22</v>
      </c>
      <c r="K292" s="1"/>
      <c r="L292" s="1"/>
      <c r="M292" s="1"/>
      <c r="N292" s="1"/>
      <c r="O292" s="1"/>
      <c r="P292" s="1"/>
      <c r="Q292" s="1"/>
      <c r="R292" s="1"/>
      <c r="S292" s="1"/>
      <c r="T292" s="1"/>
      <c r="U292" s="1"/>
      <c r="V292" s="1"/>
      <c r="W292" s="1"/>
      <c r="X292" s="1"/>
      <c r="Y292" s="1"/>
    </row>
    <row r="293" spans="1:25" ht="15" thickBot="1" x14ac:dyDescent="0.35">
      <c r="A293" s="9">
        <v>292</v>
      </c>
      <c r="B293" s="8">
        <v>40921</v>
      </c>
      <c r="C293" s="7">
        <v>1</v>
      </c>
      <c r="D293" s="7">
        <v>0</v>
      </c>
      <c r="E293" s="7">
        <v>1</v>
      </c>
      <c r="F293" s="7">
        <v>14</v>
      </c>
      <c r="G293" s="7" t="b">
        <v>0</v>
      </c>
      <c r="H293" s="7">
        <f t="shared" si="4"/>
        <v>5</v>
      </c>
      <c r="I293" s="7">
        <v>1</v>
      </c>
      <c r="J293" s="10">
        <v>0.22</v>
      </c>
      <c r="K293" s="1"/>
      <c r="L293" s="1"/>
      <c r="M293" s="1"/>
      <c r="N293" s="1"/>
      <c r="O293" s="1"/>
      <c r="P293" s="1"/>
      <c r="Q293" s="1"/>
      <c r="R293" s="1"/>
      <c r="S293" s="1"/>
      <c r="T293" s="1"/>
      <c r="U293" s="1"/>
      <c r="V293" s="1"/>
      <c r="W293" s="1"/>
      <c r="X293" s="1"/>
      <c r="Y293" s="1"/>
    </row>
    <row r="294" spans="1:25" ht="15" thickBot="1" x14ac:dyDescent="0.35">
      <c r="A294" s="9">
        <v>293</v>
      </c>
      <c r="B294" s="8">
        <v>40921</v>
      </c>
      <c r="C294" s="7">
        <v>1</v>
      </c>
      <c r="D294" s="7">
        <v>0</v>
      </c>
      <c r="E294" s="7">
        <v>1</v>
      </c>
      <c r="F294" s="7">
        <v>15</v>
      </c>
      <c r="G294" s="7" t="b">
        <v>0</v>
      </c>
      <c r="H294" s="7">
        <f t="shared" si="4"/>
        <v>5</v>
      </c>
      <c r="I294" s="7">
        <v>1</v>
      </c>
      <c r="J294" s="10">
        <v>0.24</v>
      </c>
      <c r="K294" s="1"/>
      <c r="L294" s="1"/>
      <c r="M294" s="1"/>
      <c r="N294" s="1"/>
      <c r="O294" s="1"/>
      <c r="P294" s="1"/>
      <c r="Q294" s="1"/>
      <c r="R294" s="1"/>
      <c r="S294" s="1"/>
      <c r="T294" s="1"/>
      <c r="U294" s="1"/>
      <c r="V294" s="1"/>
      <c r="W294" s="1"/>
      <c r="X294" s="1"/>
      <c r="Y294" s="1"/>
    </row>
    <row r="295" spans="1:25" ht="15" thickBot="1" x14ac:dyDescent="0.35">
      <c r="A295" s="9">
        <v>294</v>
      </c>
      <c r="B295" s="8">
        <v>40921</v>
      </c>
      <c r="C295" s="7">
        <v>1</v>
      </c>
      <c r="D295" s="7">
        <v>0</v>
      </c>
      <c r="E295" s="7">
        <v>1</v>
      </c>
      <c r="F295" s="7">
        <v>16</v>
      </c>
      <c r="G295" s="7" t="b">
        <v>0</v>
      </c>
      <c r="H295" s="7">
        <f t="shared" si="4"/>
        <v>5</v>
      </c>
      <c r="I295" s="7">
        <v>1</v>
      </c>
      <c r="J295" s="10">
        <v>0.24</v>
      </c>
      <c r="K295" s="1"/>
      <c r="L295" s="1"/>
      <c r="M295" s="1"/>
      <c r="N295" s="1"/>
      <c r="O295" s="1"/>
      <c r="P295" s="1"/>
      <c r="Q295" s="1"/>
      <c r="R295" s="1"/>
      <c r="S295" s="1"/>
      <c r="T295" s="1"/>
      <c r="U295" s="1"/>
      <c r="V295" s="1"/>
      <c r="W295" s="1"/>
      <c r="X295" s="1"/>
      <c r="Y295" s="1"/>
    </row>
    <row r="296" spans="1:25" ht="15" thickBot="1" x14ac:dyDescent="0.35">
      <c r="A296" s="9">
        <v>295</v>
      </c>
      <c r="B296" s="8">
        <v>40921</v>
      </c>
      <c r="C296" s="7">
        <v>1</v>
      </c>
      <c r="D296" s="7">
        <v>0</v>
      </c>
      <c r="E296" s="7">
        <v>1</v>
      </c>
      <c r="F296" s="7">
        <v>17</v>
      </c>
      <c r="G296" s="7" t="b">
        <v>0</v>
      </c>
      <c r="H296" s="7">
        <f t="shared" si="4"/>
        <v>5</v>
      </c>
      <c r="I296" s="7">
        <v>1</v>
      </c>
      <c r="J296" s="10">
        <v>0.2</v>
      </c>
      <c r="K296" s="1"/>
      <c r="L296" s="1"/>
      <c r="M296" s="1"/>
      <c r="N296" s="1"/>
      <c r="O296" s="1"/>
      <c r="P296" s="1"/>
      <c r="Q296" s="1"/>
      <c r="R296" s="1"/>
      <c r="S296" s="1"/>
      <c r="T296" s="1"/>
      <c r="U296" s="1"/>
      <c r="V296" s="1"/>
      <c r="W296" s="1"/>
      <c r="X296" s="1"/>
      <c r="Y296" s="1"/>
    </row>
    <row r="297" spans="1:25" ht="15" thickBot="1" x14ac:dyDescent="0.35">
      <c r="A297" s="9">
        <v>296</v>
      </c>
      <c r="B297" s="8">
        <v>40921</v>
      </c>
      <c r="C297" s="7">
        <v>1</v>
      </c>
      <c r="D297" s="7">
        <v>0</v>
      </c>
      <c r="E297" s="7">
        <v>1</v>
      </c>
      <c r="F297" s="7">
        <v>18</v>
      </c>
      <c r="G297" s="7" t="b">
        <v>0</v>
      </c>
      <c r="H297" s="7">
        <f t="shared" si="4"/>
        <v>5</v>
      </c>
      <c r="I297" s="7">
        <v>1</v>
      </c>
      <c r="J297" s="10">
        <v>0.2</v>
      </c>
      <c r="K297" s="1"/>
      <c r="L297" s="1"/>
      <c r="M297" s="1"/>
      <c r="N297" s="1"/>
      <c r="O297" s="1"/>
      <c r="P297" s="1"/>
      <c r="Q297" s="1"/>
      <c r="R297" s="1"/>
      <c r="S297" s="1"/>
      <c r="T297" s="1"/>
      <c r="U297" s="1"/>
      <c r="V297" s="1"/>
      <c r="W297" s="1"/>
      <c r="X297" s="1"/>
      <c r="Y297" s="1"/>
    </row>
    <row r="298" spans="1:25" ht="15" thickBot="1" x14ac:dyDescent="0.35">
      <c r="A298" s="9">
        <v>297</v>
      </c>
      <c r="B298" s="8">
        <v>40921</v>
      </c>
      <c r="C298" s="7">
        <v>1</v>
      </c>
      <c r="D298" s="7">
        <v>0</v>
      </c>
      <c r="E298" s="7">
        <v>1</v>
      </c>
      <c r="F298" s="7">
        <v>19</v>
      </c>
      <c r="G298" s="7" t="b">
        <v>0</v>
      </c>
      <c r="H298" s="7">
        <f t="shared" si="4"/>
        <v>5</v>
      </c>
      <c r="I298" s="7">
        <v>1</v>
      </c>
      <c r="J298" s="10">
        <v>0.16</v>
      </c>
      <c r="K298" s="1"/>
      <c r="L298" s="1"/>
      <c r="M298" s="1"/>
      <c r="N298" s="1"/>
      <c r="O298" s="1"/>
      <c r="P298" s="1"/>
      <c r="Q298" s="1"/>
      <c r="R298" s="1"/>
      <c r="S298" s="1"/>
      <c r="T298" s="1"/>
      <c r="U298" s="1"/>
      <c r="V298" s="1"/>
      <c r="W298" s="1"/>
      <c r="X298" s="1"/>
      <c r="Y298" s="1"/>
    </row>
    <row r="299" spans="1:25" ht="15" thickBot="1" x14ac:dyDescent="0.35">
      <c r="A299" s="9">
        <v>298</v>
      </c>
      <c r="B299" s="8">
        <v>40921</v>
      </c>
      <c r="C299" s="7">
        <v>1</v>
      </c>
      <c r="D299" s="7">
        <v>0</v>
      </c>
      <c r="E299" s="7">
        <v>1</v>
      </c>
      <c r="F299" s="7">
        <v>20</v>
      </c>
      <c r="G299" s="7" t="b">
        <v>0</v>
      </c>
      <c r="H299" s="7">
        <f t="shared" si="4"/>
        <v>5</v>
      </c>
      <c r="I299" s="7">
        <v>1</v>
      </c>
      <c r="J299" s="10">
        <v>0.16</v>
      </c>
      <c r="K299" s="1"/>
      <c r="L299" s="1"/>
      <c r="M299" s="1"/>
      <c r="N299" s="1"/>
      <c r="O299" s="1"/>
      <c r="P299" s="1"/>
      <c r="Q299" s="1"/>
      <c r="R299" s="1"/>
      <c r="S299" s="1"/>
      <c r="T299" s="1"/>
      <c r="U299" s="1"/>
      <c r="V299" s="1"/>
      <c r="W299" s="1"/>
      <c r="X299" s="1"/>
      <c r="Y299" s="1"/>
    </row>
    <row r="300" spans="1:25" ht="15" thickBot="1" x14ac:dyDescent="0.35">
      <c r="A300" s="9">
        <v>299</v>
      </c>
      <c r="B300" s="8">
        <v>40921</v>
      </c>
      <c r="C300" s="7">
        <v>1</v>
      </c>
      <c r="D300" s="7">
        <v>0</v>
      </c>
      <c r="E300" s="7">
        <v>1</v>
      </c>
      <c r="F300" s="7">
        <v>21</v>
      </c>
      <c r="G300" s="7" t="b">
        <v>0</v>
      </c>
      <c r="H300" s="7">
        <f t="shared" si="4"/>
        <v>5</v>
      </c>
      <c r="I300" s="7">
        <v>1</v>
      </c>
      <c r="J300" s="10">
        <v>0.14000000000000001</v>
      </c>
      <c r="K300" s="1"/>
      <c r="L300" s="1"/>
      <c r="M300" s="1"/>
      <c r="N300" s="1"/>
      <c r="O300" s="1"/>
      <c r="P300" s="1"/>
      <c r="Q300" s="1"/>
      <c r="R300" s="1"/>
      <c r="S300" s="1"/>
      <c r="T300" s="1"/>
      <c r="U300" s="1"/>
      <c r="V300" s="1"/>
      <c r="W300" s="1"/>
      <c r="X300" s="1"/>
      <c r="Y300" s="1"/>
    </row>
    <row r="301" spans="1:25" ht="15" thickBot="1" x14ac:dyDescent="0.35">
      <c r="A301" s="9">
        <v>300</v>
      </c>
      <c r="B301" s="8">
        <v>40921</v>
      </c>
      <c r="C301" s="7">
        <v>1</v>
      </c>
      <c r="D301" s="7">
        <v>0</v>
      </c>
      <c r="E301" s="7">
        <v>1</v>
      </c>
      <c r="F301" s="7">
        <v>22</v>
      </c>
      <c r="G301" s="7" t="b">
        <v>0</v>
      </c>
      <c r="H301" s="7">
        <f t="shared" si="4"/>
        <v>5</v>
      </c>
      <c r="I301" s="7">
        <v>1</v>
      </c>
      <c r="J301" s="10">
        <v>0.14000000000000001</v>
      </c>
      <c r="K301" s="1"/>
      <c r="L301" s="1"/>
      <c r="M301" s="1"/>
      <c r="N301" s="1"/>
      <c r="O301" s="1"/>
      <c r="P301" s="1"/>
      <c r="Q301" s="1"/>
      <c r="R301" s="1"/>
      <c r="S301" s="1"/>
      <c r="T301" s="1"/>
      <c r="U301" s="1"/>
      <c r="V301" s="1"/>
      <c r="W301" s="1"/>
      <c r="X301" s="1"/>
      <c r="Y301" s="1"/>
    </row>
    <row r="302" spans="1:25" ht="15" thickBot="1" x14ac:dyDescent="0.35">
      <c r="A302" s="9">
        <v>301</v>
      </c>
      <c r="B302" s="8">
        <v>40921</v>
      </c>
      <c r="C302" s="7">
        <v>1</v>
      </c>
      <c r="D302" s="7">
        <v>0</v>
      </c>
      <c r="E302" s="7">
        <v>1</v>
      </c>
      <c r="F302" s="7">
        <v>23</v>
      </c>
      <c r="G302" s="7" t="b">
        <v>0</v>
      </c>
      <c r="H302" s="7">
        <f t="shared" si="4"/>
        <v>5</v>
      </c>
      <c r="I302" s="7">
        <v>1</v>
      </c>
      <c r="J302" s="10">
        <v>0.12</v>
      </c>
      <c r="K302" s="1"/>
      <c r="L302" s="1"/>
      <c r="M302" s="1"/>
      <c r="N302" s="1"/>
      <c r="O302" s="1"/>
      <c r="P302" s="1"/>
      <c r="Q302" s="1"/>
      <c r="R302" s="1"/>
      <c r="S302" s="1"/>
      <c r="T302" s="1"/>
      <c r="U302" s="1"/>
      <c r="V302" s="1"/>
      <c r="W302" s="1"/>
      <c r="X302" s="1"/>
      <c r="Y302" s="1"/>
    </row>
    <row r="303" spans="1:25" ht="15" thickBot="1" x14ac:dyDescent="0.35">
      <c r="A303" s="9">
        <v>302</v>
      </c>
      <c r="B303" s="8">
        <v>40557</v>
      </c>
      <c r="C303" s="7">
        <v>1</v>
      </c>
      <c r="D303" s="7">
        <v>0</v>
      </c>
      <c r="E303" s="7">
        <v>1</v>
      </c>
      <c r="F303" s="7">
        <v>0</v>
      </c>
      <c r="G303" s="7" t="b">
        <v>0</v>
      </c>
      <c r="H303" s="7">
        <f t="shared" si="4"/>
        <v>5</v>
      </c>
      <c r="I303" s="7">
        <v>1</v>
      </c>
      <c r="J303" s="10">
        <v>0.12</v>
      </c>
      <c r="K303" s="1"/>
      <c r="L303" s="1"/>
      <c r="M303" s="1"/>
      <c r="N303" s="1"/>
      <c r="O303" s="1"/>
      <c r="P303" s="1"/>
      <c r="Q303" s="1"/>
      <c r="R303" s="1"/>
      <c r="S303" s="1"/>
      <c r="T303" s="1"/>
      <c r="U303" s="1"/>
      <c r="V303" s="1"/>
      <c r="W303" s="1"/>
      <c r="X303" s="1"/>
      <c r="Y303" s="1"/>
    </row>
    <row r="304" spans="1:25" ht="15" thickBot="1" x14ac:dyDescent="0.35">
      <c r="A304" s="9">
        <v>303</v>
      </c>
      <c r="B304" s="8">
        <v>40557</v>
      </c>
      <c r="C304" s="7">
        <v>1</v>
      </c>
      <c r="D304" s="7">
        <v>0</v>
      </c>
      <c r="E304" s="7">
        <v>1</v>
      </c>
      <c r="F304" s="7">
        <v>1</v>
      </c>
      <c r="G304" s="7" t="b">
        <v>0</v>
      </c>
      <c r="H304" s="7">
        <f t="shared" si="4"/>
        <v>5</v>
      </c>
      <c r="I304" s="7">
        <v>1</v>
      </c>
      <c r="J304" s="10">
        <v>0.1</v>
      </c>
      <c r="K304" s="1"/>
      <c r="L304" s="1"/>
      <c r="M304" s="1"/>
      <c r="N304" s="1"/>
      <c r="O304" s="1"/>
      <c r="P304" s="1"/>
      <c r="Q304" s="1"/>
      <c r="R304" s="1"/>
      <c r="S304" s="1"/>
      <c r="T304" s="1"/>
      <c r="U304" s="1"/>
      <c r="V304" s="1"/>
      <c r="W304" s="1"/>
      <c r="X304" s="1"/>
      <c r="Y304" s="1"/>
    </row>
    <row r="305" spans="1:25" ht="15" thickBot="1" x14ac:dyDescent="0.35">
      <c r="A305" s="9">
        <v>304</v>
      </c>
      <c r="B305" s="8">
        <v>40557</v>
      </c>
      <c r="C305" s="7">
        <v>1</v>
      </c>
      <c r="D305" s="7">
        <v>0</v>
      </c>
      <c r="E305" s="7">
        <v>1</v>
      </c>
      <c r="F305" s="7">
        <v>2</v>
      </c>
      <c r="G305" s="7" t="b">
        <v>0</v>
      </c>
      <c r="H305" s="7">
        <f t="shared" si="4"/>
        <v>5</v>
      </c>
      <c r="I305" s="7">
        <v>1</v>
      </c>
      <c r="J305" s="10">
        <v>0.1</v>
      </c>
      <c r="K305" s="1"/>
      <c r="L305" s="1"/>
      <c r="M305" s="1"/>
      <c r="N305" s="1"/>
      <c r="O305" s="1"/>
      <c r="P305" s="1"/>
      <c r="Q305" s="1"/>
      <c r="R305" s="1"/>
      <c r="S305" s="1"/>
      <c r="T305" s="1"/>
      <c r="U305" s="1"/>
      <c r="V305" s="1"/>
      <c r="W305" s="1"/>
      <c r="X305" s="1"/>
      <c r="Y305" s="1"/>
    </row>
    <row r="306" spans="1:25" ht="15" thickBot="1" x14ac:dyDescent="0.35">
      <c r="A306" s="9">
        <v>305</v>
      </c>
      <c r="B306" s="8">
        <v>40557</v>
      </c>
      <c r="C306" s="7">
        <v>1</v>
      </c>
      <c r="D306" s="7">
        <v>0</v>
      </c>
      <c r="E306" s="7">
        <v>1</v>
      </c>
      <c r="F306" s="7">
        <v>3</v>
      </c>
      <c r="G306" s="7" t="b">
        <v>0</v>
      </c>
      <c r="H306" s="7">
        <f t="shared" si="4"/>
        <v>5</v>
      </c>
      <c r="I306" s="7">
        <v>1</v>
      </c>
      <c r="J306" s="10">
        <v>0.1</v>
      </c>
      <c r="K306" s="1"/>
      <c r="L306" s="1"/>
      <c r="M306" s="1"/>
      <c r="N306" s="1"/>
      <c r="O306" s="1"/>
      <c r="P306" s="1"/>
      <c r="Q306" s="1"/>
      <c r="R306" s="1"/>
      <c r="S306" s="1"/>
      <c r="T306" s="1"/>
      <c r="U306" s="1"/>
      <c r="V306" s="1"/>
      <c r="W306" s="1"/>
      <c r="X306" s="1"/>
      <c r="Y306" s="1"/>
    </row>
    <row r="307" spans="1:25" ht="15" thickBot="1" x14ac:dyDescent="0.35">
      <c r="A307" s="9">
        <v>306</v>
      </c>
      <c r="B307" s="8">
        <v>40557</v>
      </c>
      <c r="C307" s="7">
        <v>1</v>
      </c>
      <c r="D307" s="7">
        <v>0</v>
      </c>
      <c r="E307" s="7">
        <v>1</v>
      </c>
      <c r="F307" s="7">
        <v>5</v>
      </c>
      <c r="G307" s="7" t="b">
        <v>0</v>
      </c>
      <c r="H307" s="7">
        <f t="shared" si="4"/>
        <v>5</v>
      </c>
      <c r="I307" s="7">
        <v>1</v>
      </c>
      <c r="J307" s="10">
        <v>0.1</v>
      </c>
      <c r="K307" s="1"/>
      <c r="L307" s="1"/>
      <c r="M307" s="1"/>
      <c r="N307" s="1"/>
      <c r="O307" s="1"/>
      <c r="P307" s="1"/>
      <c r="Q307" s="1"/>
      <c r="R307" s="1"/>
      <c r="S307" s="1"/>
      <c r="T307" s="1"/>
      <c r="U307" s="1"/>
      <c r="V307" s="1"/>
      <c r="W307" s="1"/>
      <c r="X307" s="1"/>
      <c r="Y307" s="1"/>
    </row>
    <row r="308" spans="1:25" ht="15" thickBot="1" x14ac:dyDescent="0.35">
      <c r="A308" s="9">
        <v>307</v>
      </c>
      <c r="B308" s="8">
        <v>40557</v>
      </c>
      <c r="C308" s="7">
        <v>1</v>
      </c>
      <c r="D308" s="7">
        <v>0</v>
      </c>
      <c r="E308" s="7">
        <v>1</v>
      </c>
      <c r="F308" s="7">
        <v>6</v>
      </c>
      <c r="G308" s="7" t="b">
        <v>0</v>
      </c>
      <c r="H308" s="7">
        <f t="shared" si="4"/>
        <v>5</v>
      </c>
      <c r="I308" s="7">
        <v>1</v>
      </c>
      <c r="J308" s="10">
        <v>0.1</v>
      </c>
      <c r="K308" s="1"/>
      <c r="L308" s="1"/>
      <c r="M308" s="1"/>
      <c r="N308" s="1"/>
      <c r="O308" s="1"/>
      <c r="P308" s="1"/>
      <c r="Q308" s="1"/>
      <c r="R308" s="1"/>
      <c r="S308" s="1"/>
      <c r="T308" s="1"/>
      <c r="U308" s="1"/>
      <c r="V308" s="1"/>
      <c r="W308" s="1"/>
      <c r="X308" s="1"/>
      <c r="Y308" s="1"/>
    </row>
    <row r="309" spans="1:25" ht="15" thickBot="1" x14ac:dyDescent="0.35">
      <c r="A309" s="9">
        <v>308</v>
      </c>
      <c r="B309" s="8">
        <v>40557</v>
      </c>
      <c r="C309" s="7">
        <v>1</v>
      </c>
      <c r="D309" s="7">
        <v>0</v>
      </c>
      <c r="E309" s="7">
        <v>1</v>
      </c>
      <c r="F309" s="7">
        <v>7</v>
      </c>
      <c r="G309" s="7" t="b">
        <v>0</v>
      </c>
      <c r="H309" s="7">
        <f t="shared" si="4"/>
        <v>5</v>
      </c>
      <c r="I309" s="7">
        <v>1</v>
      </c>
      <c r="J309" s="10">
        <v>0.1</v>
      </c>
      <c r="K309" s="1"/>
      <c r="L309" s="1"/>
      <c r="M309" s="1"/>
      <c r="N309" s="1"/>
      <c r="O309" s="1"/>
      <c r="P309" s="1"/>
      <c r="Q309" s="1"/>
      <c r="R309" s="1"/>
      <c r="S309" s="1"/>
      <c r="T309" s="1"/>
      <c r="U309" s="1"/>
      <c r="V309" s="1"/>
      <c r="W309" s="1"/>
      <c r="X309" s="1"/>
      <c r="Y309" s="1"/>
    </row>
    <row r="310" spans="1:25" ht="15" thickBot="1" x14ac:dyDescent="0.35">
      <c r="A310" s="9">
        <v>309</v>
      </c>
      <c r="B310" s="8">
        <v>40557</v>
      </c>
      <c r="C310" s="7">
        <v>1</v>
      </c>
      <c r="D310" s="7">
        <v>0</v>
      </c>
      <c r="E310" s="7">
        <v>1</v>
      </c>
      <c r="F310" s="7">
        <v>8</v>
      </c>
      <c r="G310" s="7" t="b">
        <v>0</v>
      </c>
      <c r="H310" s="7">
        <f t="shared" si="4"/>
        <v>5</v>
      </c>
      <c r="I310" s="7">
        <v>1</v>
      </c>
      <c r="J310" s="10">
        <v>0.12</v>
      </c>
      <c r="K310" s="1"/>
      <c r="L310" s="1"/>
      <c r="M310" s="1"/>
      <c r="N310" s="1"/>
      <c r="O310" s="1"/>
      <c r="P310" s="1"/>
      <c r="Q310" s="1"/>
      <c r="R310" s="1"/>
      <c r="S310" s="1"/>
      <c r="T310" s="1"/>
      <c r="U310" s="1"/>
      <c r="V310" s="1"/>
      <c r="W310" s="1"/>
      <c r="X310" s="1"/>
      <c r="Y310" s="1"/>
    </row>
    <row r="311" spans="1:25" ht="15" thickBot="1" x14ac:dyDescent="0.35">
      <c r="A311" s="9">
        <v>310</v>
      </c>
      <c r="B311" s="8">
        <v>40557</v>
      </c>
      <c r="C311" s="7">
        <v>1</v>
      </c>
      <c r="D311" s="7">
        <v>0</v>
      </c>
      <c r="E311" s="7">
        <v>1</v>
      </c>
      <c r="F311" s="7">
        <v>9</v>
      </c>
      <c r="G311" s="7" t="b">
        <v>0</v>
      </c>
      <c r="H311" s="7">
        <f t="shared" si="4"/>
        <v>5</v>
      </c>
      <c r="I311" s="7">
        <v>1</v>
      </c>
      <c r="J311" s="10">
        <v>0.14000000000000001</v>
      </c>
      <c r="K311" s="1"/>
      <c r="L311" s="1"/>
      <c r="M311" s="1"/>
      <c r="N311" s="1"/>
      <c r="O311" s="1"/>
      <c r="P311" s="1"/>
      <c r="Q311" s="1"/>
      <c r="R311" s="1"/>
      <c r="S311" s="1"/>
      <c r="T311" s="1"/>
      <c r="U311" s="1"/>
      <c r="V311" s="1"/>
      <c r="W311" s="1"/>
      <c r="X311" s="1"/>
      <c r="Y311" s="1"/>
    </row>
    <row r="312" spans="1:25" ht="15" thickBot="1" x14ac:dyDescent="0.35">
      <c r="A312" s="9">
        <v>311</v>
      </c>
      <c r="B312" s="8">
        <v>40557</v>
      </c>
      <c r="C312" s="7">
        <v>1</v>
      </c>
      <c r="D312" s="7">
        <v>0</v>
      </c>
      <c r="E312" s="7">
        <v>1</v>
      </c>
      <c r="F312" s="7">
        <v>10</v>
      </c>
      <c r="G312" s="7" t="b">
        <v>0</v>
      </c>
      <c r="H312" s="7">
        <f t="shared" si="4"/>
        <v>5</v>
      </c>
      <c r="I312" s="7">
        <v>1</v>
      </c>
      <c r="J312" s="10">
        <v>0.18</v>
      </c>
      <c r="K312" s="1"/>
      <c r="L312" s="1"/>
      <c r="M312" s="1"/>
      <c r="N312" s="1"/>
      <c r="O312" s="1"/>
      <c r="P312" s="1"/>
      <c r="Q312" s="1"/>
      <c r="R312" s="1"/>
      <c r="S312" s="1"/>
      <c r="T312" s="1"/>
      <c r="U312" s="1"/>
      <c r="V312" s="1"/>
      <c r="W312" s="1"/>
      <c r="X312" s="1"/>
      <c r="Y312" s="1"/>
    </row>
    <row r="313" spans="1:25" ht="15" thickBot="1" x14ac:dyDescent="0.35">
      <c r="A313" s="9">
        <v>312</v>
      </c>
      <c r="B313" s="8">
        <v>40557</v>
      </c>
      <c r="C313" s="7">
        <v>1</v>
      </c>
      <c r="D313" s="7">
        <v>0</v>
      </c>
      <c r="E313" s="7">
        <v>1</v>
      </c>
      <c r="F313" s="7">
        <v>11</v>
      </c>
      <c r="G313" s="7" t="b">
        <v>0</v>
      </c>
      <c r="H313" s="7">
        <f t="shared" si="4"/>
        <v>5</v>
      </c>
      <c r="I313" s="7">
        <v>1</v>
      </c>
      <c r="J313" s="10">
        <v>0.18</v>
      </c>
      <c r="K313" s="1"/>
      <c r="L313" s="1"/>
      <c r="M313" s="1"/>
      <c r="N313" s="1"/>
      <c r="O313" s="1"/>
      <c r="P313" s="1"/>
      <c r="Q313" s="1"/>
      <c r="R313" s="1"/>
      <c r="S313" s="1"/>
      <c r="T313" s="1"/>
      <c r="U313" s="1"/>
      <c r="V313" s="1"/>
      <c r="W313" s="1"/>
      <c r="X313" s="1"/>
      <c r="Y313" s="1"/>
    </row>
    <row r="314" spans="1:25" ht="15" thickBot="1" x14ac:dyDescent="0.35">
      <c r="A314" s="9">
        <v>313</v>
      </c>
      <c r="B314" s="8">
        <v>40557</v>
      </c>
      <c r="C314" s="7">
        <v>1</v>
      </c>
      <c r="D314" s="7">
        <v>0</v>
      </c>
      <c r="E314" s="7">
        <v>1</v>
      </c>
      <c r="F314" s="7">
        <v>12</v>
      </c>
      <c r="G314" s="7" t="b">
        <v>0</v>
      </c>
      <c r="H314" s="7">
        <f t="shared" si="4"/>
        <v>5</v>
      </c>
      <c r="I314" s="7">
        <v>1</v>
      </c>
      <c r="J314" s="10">
        <v>0.2</v>
      </c>
      <c r="K314" s="1"/>
      <c r="L314" s="1"/>
      <c r="M314" s="1"/>
      <c r="N314" s="1"/>
      <c r="O314" s="1"/>
      <c r="P314" s="1"/>
      <c r="Q314" s="1"/>
      <c r="R314" s="1"/>
      <c r="S314" s="1"/>
      <c r="T314" s="1"/>
      <c r="U314" s="1"/>
      <c r="V314" s="1"/>
      <c r="W314" s="1"/>
      <c r="X314" s="1"/>
      <c r="Y314" s="1"/>
    </row>
    <row r="315" spans="1:25" ht="15" thickBot="1" x14ac:dyDescent="0.35">
      <c r="A315" s="9">
        <v>314</v>
      </c>
      <c r="B315" s="8">
        <v>40557</v>
      </c>
      <c r="C315" s="7">
        <v>1</v>
      </c>
      <c r="D315" s="7">
        <v>0</v>
      </c>
      <c r="E315" s="7">
        <v>1</v>
      </c>
      <c r="F315" s="7">
        <v>13</v>
      </c>
      <c r="G315" s="7" t="b">
        <v>0</v>
      </c>
      <c r="H315" s="7">
        <f t="shared" si="4"/>
        <v>5</v>
      </c>
      <c r="I315" s="7">
        <v>1</v>
      </c>
      <c r="J315" s="10">
        <v>0.22</v>
      </c>
      <c r="K315" s="1"/>
      <c r="L315" s="1"/>
      <c r="M315" s="1"/>
      <c r="N315" s="1"/>
      <c r="O315" s="1"/>
      <c r="P315" s="1"/>
      <c r="Q315" s="1"/>
      <c r="R315" s="1"/>
      <c r="S315" s="1"/>
      <c r="T315" s="1"/>
      <c r="U315" s="1"/>
      <c r="V315" s="1"/>
      <c r="W315" s="1"/>
      <c r="X315" s="1"/>
      <c r="Y315" s="1"/>
    </row>
    <row r="316" spans="1:25" ht="15" thickBot="1" x14ac:dyDescent="0.35">
      <c r="A316" s="9">
        <v>315</v>
      </c>
      <c r="B316" s="8">
        <v>40557</v>
      </c>
      <c r="C316" s="7">
        <v>1</v>
      </c>
      <c r="D316" s="7">
        <v>0</v>
      </c>
      <c r="E316" s="7">
        <v>1</v>
      </c>
      <c r="F316" s="7">
        <v>14</v>
      </c>
      <c r="G316" s="7" t="b">
        <v>0</v>
      </c>
      <c r="H316" s="7">
        <f t="shared" si="4"/>
        <v>5</v>
      </c>
      <c r="I316" s="7">
        <v>1</v>
      </c>
      <c r="J316" s="10">
        <v>0.22</v>
      </c>
      <c r="K316" s="1"/>
      <c r="L316" s="1"/>
      <c r="M316" s="1"/>
      <c r="N316" s="1"/>
      <c r="O316" s="1"/>
      <c r="P316" s="1"/>
      <c r="Q316" s="1"/>
      <c r="R316" s="1"/>
      <c r="S316" s="1"/>
      <c r="T316" s="1"/>
      <c r="U316" s="1"/>
      <c r="V316" s="1"/>
      <c r="W316" s="1"/>
      <c r="X316" s="1"/>
      <c r="Y316" s="1"/>
    </row>
    <row r="317" spans="1:25" ht="15" thickBot="1" x14ac:dyDescent="0.35">
      <c r="A317" s="9">
        <v>316</v>
      </c>
      <c r="B317" s="8">
        <v>40557</v>
      </c>
      <c r="C317" s="7">
        <v>1</v>
      </c>
      <c r="D317" s="7">
        <v>0</v>
      </c>
      <c r="E317" s="7">
        <v>1</v>
      </c>
      <c r="F317" s="7">
        <v>15</v>
      </c>
      <c r="G317" s="7" t="b">
        <v>0</v>
      </c>
      <c r="H317" s="7">
        <f t="shared" si="4"/>
        <v>5</v>
      </c>
      <c r="I317" s="7">
        <v>1</v>
      </c>
      <c r="J317" s="10">
        <v>0.24</v>
      </c>
      <c r="K317" s="1"/>
      <c r="L317" s="1"/>
      <c r="M317" s="1"/>
      <c r="N317" s="1"/>
      <c r="O317" s="1"/>
      <c r="P317" s="1"/>
      <c r="Q317" s="1"/>
      <c r="R317" s="1"/>
      <c r="S317" s="1"/>
      <c r="T317" s="1"/>
      <c r="U317" s="1"/>
      <c r="V317" s="1"/>
      <c r="W317" s="1"/>
      <c r="X317" s="1"/>
      <c r="Y317" s="1"/>
    </row>
    <row r="318" spans="1:25" ht="15" thickBot="1" x14ac:dyDescent="0.35">
      <c r="A318" s="9">
        <v>317</v>
      </c>
      <c r="B318" s="8">
        <v>40557</v>
      </c>
      <c r="C318" s="7">
        <v>1</v>
      </c>
      <c r="D318" s="7">
        <v>0</v>
      </c>
      <c r="E318" s="7">
        <v>1</v>
      </c>
      <c r="F318" s="7">
        <v>16</v>
      </c>
      <c r="G318" s="7" t="b">
        <v>0</v>
      </c>
      <c r="H318" s="7">
        <f t="shared" si="4"/>
        <v>5</v>
      </c>
      <c r="I318" s="7">
        <v>1</v>
      </c>
      <c r="J318" s="10">
        <v>0.22</v>
      </c>
      <c r="K318" s="1"/>
      <c r="L318" s="1"/>
      <c r="M318" s="1"/>
      <c r="N318" s="1"/>
      <c r="O318" s="1"/>
      <c r="P318" s="1"/>
      <c r="Q318" s="1"/>
      <c r="R318" s="1"/>
      <c r="S318" s="1"/>
      <c r="T318" s="1"/>
      <c r="U318" s="1"/>
      <c r="V318" s="1"/>
      <c r="W318" s="1"/>
      <c r="X318" s="1"/>
      <c r="Y318" s="1"/>
    </row>
    <row r="319" spans="1:25" ht="15" thickBot="1" x14ac:dyDescent="0.35">
      <c r="A319" s="9">
        <v>318</v>
      </c>
      <c r="B319" s="8">
        <v>40557</v>
      </c>
      <c r="C319" s="7">
        <v>1</v>
      </c>
      <c r="D319" s="7">
        <v>0</v>
      </c>
      <c r="E319" s="7">
        <v>1</v>
      </c>
      <c r="F319" s="7">
        <v>17</v>
      </c>
      <c r="G319" s="7" t="b">
        <v>0</v>
      </c>
      <c r="H319" s="7">
        <f t="shared" si="4"/>
        <v>5</v>
      </c>
      <c r="I319" s="7">
        <v>1</v>
      </c>
      <c r="J319" s="10">
        <v>0.22</v>
      </c>
      <c r="K319" s="1"/>
      <c r="L319" s="1"/>
      <c r="M319" s="1"/>
      <c r="N319" s="1"/>
      <c r="O319" s="1"/>
      <c r="P319" s="1"/>
      <c r="Q319" s="1"/>
      <c r="R319" s="1"/>
      <c r="S319" s="1"/>
      <c r="T319" s="1"/>
      <c r="U319" s="1"/>
      <c r="V319" s="1"/>
      <c r="W319" s="1"/>
      <c r="X319" s="1"/>
      <c r="Y319" s="1"/>
    </row>
    <row r="320" spans="1:25" ht="15" thickBot="1" x14ac:dyDescent="0.35">
      <c r="A320" s="9">
        <v>319</v>
      </c>
      <c r="B320" s="8">
        <v>40557</v>
      </c>
      <c r="C320" s="7">
        <v>1</v>
      </c>
      <c r="D320" s="7">
        <v>0</v>
      </c>
      <c r="E320" s="7">
        <v>1</v>
      </c>
      <c r="F320" s="7">
        <v>18</v>
      </c>
      <c r="G320" s="7" t="b">
        <v>0</v>
      </c>
      <c r="H320" s="7">
        <f t="shared" si="4"/>
        <v>5</v>
      </c>
      <c r="I320" s="7">
        <v>1</v>
      </c>
      <c r="J320" s="10">
        <v>0.2</v>
      </c>
      <c r="K320" s="1"/>
      <c r="L320" s="1"/>
      <c r="M320" s="1"/>
      <c r="N320" s="1"/>
      <c r="O320" s="1"/>
      <c r="P320" s="1"/>
      <c r="Q320" s="1"/>
      <c r="R320" s="1"/>
      <c r="S320" s="1"/>
      <c r="T320" s="1"/>
      <c r="U320" s="1"/>
      <c r="V320" s="1"/>
      <c r="W320" s="1"/>
      <c r="X320" s="1"/>
      <c r="Y320" s="1"/>
    </row>
    <row r="321" spans="1:25" ht="15" thickBot="1" x14ac:dyDescent="0.35">
      <c r="A321" s="9">
        <v>320</v>
      </c>
      <c r="B321" s="8">
        <v>40557</v>
      </c>
      <c r="C321" s="7">
        <v>1</v>
      </c>
      <c r="D321" s="7">
        <v>0</v>
      </c>
      <c r="E321" s="7">
        <v>1</v>
      </c>
      <c r="F321" s="7">
        <v>19</v>
      </c>
      <c r="G321" s="7" t="b">
        <v>0</v>
      </c>
      <c r="H321" s="7">
        <f t="shared" si="4"/>
        <v>5</v>
      </c>
      <c r="I321" s="7">
        <v>1</v>
      </c>
      <c r="J321" s="10">
        <v>0.16</v>
      </c>
      <c r="K321" s="1"/>
      <c r="L321" s="1"/>
      <c r="M321" s="1"/>
      <c r="N321" s="1"/>
      <c r="O321" s="1"/>
      <c r="P321" s="1"/>
      <c r="Q321" s="1"/>
      <c r="R321" s="1"/>
      <c r="S321" s="1"/>
      <c r="T321" s="1"/>
      <c r="U321" s="1"/>
      <c r="V321" s="1"/>
      <c r="W321" s="1"/>
      <c r="X321" s="1"/>
      <c r="Y321" s="1"/>
    </row>
    <row r="322" spans="1:25" ht="15" thickBot="1" x14ac:dyDescent="0.35">
      <c r="A322" s="9">
        <v>321</v>
      </c>
      <c r="B322" s="8">
        <v>40557</v>
      </c>
      <c r="C322" s="7">
        <v>1</v>
      </c>
      <c r="D322" s="7">
        <v>0</v>
      </c>
      <c r="E322" s="7">
        <v>1</v>
      </c>
      <c r="F322" s="7">
        <v>20</v>
      </c>
      <c r="G322" s="7" t="b">
        <v>0</v>
      </c>
      <c r="H322" s="7">
        <f t="shared" si="4"/>
        <v>5</v>
      </c>
      <c r="I322" s="7">
        <v>1</v>
      </c>
      <c r="J322" s="10">
        <v>0.18</v>
      </c>
      <c r="K322" s="1"/>
      <c r="L322" s="1"/>
      <c r="M322" s="1"/>
      <c r="N322" s="1"/>
      <c r="O322" s="1"/>
      <c r="P322" s="1"/>
      <c r="Q322" s="1"/>
      <c r="R322" s="1"/>
      <c r="S322" s="1"/>
      <c r="T322" s="1"/>
      <c r="U322" s="1"/>
      <c r="V322" s="1"/>
      <c r="W322" s="1"/>
      <c r="X322" s="1"/>
      <c r="Y322" s="1"/>
    </row>
    <row r="323" spans="1:25" ht="15" thickBot="1" x14ac:dyDescent="0.35">
      <c r="A323" s="9">
        <v>322</v>
      </c>
      <c r="B323" s="8">
        <v>40557</v>
      </c>
      <c r="C323" s="7">
        <v>1</v>
      </c>
      <c r="D323" s="7">
        <v>0</v>
      </c>
      <c r="E323" s="7">
        <v>1</v>
      </c>
      <c r="F323" s="7">
        <v>21</v>
      </c>
      <c r="G323" s="7" t="b">
        <v>0</v>
      </c>
      <c r="H323" s="7">
        <f t="shared" ref="H323:H386" si="5">WEEKDAY($B323,2)</f>
        <v>5</v>
      </c>
      <c r="I323" s="7">
        <v>1</v>
      </c>
      <c r="J323" s="10">
        <v>0.16</v>
      </c>
      <c r="K323" s="1"/>
      <c r="L323" s="1"/>
      <c r="M323" s="1"/>
      <c r="N323" s="1"/>
      <c r="O323" s="1"/>
      <c r="P323" s="1"/>
      <c r="Q323" s="1"/>
      <c r="R323" s="1"/>
      <c r="S323" s="1"/>
      <c r="T323" s="1"/>
      <c r="U323" s="1"/>
      <c r="V323" s="1"/>
      <c r="W323" s="1"/>
      <c r="X323" s="1"/>
      <c r="Y323" s="1"/>
    </row>
    <row r="324" spans="1:25" ht="15" thickBot="1" x14ac:dyDescent="0.35">
      <c r="A324" s="9">
        <v>323</v>
      </c>
      <c r="B324" s="8">
        <v>40557</v>
      </c>
      <c r="C324" s="7">
        <v>1</v>
      </c>
      <c r="D324" s="7">
        <v>0</v>
      </c>
      <c r="E324" s="7">
        <v>1</v>
      </c>
      <c r="F324" s="7">
        <v>22</v>
      </c>
      <c r="G324" s="7" t="b">
        <v>0</v>
      </c>
      <c r="H324" s="7">
        <f t="shared" si="5"/>
        <v>5</v>
      </c>
      <c r="I324" s="7">
        <v>2</v>
      </c>
      <c r="J324" s="10">
        <v>0.16</v>
      </c>
      <c r="K324" s="1"/>
      <c r="L324" s="1"/>
      <c r="M324" s="1"/>
      <c r="N324" s="1"/>
      <c r="O324" s="1"/>
      <c r="P324" s="1"/>
      <c r="Q324" s="1"/>
      <c r="R324" s="1"/>
      <c r="S324" s="1"/>
      <c r="T324" s="1"/>
      <c r="U324" s="1"/>
      <c r="V324" s="1"/>
      <c r="W324" s="1"/>
      <c r="X324" s="1"/>
      <c r="Y324" s="1"/>
    </row>
    <row r="325" spans="1:25" ht="15" thickBot="1" x14ac:dyDescent="0.35">
      <c r="A325" s="9">
        <v>324</v>
      </c>
      <c r="B325" s="8">
        <v>40557</v>
      </c>
      <c r="C325" s="7">
        <v>1</v>
      </c>
      <c r="D325" s="7">
        <v>0</v>
      </c>
      <c r="E325" s="7">
        <v>1</v>
      </c>
      <c r="F325" s="7">
        <v>23</v>
      </c>
      <c r="G325" s="7" t="b">
        <v>0</v>
      </c>
      <c r="H325" s="7">
        <f t="shared" si="5"/>
        <v>5</v>
      </c>
      <c r="I325" s="7">
        <v>2</v>
      </c>
      <c r="J325" s="10">
        <v>0.18</v>
      </c>
      <c r="K325" s="1"/>
      <c r="L325" s="1"/>
      <c r="M325" s="1"/>
      <c r="N325" s="1"/>
      <c r="O325" s="1"/>
      <c r="P325" s="1"/>
      <c r="Q325" s="1"/>
      <c r="R325" s="1"/>
      <c r="S325" s="1"/>
      <c r="T325" s="1"/>
      <c r="U325" s="1"/>
      <c r="V325" s="1"/>
      <c r="W325" s="1"/>
      <c r="X325" s="1"/>
      <c r="Y325" s="1"/>
    </row>
    <row r="326" spans="1:25" ht="15" thickBot="1" x14ac:dyDescent="0.35">
      <c r="A326" s="9">
        <v>325</v>
      </c>
      <c r="B326" s="8">
        <v>40558</v>
      </c>
      <c r="C326" s="7">
        <v>1</v>
      </c>
      <c r="D326" s="7">
        <v>0</v>
      </c>
      <c r="E326" s="7">
        <v>1</v>
      </c>
      <c r="F326" s="7">
        <v>0</v>
      </c>
      <c r="G326" s="7" t="b">
        <v>0</v>
      </c>
      <c r="H326" s="7">
        <f t="shared" si="5"/>
        <v>6</v>
      </c>
      <c r="I326" s="7">
        <v>1</v>
      </c>
      <c r="J326" s="10">
        <v>0.18</v>
      </c>
      <c r="K326" s="1"/>
      <c r="L326" s="1"/>
      <c r="M326" s="1"/>
      <c r="N326" s="1"/>
      <c r="O326" s="1"/>
      <c r="P326" s="1"/>
      <c r="Q326" s="1"/>
      <c r="R326" s="1"/>
      <c r="S326" s="1"/>
      <c r="T326" s="1"/>
      <c r="U326" s="1"/>
      <c r="V326" s="1"/>
      <c r="W326" s="1"/>
      <c r="X326" s="1"/>
      <c r="Y326" s="1"/>
    </row>
    <row r="327" spans="1:25" ht="15" thickBot="1" x14ac:dyDescent="0.35">
      <c r="A327" s="9">
        <v>326</v>
      </c>
      <c r="B327" s="8">
        <v>40558</v>
      </c>
      <c r="C327" s="7">
        <v>1</v>
      </c>
      <c r="D327" s="7">
        <v>0</v>
      </c>
      <c r="E327" s="7">
        <v>1</v>
      </c>
      <c r="F327" s="7">
        <v>1</v>
      </c>
      <c r="G327" s="7" t="b">
        <v>0</v>
      </c>
      <c r="H327" s="7">
        <f t="shared" si="5"/>
        <v>6</v>
      </c>
      <c r="I327" s="7">
        <v>2</v>
      </c>
      <c r="J327" s="10">
        <v>0.16</v>
      </c>
      <c r="K327" s="1"/>
      <c r="L327" s="1"/>
      <c r="M327" s="1"/>
      <c r="N327" s="1"/>
      <c r="O327" s="1"/>
      <c r="P327" s="1"/>
      <c r="Q327" s="1"/>
      <c r="R327" s="1"/>
      <c r="S327" s="1"/>
      <c r="T327" s="1"/>
      <c r="U327" s="1"/>
      <c r="V327" s="1"/>
      <c r="W327" s="1"/>
      <c r="X327" s="1"/>
      <c r="Y327" s="1"/>
    </row>
    <row r="328" spans="1:25" ht="15" thickBot="1" x14ac:dyDescent="0.35">
      <c r="A328" s="9">
        <v>327</v>
      </c>
      <c r="B328" s="8">
        <v>40558</v>
      </c>
      <c r="C328" s="7">
        <v>1</v>
      </c>
      <c r="D328" s="7">
        <v>0</v>
      </c>
      <c r="E328" s="7">
        <v>1</v>
      </c>
      <c r="F328" s="7">
        <v>2</v>
      </c>
      <c r="G328" s="7" t="b">
        <v>0</v>
      </c>
      <c r="H328" s="7">
        <f t="shared" si="5"/>
        <v>6</v>
      </c>
      <c r="I328" s="7">
        <v>2</v>
      </c>
      <c r="J328" s="10">
        <v>0.16</v>
      </c>
      <c r="K328" s="1"/>
      <c r="L328" s="1"/>
      <c r="M328" s="1"/>
      <c r="N328" s="1"/>
      <c r="O328" s="1"/>
      <c r="P328" s="1"/>
      <c r="Q328" s="1"/>
      <c r="R328" s="1"/>
      <c r="S328" s="1"/>
      <c r="T328" s="1"/>
      <c r="U328" s="1"/>
      <c r="V328" s="1"/>
      <c r="W328" s="1"/>
      <c r="X328" s="1"/>
      <c r="Y328" s="1"/>
    </row>
    <row r="329" spans="1:25" ht="15" thickBot="1" x14ac:dyDescent="0.35">
      <c r="A329" s="9">
        <v>328</v>
      </c>
      <c r="B329" s="8">
        <v>40558</v>
      </c>
      <c r="C329" s="7">
        <v>1</v>
      </c>
      <c r="D329" s="7">
        <v>0</v>
      </c>
      <c r="E329" s="7">
        <v>1</v>
      </c>
      <c r="F329" s="7">
        <v>3</v>
      </c>
      <c r="G329" s="7" t="b">
        <v>0</v>
      </c>
      <c r="H329" s="7">
        <f t="shared" si="5"/>
        <v>6</v>
      </c>
      <c r="I329" s="7">
        <v>2</v>
      </c>
      <c r="J329" s="10">
        <v>0.16</v>
      </c>
      <c r="K329" s="1"/>
      <c r="L329" s="1"/>
      <c r="M329" s="1"/>
      <c r="N329" s="1"/>
      <c r="O329" s="1"/>
      <c r="P329" s="1"/>
      <c r="Q329" s="1"/>
      <c r="R329" s="1"/>
      <c r="S329" s="1"/>
      <c r="T329" s="1"/>
      <c r="U329" s="1"/>
      <c r="V329" s="1"/>
      <c r="W329" s="1"/>
      <c r="X329" s="1"/>
      <c r="Y329" s="1"/>
    </row>
    <row r="330" spans="1:25" ht="15" thickBot="1" x14ac:dyDescent="0.35">
      <c r="A330" s="9">
        <v>329</v>
      </c>
      <c r="B330" s="8">
        <v>40558</v>
      </c>
      <c r="C330" s="7">
        <v>1</v>
      </c>
      <c r="D330" s="7">
        <v>0</v>
      </c>
      <c r="E330" s="7">
        <v>1</v>
      </c>
      <c r="F330" s="7">
        <v>4</v>
      </c>
      <c r="G330" s="7" t="b">
        <v>0</v>
      </c>
      <c r="H330" s="7">
        <f t="shared" si="5"/>
        <v>6</v>
      </c>
      <c r="I330" s="7">
        <v>2</v>
      </c>
      <c r="J330" s="10">
        <v>0.16</v>
      </c>
      <c r="K330" s="1"/>
      <c r="L330" s="1"/>
      <c r="M330" s="1"/>
      <c r="N330" s="1"/>
      <c r="O330" s="1"/>
      <c r="P330" s="1"/>
      <c r="Q330" s="1"/>
      <c r="R330" s="1"/>
      <c r="S330" s="1"/>
      <c r="T330" s="1"/>
      <c r="U330" s="1"/>
      <c r="V330" s="1"/>
      <c r="W330" s="1"/>
      <c r="X330" s="1"/>
      <c r="Y330" s="1"/>
    </row>
    <row r="331" spans="1:25" ht="15" thickBot="1" x14ac:dyDescent="0.35">
      <c r="A331" s="9">
        <v>330</v>
      </c>
      <c r="B331" s="8">
        <v>40558</v>
      </c>
      <c r="C331" s="7">
        <v>1</v>
      </c>
      <c r="D331" s="7">
        <v>0</v>
      </c>
      <c r="E331" s="7">
        <v>1</v>
      </c>
      <c r="F331" s="7">
        <v>5</v>
      </c>
      <c r="G331" s="7" t="b">
        <v>0</v>
      </c>
      <c r="H331" s="7">
        <f t="shared" si="5"/>
        <v>6</v>
      </c>
      <c r="I331" s="7">
        <v>1</v>
      </c>
      <c r="J331" s="10">
        <v>0.16</v>
      </c>
      <c r="K331" s="1"/>
      <c r="L331" s="1"/>
      <c r="M331" s="1"/>
      <c r="N331" s="1"/>
      <c r="O331" s="1"/>
      <c r="P331" s="1"/>
      <c r="Q331" s="1"/>
      <c r="R331" s="1"/>
      <c r="S331" s="1"/>
      <c r="T331" s="1"/>
      <c r="U331" s="1"/>
      <c r="V331" s="1"/>
      <c r="W331" s="1"/>
      <c r="X331" s="1"/>
      <c r="Y331" s="1"/>
    </row>
    <row r="332" spans="1:25" ht="15" thickBot="1" x14ac:dyDescent="0.35">
      <c r="A332" s="9">
        <v>331</v>
      </c>
      <c r="B332" s="8">
        <v>40558</v>
      </c>
      <c r="C332" s="7">
        <v>1</v>
      </c>
      <c r="D332" s="7">
        <v>0</v>
      </c>
      <c r="E332" s="7">
        <v>1</v>
      </c>
      <c r="F332" s="7">
        <v>6</v>
      </c>
      <c r="G332" s="7" t="b">
        <v>0</v>
      </c>
      <c r="H332" s="7">
        <f t="shared" si="5"/>
        <v>6</v>
      </c>
      <c r="I332" s="7">
        <v>1</v>
      </c>
      <c r="J332" s="10">
        <v>0.14000000000000001</v>
      </c>
      <c r="K332" s="1"/>
      <c r="L332" s="1"/>
      <c r="M332" s="1"/>
      <c r="N332" s="1"/>
      <c r="O332" s="1"/>
      <c r="P332" s="1"/>
      <c r="Q332" s="1"/>
      <c r="R332" s="1"/>
      <c r="S332" s="1"/>
      <c r="T332" s="1"/>
      <c r="U332" s="1"/>
      <c r="V332" s="1"/>
      <c r="W332" s="1"/>
      <c r="X332" s="1"/>
      <c r="Y332" s="1"/>
    </row>
    <row r="333" spans="1:25" ht="15" thickBot="1" x14ac:dyDescent="0.35">
      <c r="A333" s="9">
        <v>332</v>
      </c>
      <c r="B333" s="8">
        <v>40558</v>
      </c>
      <c r="C333" s="7">
        <v>1</v>
      </c>
      <c r="D333" s="7">
        <v>0</v>
      </c>
      <c r="E333" s="7">
        <v>1</v>
      </c>
      <c r="F333" s="7">
        <v>7</v>
      </c>
      <c r="G333" s="7" t="b">
        <v>0</v>
      </c>
      <c r="H333" s="7">
        <f t="shared" si="5"/>
        <v>6</v>
      </c>
      <c r="I333" s="7">
        <v>1</v>
      </c>
      <c r="J333" s="10">
        <v>0.14000000000000001</v>
      </c>
      <c r="K333" s="1"/>
      <c r="L333" s="1"/>
      <c r="M333" s="1"/>
      <c r="N333" s="1"/>
      <c r="O333" s="1"/>
      <c r="P333" s="1"/>
      <c r="Q333" s="1"/>
      <c r="R333" s="1"/>
      <c r="S333" s="1"/>
      <c r="T333" s="1"/>
      <c r="U333" s="1"/>
      <c r="V333" s="1"/>
      <c r="W333" s="1"/>
      <c r="X333" s="1"/>
      <c r="Y333" s="1"/>
    </row>
    <row r="334" spans="1:25" ht="15" thickBot="1" x14ac:dyDescent="0.35">
      <c r="A334" s="9">
        <v>333</v>
      </c>
      <c r="B334" s="8">
        <v>40558</v>
      </c>
      <c r="C334" s="7">
        <v>1</v>
      </c>
      <c r="D334" s="7">
        <v>0</v>
      </c>
      <c r="E334" s="7">
        <v>1</v>
      </c>
      <c r="F334" s="7">
        <v>8</v>
      </c>
      <c r="G334" s="7" t="b">
        <v>0</v>
      </c>
      <c r="H334" s="7">
        <f t="shared" si="5"/>
        <v>6</v>
      </c>
      <c r="I334" s="7">
        <v>1</v>
      </c>
      <c r="J334" s="10">
        <v>0.14000000000000001</v>
      </c>
      <c r="K334" s="1"/>
      <c r="L334" s="1"/>
      <c r="M334" s="1"/>
      <c r="N334" s="1"/>
      <c r="O334" s="1"/>
      <c r="P334" s="1"/>
      <c r="Q334" s="1"/>
      <c r="R334" s="1"/>
      <c r="S334" s="1"/>
      <c r="T334" s="1"/>
      <c r="U334" s="1"/>
      <c r="V334" s="1"/>
      <c r="W334" s="1"/>
      <c r="X334" s="1"/>
      <c r="Y334" s="1"/>
    </row>
    <row r="335" spans="1:25" ht="15" thickBot="1" x14ac:dyDescent="0.35">
      <c r="A335" s="9">
        <v>334</v>
      </c>
      <c r="B335" s="8">
        <v>40558</v>
      </c>
      <c r="C335" s="7">
        <v>1</v>
      </c>
      <c r="D335" s="7">
        <v>0</v>
      </c>
      <c r="E335" s="7">
        <v>1</v>
      </c>
      <c r="F335" s="7">
        <v>9</v>
      </c>
      <c r="G335" s="7" t="b">
        <v>0</v>
      </c>
      <c r="H335" s="7">
        <f t="shared" si="5"/>
        <v>6</v>
      </c>
      <c r="I335" s="7">
        <v>1</v>
      </c>
      <c r="J335" s="10">
        <v>0.16</v>
      </c>
      <c r="K335" s="1"/>
      <c r="L335" s="1"/>
      <c r="M335" s="1"/>
      <c r="N335" s="1"/>
      <c r="O335" s="1"/>
      <c r="P335" s="1"/>
      <c r="Q335" s="1"/>
      <c r="R335" s="1"/>
      <c r="S335" s="1"/>
      <c r="T335" s="1"/>
      <c r="U335" s="1"/>
      <c r="V335" s="1"/>
      <c r="W335" s="1"/>
      <c r="X335" s="1"/>
      <c r="Y335" s="1"/>
    </row>
    <row r="336" spans="1:25" ht="15" thickBot="1" x14ac:dyDescent="0.35">
      <c r="A336" s="9">
        <v>335</v>
      </c>
      <c r="B336" s="8">
        <v>40558</v>
      </c>
      <c r="C336" s="7">
        <v>1</v>
      </c>
      <c r="D336" s="7">
        <v>0</v>
      </c>
      <c r="E336" s="7">
        <v>1</v>
      </c>
      <c r="F336" s="7">
        <v>10</v>
      </c>
      <c r="G336" s="7" t="b">
        <v>0</v>
      </c>
      <c r="H336" s="7">
        <f t="shared" si="5"/>
        <v>6</v>
      </c>
      <c r="I336" s="7">
        <v>1</v>
      </c>
      <c r="J336" s="10">
        <v>0.18</v>
      </c>
      <c r="K336" s="1"/>
      <c r="L336" s="1"/>
      <c r="M336" s="1"/>
      <c r="N336" s="1"/>
      <c r="O336" s="1"/>
      <c r="P336" s="1"/>
      <c r="Q336" s="1"/>
      <c r="R336" s="1"/>
      <c r="S336" s="1"/>
      <c r="T336" s="1"/>
      <c r="U336" s="1"/>
      <c r="V336" s="1"/>
      <c r="W336" s="1"/>
      <c r="X336" s="1"/>
      <c r="Y336" s="1"/>
    </row>
    <row r="337" spans="1:25" ht="15" thickBot="1" x14ac:dyDescent="0.35">
      <c r="A337" s="9">
        <v>336</v>
      </c>
      <c r="B337" s="8">
        <v>40558</v>
      </c>
      <c r="C337" s="7">
        <v>1</v>
      </c>
      <c r="D337" s="7">
        <v>0</v>
      </c>
      <c r="E337" s="7">
        <v>1</v>
      </c>
      <c r="F337" s="7">
        <v>11</v>
      </c>
      <c r="G337" s="7" t="b">
        <v>0</v>
      </c>
      <c r="H337" s="7">
        <f t="shared" si="5"/>
        <v>6</v>
      </c>
      <c r="I337" s="7">
        <v>1</v>
      </c>
      <c r="J337" s="10">
        <v>0.2</v>
      </c>
      <c r="K337" s="1"/>
      <c r="L337" s="1"/>
      <c r="M337" s="1"/>
      <c r="N337" s="1"/>
      <c r="O337" s="1"/>
      <c r="P337" s="1"/>
      <c r="Q337" s="1"/>
      <c r="R337" s="1"/>
      <c r="S337" s="1"/>
      <c r="T337" s="1"/>
      <c r="U337" s="1"/>
      <c r="V337" s="1"/>
      <c r="W337" s="1"/>
      <c r="X337" s="1"/>
      <c r="Y337" s="1"/>
    </row>
    <row r="338" spans="1:25" ht="15" thickBot="1" x14ac:dyDescent="0.35">
      <c r="A338" s="9">
        <v>337</v>
      </c>
      <c r="B338" s="8">
        <v>40558</v>
      </c>
      <c r="C338" s="7">
        <v>1</v>
      </c>
      <c r="D338" s="7">
        <v>0</v>
      </c>
      <c r="E338" s="7">
        <v>1</v>
      </c>
      <c r="F338" s="7">
        <v>12</v>
      </c>
      <c r="G338" s="7" t="b">
        <v>0</v>
      </c>
      <c r="H338" s="7">
        <f t="shared" si="5"/>
        <v>6</v>
      </c>
      <c r="I338" s="7">
        <v>1</v>
      </c>
      <c r="J338" s="10">
        <v>0.24</v>
      </c>
      <c r="K338" s="1"/>
      <c r="L338" s="1"/>
      <c r="M338" s="1"/>
      <c r="N338" s="1"/>
      <c r="O338" s="1"/>
      <c r="P338" s="1"/>
      <c r="Q338" s="1"/>
      <c r="R338" s="1"/>
      <c r="S338" s="1"/>
      <c r="T338" s="1"/>
      <c r="U338" s="1"/>
      <c r="V338" s="1"/>
      <c r="W338" s="1"/>
      <c r="X338" s="1"/>
      <c r="Y338" s="1"/>
    </row>
    <row r="339" spans="1:25" ht="15" thickBot="1" x14ac:dyDescent="0.35">
      <c r="A339" s="9">
        <v>338</v>
      </c>
      <c r="B339" s="8">
        <v>40558</v>
      </c>
      <c r="C339" s="7">
        <v>1</v>
      </c>
      <c r="D339" s="7">
        <v>0</v>
      </c>
      <c r="E339" s="7">
        <v>1</v>
      </c>
      <c r="F339" s="7">
        <v>13</v>
      </c>
      <c r="G339" s="7" t="b">
        <v>0</v>
      </c>
      <c r="H339" s="7">
        <f t="shared" si="5"/>
        <v>6</v>
      </c>
      <c r="I339" s="7">
        <v>1</v>
      </c>
      <c r="J339" s="10">
        <v>0.28000000000000003</v>
      </c>
      <c r="K339" s="1"/>
      <c r="L339" s="1"/>
      <c r="M339" s="1"/>
      <c r="N339" s="1"/>
      <c r="O339" s="1"/>
      <c r="P339" s="1"/>
      <c r="Q339" s="1"/>
      <c r="R339" s="1"/>
      <c r="S339" s="1"/>
      <c r="T339" s="1"/>
      <c r="U339" s="1"/>
      <c r="V339" s="1"/>
      <c r="W339" s="1"/>
      <c r="X339" s="1"/>
      <c r="Y339" s="1"/>
    </row>
    <row r="340" spans="1:25" ht="15" thickBot="1" x14ac:dyDescent="0.35">
      <c r="A340" s="9">
        <v>339</v>
      </c>
      <c r="B340" s="8">
        <v>40558</v>
      </c>
      <c r="C340" s="7">
        <v>1</v>
      </c>
      <c r="D340" s="7">
        <v>0</v>
      </c>
      <c r="E340" s="7">
        <v>1</v>
      </c>
      <c r="F340" s="7">
        <v>14</v>
      </c>
      <c r="G340" s="7" t="b">
        <v>0</v>
      </c>
      <c r="H340" s="7">
        <f t="shared" si="5"/>
        <v>6</v>
      </c>
      <c r="I340" s="7">
        <v>1</v>
      </c>
      <c r="J340" s="10">
        <v>0.3</v>
      </c>
      <c r="K340" s="1"/>
      <c r="L340" s="1"/>
      <c r="M340" s="1"/>
      <c r="N340" s="1"/>
      <c r="O340" s="1"/>
      <c r="P340" s="1"/>
      <c r="Q340" s="1"/>
      <c r="R340" s="1"/>
      <c r="S340" s="1"/>
      <c r="T340" s="1"/>
      <c r="U340" s="1"/>
      <c r="V340" s="1"/>
      <c r="W340" s="1"/>
      <c r="X340" s="1"/>
      <c r="Y340" s="1"/>
    </row>
    <row r="341" spans="1:25" ht="15" thickBot="1" x14ac:dyDescent="0.35">
      <c r="A341" s="9">
        <v>340</v>
      </c>
      <c r="B341" s="8">
        <v>40558</v>
      </c>
      <c r="C341" s="7">
        <v>1</v>
      </c>
      <c r="D341" s="7">
        <v>0</v>
      </c>
      <c r="E341" s="7">
        <v>1</v>
      </c>
      <c r="F341" s="7">
        <v>15</v>
      </c>
      <c r="G341" s="7" t="b">
        <v>0</v>
      </c>
      <c r="H341" s="7">
        <f t="shared" si="5"/>
        <v>6</v>
      </c>
      <c r="I341" s="7">
        <v>2</v>
      </c>
      <c r="J341" s="10">
        <v>0.32</v>
      </c>
      <c r="K341" s="1"/>
      <c r="L341" s="1"/>
      <c r="M341" s="1"/>
      <c r="N341" s="1"/>
      <c r="O341" s="1"/>
      <c r="P341" s="1"/>
      <c r="Q341" s="1"/>
      <c r="R341" s="1"/>
      <c r="S341" s="1"/>
      <c r="T341" s="1"/>
      <c r="U341" s="1"/>
      <c r="V341" s="1"/>
      <c r="W341" s="1"/>
      <c r="X341" s="1"/>
      <c r="Y341" s="1"/>
    </row>
    <row r="342" spans="1:25" ht="15" thickBot="1" x14ac:dyDescent="0.35">
      <c r="A342" s="9">
        <v>341</v>
      </c>
      <c r="B342" s="8">
        <v>40558</v>
      </c>
      <c r="C342" s="7">
        <v>1</v>
      </c>
      <c r="D342" s="7">
        <v>0</v>
      </c>
      <c r="E342" s="7">
        <v>1</v>
      </c>
      <c r="F342" s="7">
        <v>16</v>
      </c>
      <c r="G342" s="7" t="b">
        <v>0</v>
      </c>
      <c r="H342" s="7">
        <f t="shared" si="5"/>
        <v>6</v>
      </c>
      <c r="I342" s="7">
        <v>2</v>
      </c>
      <c r="J342" s="10">
        <v>0.34</v>
      </c>
      <c r="K342" s="1"/>
      <c r="L342" s="1"/>
      <c r="M342" s="1"/>
      <c r="N342" s="1"/>
      <c r="O342" s="1"/>
      <c r="P342" s="1"/>
      <c r="Q342" s="1"/>
      <c r="R342" s="1"/>
      <c r="S342" s="1"/>
      <c r="T342" s="1"/>
      <c r="U342" s="1"/>
      <c r="V342" s="1"/>
      <c r="W342" s="1"/>
      <c r="X342" s="1"/>
      <c r="Y342" s="1"/>
    </row>
    <row r="343" spans="1:25" ht="15" thickBot="1" x14ac:dyDescent="0.35">
      <c r="A343" s="9">
        <v>342</v>
      </c>
      <c r="B343" s="8">
        <v>40558</v>
      </c>
      <c r="C343" s="7">
        <v>1</v>
      </c>
      <c r="D343" s="7">
        <v>0</v>
      </c>
      <c r="E343" s="7">
        <v>1</v>
      </c>
      <c r="F343" s="7">
        <v>17</v>
      </c>
      <c r="G343" s="7" t="b">
        <v>0</v>
      </c>
      <c r="H343" s="7">
        <f t="shared" si="5"/>
        <v>6</v>
      </c>
      <c r="I343" s="7">
        <v>2</v>
      </c>
      <c r="J343" s="10">
        <v>0.32</v>
      </c>
      <c r="K343" s="1"/>
      <c r="L343" s="1"/>
      <c r="M343" s="1"/>
      <c r="N343" s="1"/>
      <c r="O343" s="1"/>
      <c r="P343" s="1"/>
      <c r="Q343" s="1"/>
      <c r="R343" s="1"/>
      <c r="S343" s="1"/>
      <c r="T343" s="1"/>
      <c r="U343" s="1"/>
      <c r="V343" s="1"/>
      <c r="W343" s="1"/>
      <c r="X343" s="1"/>
      <c r="Y343" s="1"/>
    </row>
    <row r="344" spans="1:25" ht="15" thickBot="1" x14ac:dyDescent="0.35">
      <c r="A344" s="9">
        <v>343</v>
      </c>
      <c r="B344" s="8">
        <v>40558</v>
      </c>
      <c r="C344" s="7">
        <v>1</v>
      </c>
      <c r="D344" s="7">
        <v>0</v>
      </c>
      <c r="E344" s="7">
        <v>1</v>
      </c>
      <c r="F344" s="7">
        <v>18</v>
      </c>
      <c r="G344" s="7" t="b">
        <v>0</v>
      </c>
      <c r="H344" s="7">
        <f t="shared" si="5"/>
        <v>6</v>
      </c>
      <c r="I344" s="7">
        <v>2</v>
      </c>
      <c r="J344" s="10">
        <v>0.3</v>
      </c>
      <c r="K344" s="1"/>
      <c r="L344" s="1"/>
      <c r="M344" s="1"/>
      <c r="N344" s="1"/>
      <c r="O344" s="1"/>
      <c r="P344" s="1"/>
      <c r="Q344" s="1"/>
      <c r="R344" s="1"/>
      <c r="S344" s="1"/>
      <c r="T344" s="1"/>
      <c r="U344" s="1"/>
      <c r="V344" s="1"/>
      <c r="W344" s="1"/>
      <c r="X344" s="1"/>
      <c r="Y344" s="1"/>
    </row>
    <row r="345" spans="1:25" ht="15" thickBot="1" x14ac:dyDescent="0.35">
      <c r="A345" s="9">
        <v>344</v>
      </c>
      <c r="B345" s="8">
        <v>40558</v>
      </c>
      <c r="C345" s="7">
        <v>1</v>
      </c>
      <c r="D345" s="7">
        <v>0</v>
      </c>
      <c r="E345" s="7">
        <v>1</v>
      </c>
      <c r="F345" s="7">
        <v>19</v>
      </c>
      <c r="G345" s="7" t="b">
        <v>0</v>
      </c>
      <c r="H345" s="7">
        <f t="shared" si="5"/>
        <v>6</v>
      </c>
      <c r="I345" s="7">
        <v>2</v>
      </c>
      <c r="J345" s="10">
        <v>0.32</v>
      </c>
      <c r="K345" s="1"/>
      <c r="L345" s="1"/>
      <c r="M345" s="1"/>
      <c r="N345" s="1"/>
      <c r="O345" s="1"/>
      <c r="P345" s="1"/>
      <c r="Q345" s="1"/>
      <c r="R345" s="1"/>
      <c r="S345" s="1"/>
      <c r="T345" s="1"/>
      <c r="U345" s="1"/>
      <c r="V345" s="1"/>
      <c r="W345" s="1"/>
      <c r="X345" s="1"/>
      <c r="Y345" s="1"/>
    </row>
    <row r="346" spans="1:25" ht="15" thickBot="1" x14ac:dyDescent="0.35">
      <c r="A346" s="9">
        <v>345</v>
      </c>
      <c r="B346" s="8">
        <v>40558</v>
      </c>
      <c r="C346" s="7">
        <v>1</v>
      </c>
      <c r="D346" s="7">
        <v>0</v>
      </c>
      <c r="E346" s="7">
        <v>1</v>
      </c>
      <c r="F346" s="7">
        <v>20</v>
      </c>
      <c r="G346" s="7" t="b">
        <v>0</v>
      </c>
      <c r="H346" s="7">
        <f t="shared" si="5"/>
        <v>6</v>
      </c>
      <c r="I346" s="7">
        <v>2</v>
      </c>
      <c r="J346" s="10">
        <v>0.32</v>
      </c>
      <c r="K346" s="1"/>
      <c r="L346" s="1"/>
      <c r="M346" s="1"/>
      <c r="N346" s="1"/>
      <c r="O346" s="1"/>
      <c r="P346" s="1"/>
      <c r="Q346" s="1"/>
      <c r="R346" s="1"/>
      <c r="S346" s="1"/>
      <c r="T346" s="1"/>
      <c r="U346" s="1"/>
      <c r="V346" s="1"/>
      <c r="W346" s="1"/>
      <c r="X346" s="1"/>
      <c r="Y346" s="1"/>
    </row>
    <row r="347" spans="1:25" ht="15" thickBot="1" x14ac:dyDescent="0.35">
      <c r="A347" s="9">
        <v>346</v>
      </c>
      <c r="B347" s="8">
        <v>40558</v>
      </c>
      <c r="C347" s="7">
        <v>1</v>
      </c>
      <c r="D347" s="7">
        <v>0</v>
      </c>
      <c r="E347" s="7">
        <v>1</v>
      </c>
      <c r="F347" s="7">
        <v>21</v>
      </c>
      <c r="G347" s="7" t="b">
        <v>0</v>
      </c>
      <c r="H347" s="7">
        <f t="shared" si="5"/>
        <v>6</v>
      </c>
      <c r="I347" s="7">
        <v>2</v>
      </c>
      <c r="J347" s="10">
        <v>0.32</v>
      </c>
      <c r="K347" s="1"/>
      <c r="L347" s="1"/>
      <c r="M347" s="1"/>
      <c r="N347" s="1"/>
      <c r="O347" s="1"/>
      <c r="P347" s="1"/>
      <c r="Q347" s="1"/>
      <c r="R347" s="1"/>
      <c r="S347" s="1"/>
      <c r="T347" s="1"/>
      <c r="U347" s="1"/>
      <c r="V347" s="1"/>
      <c r="W347" s="1"/>
      <c r="X347" s="1"/>
      <c r="Y347" s="1"/>
    </row>
    <row r="348" spans="1:25" ht="15" thickBot="1" x14ac:dyDescent="0.35">
      <c r="A348" s="9">
        <v>347</v>
      </c>
      <c r="B348" s="8">
        <v>40558</v>
      </c>
      <c r="C348" s="7">
        <v>1</v>
      </c>
      <c r="D348" s="7">
        <v>0</v>
      </c>
      <c r="E348" s="7">
        <v>1</v>
      </c>
      <c r="F348" s="7">
        <v>22</v>
      </c>
      <c r="G348" s="7" t="b">
        <v>0</v>
      </c>
      <c r="H348" s="7">
        <f t="shared" si="5"/>
        <v>6</v>
      </c>
      <c r="I348" s="7">
        <v>2</v>
      </c>
      <c r="J348" s="10">
        <v>0.3</v>
      </c>
      <c r="K348" s="1"/>
      <c r="L348" s="1"/>
      <c r="M348" s="1"/>
      <c r="N348" s="1"/>
      <c r="O348" s="1"/>
      <c r="P348" s="1"/>
      <c r="Q348" s="1"/>
      <c r="R348" s="1"/>
      <c r="S348" s="1"/>
      <c r="T348" s="1"/>
      <c r="U348" s="1"/>
      <c r="V348" s="1"/>
      <c r="W348" s="1"/>
      <c r="X348" s="1"/>
      <c r="Y348" s="1"/>
    </row>
    <row r="349" spans="1:25" ht="15" thickBot="1" x14ac:dyDescent="0.35">
      <c r="A349" s="9">
        <v>348</v>
      </c>
      <c r="B349" s="8">
        <v>40558</v>
      </c>
      <c r="C349" s="7">
        <v>1</v>
      </c>
      <c r="D349" s="7">
        <v>0</v>
      </c>
      <c r="E349" s="7">
        <v>1</v>
      </c>
      <c r="F349" s="7">
        <v>23</v>
      </c>
      <c r="G349" s="7" t="b">
        <v>0</v>
      </c>
      <c r="H349" s="7">
        <f t="shared" si="5"/>
        <v>6</v>
      </c>
      <c r="I349" s="7">
        <v>1</v>
      </c>
      <c r="J349" s="10">
        <v>0.3</v>
      </c>
      <c r="K349" s="1"/>
      <c r="L349" s="1"/>
      <c r="M349" s="1"/>
      <c r="N349" s="1"/>
      <c r="O349" s="1"/>
      <c r="P349" s="1"/>
      <c r="Q349" s="1"/>
      <c r="R349" s="1"/>
      <c r="S349" s="1"/>
      <c r="T349" s="1"/>
      <c r="U349" s="1"/>
      <c r="V349" s="1"/>
      <c r="W349" s="1"/>
      <c r="X349" s="1"/>
      <c r="Y349" s="1"/>
    </row>
    <row r="350" spans="1:25" ht="15" thickBot="1" x14ac:dyDescent="0.35">
      <c r="A350" s="9">
        <v>349</v>
      </c>
      <c r="B350" s="8">
        <v>40559</v>
      </c>
      <c r="C350" s="7">
        <v>1</v>
      </c>
      <c r="D350" s="7">
        <v>0</v>
      </c>
      <c r="E350" s="7">
        <v>1</v>
      </c>
      <c r="F350" s="7">
        <v>0</v>
      </c>
      <c r="G350" s="7" t="b">
        <v>0</v>
      </c>
      <c r="H350" s="7">
        <f t="shared" si="5"/>
        <v>7</v>
      </c>
      <c r="I350" s="7">
        <v>1</v>
      </c>
      <c r="J350" s="10">
        <v>0.26</v>
      </c>
      <c r="K350" s="1"/>
      <c r="L350" s="1"/>
      <c r="M350" s="1"/>
      <c r="N350" s="1"/>
      <c r="O350" s="1"/>
      <c r="P350" s="1"/>
      <c r="Q350" s="1"/>
      <c r="R350" s="1"/>
      <c r="S350" s="1"/>
      <c r="T350" s="1"/>
      <c r="U350" s="1"/>
      <c r="V350" s="1"/>
      <c r="W350" s="1"/>
      <c r="X350" s="1"/>
      <c r="Y350" s="1"/>
    </row>
    <row r="351" spans="1:25" ht="15" thickBot="1" x14ac:dyDescent="0.35">
      <c r="A351" s="9">
        <v>350</v>
      </c>
      <c r="B351" s="8">
        <v>40559</v>
      </c>
      <c r="C351" s="7">
        <v>1</v>
      </c>
      <c r="D351" s="7">
        <v>0</v>
      </c>
      <c r="E351" s="7">
        <v>1</v>
      </c>
      <c r="F351" s="7">
        <v>1</v>
      </c>
      <c r="G351" s="7" t="b">
        <v>0</v>
      </c>
      <c r="H351" s="7">
        <f t="shared" si="5"/>
        <v>7</v>
      </c>
      <c r="I351" s="7">
        <v>1</v>
      </c>
      <c r="J351" s="10">
        <v>0.26</v>
      </c>
      <c r="K351" s="1"/>
      <c r="L351" s="1"/>
      <c r="M351" s="1"/>
      <c r="N351" s="1"/>
      <c r="O351" s="1"/>
      <c r="P351" s="1"/>
      <c r="Q351" s="1"/>
      <c r="R351" s="1"/>
      <c r="S351" s="1"/>
      <c r="T351" s="1"/>
      <c r="U351" s="1"/>
      <c r="V351" s="1"/>
      <c r="W351" s="1"/>
      <c r="X351" s="1"/>
      <c r="Y351" s="1"/>
    </row>
    <row r="352" spans="1:25" ht="15" thickBot="1" x14ac:dyDescent="0.35">
      <c r="A352" s="9">
        <v>351</v>
      </c>
      <c r="B352" s="8">
        <v>40559</v>
      </c>
      <c r="C352" s="7">
        <v>1</v>
      </c>
      <c r="D352" s="7">
        <v>0</v>
      </c>
      <c r="E352" s="7">
        <v>1</v>
      </c>
      <c r="F352" s="7">
        <v>2</v>
      </c>
      <c r="G352" s="7" t="b">
        <v>0</v>
      </c>
      <c r="H352" s="7">
        <f t="shared" si="5"/>
        <v>7</v>
      </c>
      <c r="I352" s="7">
        <v>1</v>
      </c>
      <c r="J352" s="10">
        <v>0.26</v>
      </c>
      <c r="K352" s="1"/>
      <c r="L352" s="1"/>
      <c r="M352" s="1"/>
      <c r="N352" s="1"/>
      <c r="O352" s="1"/>
      <c r="P352" s="1"/>
      <c r="Q352" s="1"/>
      <c r="R352" s="1"/>
      <c r="S352" s="1"/>
      <c r="T352" s="1"/>
      <c r="U352" s="1"/>
      <c r="V352" s="1"/>
      <c r="W352" s="1"/>
      <c r="X352" s="1"/>
      <c r="Y352" s="1"/>
    </row>
    <row r="353" spans="1:25" ht="15" thickBot="1" x14ac:dyDescent="0.35">
      <c r="A353" s="9">
        <v>352</v>
      </c>
      <c r="B353" s="8">
        <v>40559</v>
      </c>
      <c r="C353" s="7">
        <v>1</v>
      </c>
      <c r="D353" s="7">
        <v>0</v>
      </c>
      <c r="E353" s="7">
        <v>1</v>
      </c>
      <c r="F353" s="7">
        <v>3</v>
      </c>
      <c r="G353" s="7" t="b">
        <v>0</v>
      </c>
      <c r="H353" s="7">
        <f t="shared" si="5"/>
        <v>7</v>
      </c>
      <c r="I353" s="7">
        <v>1</v>
      </c>
      <c r="J353" s="10">
        <v>0.22</v>
      </c>
      <c r="K353" s="1"/>
      <c r="L353" s="1"/>
      <c r="M353" s="1"/>
      <c r="N353" s="1"/>
      <c r="O353" s="1"/>
      <c r="P353" s="1"/>
      <c r="Q353" s="1"/>
      <c r="R353" s="1"/>
      <c r="S353" s="1"/>
      <c r="T353" s="1"/>
      <c r="U353" s="1"/>
      <c r="V353" s="1"/>
      <c r="W353" s="1"/>
      <c r="X353" s="1"/>
      <c r="Y353" s="1"/>
    </row>
    <row r="354" spans="1:25" ht="15" thickBot="1" x14ac:dyDescent="0.35">
      <c r="A354" s="9">
        <v>353</v>
      </c>
      <c r="B354" s="8">
        <v>40559</v>
      </c>
      <c r="C354" s="7">
        <v>1</v>
      </c>
      <c r="D354" s="7">
        <v>0</v>
      </c>
      <c r="E354" s="7">
        <v>1</v>
      </c>
      <c r="F354" s="7">
        <v>4</v>
      </c>
      <c r="G354" s="7" t="b">
        <v>0</v>
      </c>
      <c r="H354" s="7">
        <f t="shared" si="5"/>
        <v>7</v>
      </c>
      <c r="I354" s="7">
        <v>1</v>
      </c>
      <c r="J354" s="10">
        <v>0.26</v>
      </c>
      <c r="K354" s="1"/>
      <c r="L354" s="1"/>
      <c r="M354" s="1"/>
      <c r="N354" s="1"/>
      <c r="O354" s="1"/>
      <c r="P354" s="1"/>
      <c r="Q354" s="1"/>
      <c r="R354" s="1"/>
      <c r="S354" s="1"/>
      <c r="T354" s="1"/>
      <c r="U354" s="1"/>
      <c r="V354" s="1"/>
      <c r="W354" s="1"/>
      <c r="X354" s="1"/>
      <c r="Y354" s="1"/>
    </row>
    <row r="355" spans="1:25" ht="15" thickBot="1" x14ac:dyDescent="0.35">
      <c r="A355" s="9">
        <v>354</v>
      </c>
      <c r="B355" s="8">
        <v>40559</v>
      </c>
      <c r="C355" s="7">
        <v>1</v>
      </c>
      <c r="D355" s="7">
        <v>0</v>
      </c>
      <c r="E355" s="7">
        <v>1</v>
      </c>
      <c r="F355" s="7">
        <v>5</v>
      </c>
      <c r="G355" s="7" t="b">
        <v>0</v>
      </c>
      <c r="H355" s="7">
        <f t="shared" si="5"/>
        <v>7</v>
      </c>
      <c r="I355" s="7">
        <v>2</v>
      </c>
      <c r="J355" s="10">
        <v>0.26</v>
      </c>
      <c r="K355" s="1"/>
      <c r="L355" s="1"/>
      <c r="M355" s="1"/>
      <c r="N355" s="1"/>
      <c r="O355" s="1"/>
      <c r="P355" s="1"/>
      <c r="Q355" s="1"/>
      <c r="R355" s="1"/>
      <c r="S355" s="1"/>
      <c r="T355" s="1"/>
      <c r="U355" s="1"/>
      <c r="V355" s="1"/>
      <c r="W355" s="1"/>
      <c r="X355" s="1"/>
      <c r="Y355" s="1"/>
    </row>
    <row r="356" spans="1:25" ht="15" thickBot="1" x14ac:dyDescent="0.35">
      <c r="A356" s="9">
        <v>355</v>
      </c>
      <c r="B356" s="8">
        <v>40559</v>
      </c>
      <c r="C356" s="7">
        <v>1</v>
      </c>
      <c r="D356" s="7">
        <v>0</v>
      </c>
      <c r="E356" s="7">
        <v>1</v>
      </c>
      <c r="F356" s="7">
        <v>6</v>
      </c>
      <c r="G356" s="7" t="b">
        <v>0</v>
      </c>
      <c r="H356" s="7">
        <f t="shared" si="5"/>
        <v>7</v>
      </c>
      <c r="I356" s="7">
        <v>2</v>
      </c>
      <c r="J356" s="10">
        <v>0.26</v>
      </c>
      <c r="K356" s="1"/>
      <c r="L356" s="1"/>
      <c r="M356" s="1"/>
      <c r="N356" s="1"/>
      <c r="O356" s="1"/>
      <c r="P356" s="1"/>
      <c r="Q356" s="1"/>
      <c r="R356" s="1"/>
      <c r="S356" s="1"/>
      <c r="T356" s="1"/>
      <c r="U356" s="1"/>
      <c r="V356" s="1"/>
      <c r="W356" s="1"/>
      <c r="X356" s="1"/>
      <c r="Y356" s="1"/>
    </row>
    <row r="357" spans="1:25" ht="15" thickBot="1" x14ac:dyDescent="0.35">
      <c r="A357" s="9">
        <v>356</v>
      </c>
      <c r="B357" s="8">
        <v>40559</v>
      </c>
      <c r="C357" s="7">
        <v>1</v>
      </c>
      <c r="D357" s="7">
        <v>0</v>
      </c>
      <c r="E357" s="7">
        <v>1</v>
      </c>
      <c r="F357" s="7">
        <v>7</v>
      </c>
      <c r="G357" s="7" t="b">
        <v>0</v>
      </c>
      <c r="H357" s="7">
        <f t="shared" si="5"/>
        <v>7</v>
      </c>
      <c r="I357" s="7">
        <v>2</v>
      </c>
      <c r="J357" s="10">
        <v>0.24</v>
      </c>
      <c r="K357" s="1"/>
      <c r="L357" s="1"/>
      <c r="M357" s="1"/>
      <c r="N357" s="1"/>
      <c r="O357" s="1"/>
      <c r="P357" s="1"/>
      <c r="Q357" s="1"/>
      <c r="R357" s="1"/>
      <c r="S357" s="1"/>
      <c r="T357" s="1"/>
      <c r="U357" s="1"/>
      <c r="V357" s="1"/>
      <c r="W357" s="1"/>
      <c r="X357" s="1"/>
      <c r="Y357" s="1"/>
    </row>
    <row r="358" spans="1:25" ht="15" thickBot="1" x14ac:dyDescent="0.35">
      <c r="A358" s="9">
        <v>357</v>
      </c>
      <c r="B358" s="8">
        <v>40559</v>
      </c>
      <c r="C358" s="7">
        <v>1</v>
      </c>
      <c r="D358" s="7">
        <v>0</v>
      </c>
      <c r="E358" s="7">
        <v>1</v>
      </c>
      <c r="F358" s="7">
        <v>8</v>
      </c>
      <c r="G358" s="7" t="b">
        <v>0</v>
      </c>
      <c r="H358" s="7">
        <f t="shared" si="5"/>
        <v>7</v>
      </c>
      <c r="I358" s="7">
        <v>1</v>
      </c>
      <c r="J358" s="10">
        <v>0.22</v>
      </c>
      <c r="K358" s="1"/>
      <c r="L358" s="1"/>
      <c r="M358" s="1"/>
      <c r="N358" s="1"/>
      <c r="O358" s="1"/>
      <c r="P358" s="1"/>
      <c r="Q358" s="1"/>
      <c r="R358" s="1"/>
      <c r="S358" s="1"/>
      <c r="T358" s="1"/>
      <c r="U358" s="1"/>
      <c r="V358" s="1"/>
      <c r="W358" s="1"/>
      <c r="X358" s="1"/>
      <c r="Y358" s="1"/>
    </row>
    <row r="359" spans="1:25" ht="15" thickBot="1" x14ac:dyDescent="0.35">
      <c r="A359" s="9">
        <v>358</v>
      </c>
      <c r="B359" s="8">
        <v>40559</v>
      </c>
      <c r="C359" s="7">
        <v>1</v>
      </c>
      <c r="D359" s="7">
        <v>0</v>
      </c>
      <c r="E359" s="7">
        <v>1</v>
      </c>
      <c r="F359" s="7">
        <v>9</v>
      </c>
      <c r="G359" s="7" t="b">
        <v>0</v>
      </c>
      <c r="H359" s="7">
        <f t="shared" si="5"/>
        <v>7</v>
      </c>
      <c r="I359" s="7">
        <v>1</v>
      </c>
      <c r="J359" s="10">
        <v>0.22</v>
      </c>
      <c r="K359" s="1"/>
      <c r="L359" s="1"/>
      <c r="M359" s="1"/>
      <c r="N359" s="1"/>
      <c r="O359" s="1"/>
      <c r="P359" s="1"/>
      <c r="Q359" s="1"/>
      <c r="R359" s="1"/>
      <c r="S359" s="1"/>
      <c r="T359" s="1"/>
      <c r="U359" s="1"/>
      <c r="V359" s="1"/>
      <c r="W359" s="1"/>
      <c r="X359" s="1"/>
      <c r="Y359" s="1"/>
    </row>
    <row r="360" spans="1:25" ht="15" thickBot="1" x14ac:dyDescent="0.35">
      <c r="A360" s="9">
        <v>359</v>
      </c>
      <c r="B360" s="8">
        <v>40559</v>
      </c>
      <c r="C360" s="7">
        <v>1</v>
      </c>
      <c r="D360" s="7">
        <v>0</v>
      </c>
      <c r="E360" s="7">
        <v>1</v>
      </c>
      <c r="F360" s="7">
        <v>10</v>
      </c>
      <c r="G360" s="7" t="b">
        <v>0</v>
      </c>
      <c r="H360" s="7">
        <f t="shared" si="5"/>
        <v>7</v>
      </c>
      <c r="I360" s="7">
        <v>1</v>
      </c>
      <c r="J360" s="10">
        <v>0.22</v>
      </c>
      <c r="K360" s="1"/>
      <c r="L360" s="1"/>
      <c r="M360" s="1"/>
      <c r="N360" s="1"/>
      <c r="O360" s="1"/>
      <c r="P360" s="1"/>
      <c r="Q360" s="1"/>
      <c r="R360" s="1"/>
      <c r="S360" s="1"/>
      <c r="T360" s="1"/>
      <c r="U360" s="1"/>
      <c r="V360" s="1"/>
      <c r="W360" s="1"/>
      <c r="X360" s="1"/>
      <c r="Y360" s="1"/>
    </row>
    <row r="361" spans="1:25" ht="15" thickBot="1" x14ac:dyDescent="0.35">
      <c r="A361" s="9">
        <v>360</v>
      </c>
      <c r="B361" s="8">
        <v>40559</v>
      </c>
      <c r="C361" s="7">
        <v>1</v>
      </c>
      <c r="D361" s="7">
        <v>0</v>
      </c>
      <c r="E361" s="7">
        <v>1</v>
      </c>
      <c r="F361" s="7">
        <v>11</v>
      </c>
      <c r="G361" s="7" t="b">
        <v>0</v>
      </c>
      <c r="H361" s="7">
        <f t="shared" si="5"/>
        <v>7</v>
      </c>
      <c r="I361" s="7">
        <v>1</v>
      </c>
      <c r="J361" s="10">
        <v>0.24</v>
      </c>
      <c r="K361" s="1"/>
      <c r="L361" s="1"/>
      <c r="M361" s="1"/>
      <c r="N361" s="1"/>
      <c r="O361" s="1"/>
      <c r="P361" s="1"/>
      <c r="Q361" s="1"/>
      <c r="R361" s="1"/>
      <c r="S361" s="1"/>
      <c r="T361" s="1"/>
      <c r="U361" s="1"/>
      <c r="V361" s="1"/>
      <c r="W361" s="1"/>
      <c r="X361" s="1"/>
      <c r="Y361" s="1"/>
    </row>
    <row r="362" spans="1:25" ht="15" thickBot="1" x14ac:dyDescent="0.35">
      <c r="A362" s="9">
        <v>361</v>
      </c>
      <c r="B362" s="8">
        <v>40559</v>
      </c>
      <c r="C362" s="7">
        <v>1</v>
      </c>
      <c r="D362" s="7">
        <v>0</v>
      </c>
      <c r="E362" s="7">
        <v>1</v>
      </c>
      <c r="F362" s="7">
        <v>12</v>
      </c>
      <c r="G362" s="7" t="b">
        <v>0</v>
      </c>
      <c r="H362" s="7">
        <f t="shared" si="5"/>
        <v>7</v>
      </c>
      <c r="I362" s="7">
        <v>1</v>
      </c>
      <c r="J362" s="10">
        <v>0.24</v>
      </c>
      <c r="K362" s="1"/>
      <c r="L362" s="1"/>
      <c r="M362" s="1"/>
      <c r="N362" s="1"/>
      <c r="O362" s="1"/>
      <c r="P362" s="1"/>
      <c r="Q362" s="1"/>
      <c r="R362" s="1"/>
      <c r="S362" s="1"/>
      <c r="T362" s="1"/>
      <c r="U362" s="1"/>
      <c r="V362" s="1"/>
      <c r="W362" s="1"/>
      <c r="X362" s="1"/>
      <c r="Y362" s="1"/>
    </row>
    <row r="363" spans="1:25" ht="15" thickBot="1" x14ac:dyDescent="0.35">
      <c r="A363" s="9">
        <v>362</v>
      </c>
      <c r="B363" s="8">
        <v>40559</v>
      </c>
      <c r="C363" s="7">
        <v>1</v>
      </c>
      <c r="D363" s="7">
        <v>0</v>
      </c>
      <c r="E363" s="7">
        <v>1</v>
      </c>
      <c r="F363" s="7">
        <v>13</v>
      </c>
      <c r="G363" s="7" t="b">
        <v>0</v>
      </c>
      <c r="H363" s="7">
        <f t="shared" si="5"/>
        <v>7</v>
      </c>
      <c r="I363" s="7">
        <v>1</v>
      </c>
      <c r="J363" s="10">
        <v>0.26</v>
      </c>
      <c r="K363" s="1"/>
      <c r="L363" s="1"/>
      <c r="M363" s="1"/>
      <c r="N363" s="1"/>
      <c r="O363" s="1"/>
      <c r="P363" s="1"/>
      <c r="Q363" s="1"/>
      <c r="R363" s="1"/>
      <c r="S363" s="1"/>
      <c r="T363" s="1"/>
      <c r="U363" s="1"/>
      <c r="V363" s="1"/>
      <c r="W363" s="1"/>
      <c r="X363" s="1"/>
      <c r="Y363" s="1"/>
    </row>
    <row r="364" spans="1:25" ht="15" thickBot="1" x14ac:dyDescent="0.35">
      <c r="A364" s="9">
        <v>363</v>
      </c>
      <c r="B364" s="8">
        <v>40559</v>
      </c>
      <c r="C364" s="7">
        <v>1</v>
      </c>
      <c r="D364" s="7">
        <v>0</v>
      </c>
      <c r="E364" s="7">
        <v>1</v>
      </c>
      <c r="F364" s="7">
        <v>14</v>
      </c>
      <c r="G364" s="7" t="b">
        <v>0</v>
      </c>
      <c r="H364" s="7">
        <f t="shared" si="5"/>
        <v>7</v>
      </c>
      <c r="I364" s="7">
        <v>1</v>
      </c>
      <c r="J364" s="10">
        <v>0.28000000000000003</v>
      </c>
      <c r="K364" s="1"/>
      <c r="L364" s="1"/>
      <c r="M364" s="1"/>
      <c r="N364" s="1"/>
      <c r="O364" s="1"/>
      <c r="P364" s="1"/>
      <c r="Q364" s="1"/>
      <c r="R364" s="1"/>
      <c r="S364" s="1"/>
      <c r="T364" s="1"/>
      <c r="U364" s="1"/>
      <c r="V364" s="1"/>
      <c r="W364" s="1"/>
      <c r="X364" s="1"/>
      <c r="Y364" s="1"/>
    </row>
    <row r="365" spans="1:25" ht="15" thickBot="1" x14ac:dyDescent="0.35">
      <c r="A365" s="9">
        <v>364</v>
      </c>
      <c r="B365" s="8">
        <v>40559</v>
      </c>
      <c r="C365" s="7">
        <v>1</v>
      </c>
      <c r="D365" s="7">
        <v>0</v>
      </c>
      <c r="E365" s="7">
        <v>1</v>
      </c>
      <c r="F365" s="7">
        <v>15</v>
      </c>
      <c r="G365" s="7" t="b">
        <v>0</v>
      </c>
      <c r="H365" s="7">
        <f t="shared" si="5"/>
        <v>7</v>
      </c>
      <c r="I365" s="7">
        <v>1</v>
      </c>
      <c r="J365" s="10">
        <v>0.26</v>
      </c>
      <c r="K365" s="1"/>
      <c r="L365" s="1"/>
      <c r="M365" s="1"/>
      <c r="N365" s="1"/>
      <c r="O365" s="1"/>
      <c r="P365" s="1"/>
      <c r="Q365" s="1"/>
      <c r="R365" s="1"/>
      <c r="S365" s="1"/>
      <c r="T365" s="1"/>
      <c r="U365" s="1"/>
      <c r="V365" s="1"/>
      <c r="W365" s="1"/>
      <c r="X365" s="1"/>
      <c r="Y365" s="1"/>
    </row>
    <row r="366" spans="1:25" ht="15" thickBot="1" x14ac:dyDescent="0.35">
      <c r="A366" s="9">
        <v>365</v>
      </c>
      <c r="B366" s="8">
        <v>40559</v>
      </c>
      <c r="C366" s="7">
        <v>1</v>
      </c>
      <c r="D366" s="7">
        <v>0</v>
      </c>
      <c r="E366" s="7">
        <v>1</v>
      </c>
      <c r="F366" s="7">
        <v>16</v>
      </c>
      <c r="G366" s="7" t="b">
        <v>0</v>
      </c>
      <c r="H366" s="7">
        <f t="shared" si="5"/>
        <v>7</v>
      </c>
      <c r="I366" s="7">
        <v>1</v>
      </c>
      <c r="J366" s="10">
        <v>0.24</v>
      </c>
      <c r="K366" s="1"/>
      <c r="L366" s="1"/>
      <c r="M366" s="1"/>
      <c r="N366" s="1"/>
      <c r="O366" s="1"/>
      <c r="P366" s="1"/>
      <c r="Q366" s="1"/>
      <c r="R366" s="1"/>
      <c r="S366" s="1"/>
      <c r="T366" s="1"/>
      <c r="U366" s="1"/>
      <c r="V366" s="1"/>
      <c r="W366" s="1"/>
      <c r="X366" s="1"/>
      <c r="Y366" s="1"/>
    </row>
    <row r="367" spans="1:25" ht="15" thickBot="1" x14ac:dyDescent="0.35">
      <c r="A367" s="9">
        <v>366</v>
      </c>
      <c r="B367" s="8">
        <v>40559</v>
      </c>
      <c r="C367" s="7">
        <v>1</v>
      </c>
      <c r="D367" s="7">
        <v>0</v>
      </c>
      <c r="E367" s="7">
        <v>1</v>
      </c>
      <c r="F367" s="7">
        <v>17</v>
      </c>
      <c r="G367" s="7" t="b">
        <v>0</v>
      </c>
      <c r="H367" s="7">
        <f t="shared" si="5"/>
        <v>7</v>
      </c>
      <c r="I367" s="7">
        <v>1</v>
      </c>
      <c r="J367" s="10">
        <v>0.22</v>
      </c>
      <c r="K367" s="1"/>
      <c r="L367" s="1"/>
      <c r="M367" s="1"/>
      <c r="N367" s="1"/>
      <c r="O367" s="1"/>
      <c r="P367" s="1"/>
      <c r="Q367" s="1"/>
      <c r="R367" s="1"/>
      <c r="S367" s="1"/>
      <c r="T367" s="1"/>
      <c r="U367" s="1"/>
      <c r="V367" s="1"/>
      <c r="W367" s="1"/>
      <c r="X367" s="1"/>
      <c r="Y367" s="1"/>
    </row>
    <row r="368" spans="1:25" ht="15" thickBot="1" x14ac:dyDescent="0.35">
      <c r="A368" s="9">
        <v>367</v>
      </c>
      <c r="B368" s="8">
        <v>40559</v>
      </c>
      <c r="C368" s="7">
        <v>1</v>
      </c>
      <c r="D368" s="7">
        <v>0</v>
      </c>
      <c r="E368" s="7">
        <v>1</v>
      </c>
      <c r="F368" s="7">
        <v>18</v>
      </c>
      <c r="G368" s="7" t="b">
        <v>0</v>
      </c>
      <c r="H368" s="7">
        <f t="shared" si="5"/>
        <v>7</v>
      </c>
      <c r="I368" s="7">
        <v>1</v>
      </c>
      <c r="J368" s="10">
        <v>0.2</v>
      </c>
      <c r="K368" s="1"/>
      <c r="L368" s="1"/>
      <c r="M368" s="1"/>
      <c r="N368" s="1"/>
      <c r="O368" s="1"/>
      <c r="P368" s="1"/>
      <c r="Q368" s="1"/>
      <c r="R368" s="1"/>
      <c r="S368" s="1"/>
      <c r="T368" s="1"/>
      <c r="U368" s="1"/>
      <c r="V368" s="1"/>
      <c r="W368" s="1"/>
      <c r="X368" s="1"/>
      <c r="Y368" s="1"/>
    </row>
    <row r="369" spans="1:25" ht="15" thickBot="1" x14ac:dyDescent="0.35">
      <c r="A369" s="9">
        <v>368</v>
      </c>
      <c r="B369" s="8">
        <v>40559</v>
      </c>
      <c r="C369" s="7">
        <v>1</v>
      </c>
      <c r="D369" s="7">
        <v>0</v>
      </c>
      <c r="E369" s="7">
        <v>1</v>
      </c>
      <c r="F369" s="7">
        <v>19</v>
      </c>
      <c r="G369" s="7" t="b">
        <v>0</v>
      </c>
      <c r="H369" s="7">
        <f t="shared" si="5"/>
        <v>7</v>
      </c>
      <c r="I369" s="7">
        <v>1</v>
      </c>
      <c r="J369" s="10">
        <v>0.18</v>
      </c>
      <c r="K369" s="1"/>
      <c r="L369" s="1"/>
      <c r="M369" s="1"/>
      <c r="N369" s="1"/>
      <c r="O369" s="1"/>
      <c r="P369" s="1"/>
      <c r="Q369" s="1"/>
      <c r="R369" s="1"/>
      <c r="S369" s="1"/>
      <c r="T369" s="1"/>
      <c r="U369" s="1"/>
      <c r="V369" s="1"/>
      <c r="W369" s="1"/>
      <c r="X369" s="1"/>
      <c r="Y369" s="1"/>
    </row>
    <row r="370" spans="1:25" ht="15" thickBot="1" x14ac:dyDescent="0.35">
      <c r="A370" s="9">
        <v>369</v>
      </c>
      <c r="B370" s="8">
        <v>40559</v>
      </c>
      <c r="C370" s="7">
        <v>1</v>
      </c>
      <c r="D370" s="7">
        <v>0</v>
      </c>
      <c r="E370" s="7">
        <v>1</v>
      </c>
      <c r="F370" s="7">
        <v>20</v>
      </c>
      <c r="G370" s="7" t="b">
        <v>0</v>
      </c>
      <c r="H370" s="7">
        <f t="shared" si="5"/>
        <v>7</v>
      </c>
      <c r="I370" s="7">
        <v>1</v>
      </c>
      <c r="J370" s="10">
        <v>0.18</v>
      </c>
      <c r="K370" s="1"/>
      <c r="L370" s="1"/>
      <c r="M370" s="1"/>
      <c r="N370" s="1"/>
      <c r="O370" s="1"/>
      <c r="P370" s="1"/>
      <c r="Q370" s="1"/>
      <c r="R370" s="1"/>
      <c r="S370" s="1"/>
      <c r="T370" s="1"/>
      <c r="U370" s="1"/>
      <c r="V370" s="1"/>
      <c r="W370" s="1"/>
      <c r="X370" s="1"/>
      <c r="Y370" s="1"/>
    </row>
    <row r="371" spans="1:25" ht="15" thickBot="1" x14ac:dyDescent="0.35">
      <c r="A371" s="9">
        <v>370</v>
      </c>
      <c r="B371" s="8">
        <v>40559</v>
      </c>
      <c r="C371" s="7">
        <v>1</v>
      </c>
      <c r="D371" s="7">
        <v>0</v>
      </c>
      <c r="E371" s="7">
        <v>1</v>
      </c>
      <c r="F371" s="7">
        <v>21</v>
      </c>
      <c r="G371" s="7" t="b">
        <v>0</v>
      </c>
      <c r="H371" s="7">
        <f t="shared" si="5"/>
        <v>7</v>
      </c>
      <c r="I371" s="7">
        <v>1</v>
      </c>
      <c r="J371" s="10">
        <v>0.18</v>
      </c>
      <c r="K371" s="1"/>
      <c r="L371" s="1"/>
      <c r="M371" s="1"/>
      <c r="N371" s="1"/>
      <c r="O371" s="1"/>
      <c r="P371" s="1"/>
      <c r="Q371" s="1"/>
      <c r="R371" s="1"/>
      <c r="S371" s="1"/>
      <c r="T371" s="1"/>
      <c r="U371" s="1"/>
      <c r="V371" s="1"/>
      <c r="W371" s="1"/>
      <c r="X371" s="1"/>
      <c r="Y371" s="1"/>
    </row>
    <row r="372" spans="1:25" ht="15" thickBot="1" x14ac:dyDescent="0.35">
      <c r="A372" s="9">
        <v>371</v>
      </c>
      <c r="B372" s="8">
        <v>40559</v>
      </c>
      <c r="C372" s="7">
        <v>1</v>
      </c>
      <c r="D372" s="7">
        <v>0</v>
      </c>
      <c r="E372" s="7">
        <v>1</v>
      </c>
      <c r="F372" s="7">
        <v>22</v>
      </c>
      <c r="G372" s="7" t="b">
        <v>0</v>
      </c>
      <c r="H372" s="7">
        <f t="shared" si="5"/>
        <v>7</v>
      </c>
      <c r="I372" s="7">
        <v>2</v>
      </c>
      <c r="J372" s="10">
        <v>0.2</v>
      </c>
      <c r="K372" s="1"/>
      <c r="L372" s="1"/>
      <c r="M372" s="1"/>
      <c r="N372" s="1"/>
      <c r="O372" s="1"/>
      <c r="P372" s="1"/>
      <c r="Q372" s="1"/>
      <c r="R372" s="1"/>
      <c r="S372" s="1"/>
      <c r="T372" s="1"/>
      <c r="U372" s="1"/>
      <c r="V372" s="1"/>
      <c r="W372" s="1"/>
      <c r="X372" s="1"/>
      <c r="Y372" s="1"/>
    </row>
    <row r="373" spans="1:25" ht="15" thickBot="1" x14ac:dyDescent="0.35">
      <c r="A373" s="9">
        <v>372</v>
      </c>
      <c r="B373" s="8">
        <v>40559</v>
      </c>
      <c r="C373" s="7">
        <v>1</v>
      </c>
      <c r="D373" s="7">
        <v>0</v>
      </c>
      <c r="E373" s="7">
        <v>1</v>
      </c>
      <c r="F373" s="7">
        <v>23</v>
      </c>
      <c r="G373" s="7" t="b">
        <v>0</v>
      </c>
      <c r="H373" s="7">
        <f t="shared" si="5"/>
        <v>7</v>
      </c>
      <c r="I373" s="7">
        <v>2</v>
      </c>
      <c r="J373" s="10">
        <v>0.2</v>
      </c>
      <c r="K373" s="1"/>
      <c r="L373" s="1"/>
      <c r="M373" s="1"/>
      <c r="N373" s="1"/>
      <c r="O373" s="1"/>
      <c r="P373" s="1"/>
      <c r="Q373" s="1"/>
      <c r="R373" s="1"/>
      <c r="S373" s="1"/>
      <c r="T373" s="1"/>
      <c r="U373" s="1"/>
      <c r="V373" s="1"/>
      <c r="W373" s="1"/>
      <c r="X373" s="1"/>
      <c r="Y373" s="1"/>
    </row>
    <row r="374" spans="1:25" ht="15" thickBot="1" x14ac:dyDescent="0.35">
      <c r="A374" s="9">
        <v>373</v>
      </c>
      <c r="B374" s="8">
        <v>40560</v>
      </c>
      <c r="C374" s="7">
        <v>1</v>
      </c>
      <c r="D374" s="7">
        <v>0</v>
      </c>
      <c r="E374" s="7">
        <v>1</v>
      </c>
      <c r="F374" s="7">
        <v>0</v>
      </c>
      <c r="G374" s="7" t="b">
        <v>1</v>
      </c>
      <c r="H374" s="7">
        <f t="shared" si="5"/>
        <v>1</v>
      </c>
      <c r="I374" s="7">
        <v>2</v>
      </c>
      <c r="J374" s="10">
        <v>0.2</v>
      </c>
      <c r="K374" s="1"/>
      <c r="L374" s="1"/>
      <c r="M374" s="1"/>
      <c r="N374" s="1"/>
      <c r="O374" s="1"/>
      <c r="P374" s="1"/>
      <c r="Q374" s="1"/>
      <c r="R374" s="1"/>
      <c r="S374" s="1"/>
      <c r="T374" s="1"/>
      <c r="U374" s="1"/>
      <c r="V374" s="1"/>
      <c r="W374" s="1"/>
      <c r="X374" s="1"/>
      <c r="Y374" s="1"/>
    </row>
    <row r="375" spans="1:25" ht="15" thickBot="1" x14ac:dyDescent="0.35">
      <c r="A375" s="9">
        <v>374</v>
      </c>
      <c r="B375" s="8">
        <v>40560</v>
      </c>
      <c r="C375" s="7">
        <v>1</v>
      </c>
      <c r="D375" s="7">
        <v>0</v>
      </c>
      <c r="E375" s="7">
        <v>1</v>
      </c>
      <c r="F375" s="7">
        <v>1</v>
      </c>
      <c r="G375" s="7" t="b">
        <v>1</v>
      </c>
      <c r="H375" s="7">
        <f t="shared" si="5"/>
        <v>1</v>
      </c>
      <c r="I375" s="7">
        <v>2</v>
      </c>
      <c r="J375" s="10">
        <v>0.2</v>
      </c>
      <c r="K375" s="1"/>
      <c r="L375" s="1"/>
      <c r="M375" s="1"/>
      <c r="N375" s="1"/>
      <c r="O375" s="1"/>
      <c r="P375" s="1"/>
      <c r="Q375" s="1"/>
      <c r="R375" s="1"/>
      <c r="S375" s="1"/>
      <c r="T375" s="1"/>
      <c r="U375" s="1"/>
      <c r="V375" s="1"/>
      <c r="W375" s="1"/>
      <c r="X375" s="1"/>
      <c r="Y375" s="1"/>
    </row>
    <row r="376" spans="1:25" ht="15" thickBot="1" x14ac:dyDescent="0.35">
      <c r="A376" s="9">
        <v>375</v>
      </c>
      <c r="B376" s="8">
        <v>40560</v>
      </c>
      <c r="C376" s="7">
        <v>1</v>
      </c>
      <c r="D376" s="7">
        <v>0</v>
      </c>
      <c r="E376" s="7">
        <v>1</v>
      </c>
      <c r="F376" s="7">
        <v>2</v>
      </c>
      <c r="G376" s="7" t="b">
        <v>1</v>
      </c>
      <c r="H376" s="7">
        <f t="shared" si="5"/>
        <v>1</v>
      </c>
      <c r="I376" s="7">
        <v>2</v>
      </c>
      <c r="J376" s="10">
        <v>0.18</v>
      </c>
      <c r="K376" s="1"/>
      <c r="L376" s="1"/>
      <c r="M376" s="1"/>
      <c r="N376" s="1"/>
      <c r="O376" s="1"/>
      <c r="P376" s="1"/>
      <c r="Q376" s="1"/>
      <c r="R376" s="1"/>
      <c r="S376" s="1"/>
      <c r="T376" s="1"/>
      <c r="U376" s="1"/>
      <c r="V376" s="1"/>
      <c r="W376" s="1"/>
      <c r="X376" s="1"/>
      <c r="Y376" s="1"/>
    </row>
    <row r="377" spans="1:25" ht="15" thickBot="1" x14ac:dyDescent="0.35">
      <c r="A377" s="9">
        <v>376</v>
      </c>
      <c r="B377" s="8">
        <v>40560</v>
      </c>
      <c r="C377" s="7">
        <v>1</v>
      </c>
      <c r="D377" s="7">
        <v>0</v>
      </c>
      <c r="E377" s="7">
        <v>1</v>
      </c>
      <c r="F377" s="7">
        <v>3</v>
      </c>
      <c r="G377" s="7" t="b">
        <v>1</v>
      </c>
      <c r="H377" s="7">
        <f t="shared" si="5"/>
        <v>1</v>
      </c>
      <c r="I377" s="7">
        <v>2</v>
      </c>
      <c r="J377" s="10">
        <v>0.18</v>
      </c>
      <c r="K377" s="1"/>
      <c r="L377" s="1"/>
      <c r="M377" s="1"/>
      <c r="N377" s="1"/>
      <c r="O377" s="1"/>
      <c r="P377" s="1"/>
      <c r="Q377" s="1"/>
      <c r="R377" s="1"/>
      <c r="S377" s="1"/>
      <c r="T377" s="1"/>
      <c r="U377" s="1"/>
      <c r="V377" s="1"/>
      <c r="W377" s="1"/>
      <c r="X377" s="1"/>
      <c r="Y377" s="1"/>
    </row>
    <row r="378" spans="1:25" ht="15" thickBot="1" x14ac:dyDescent="0.35">
      <c r="A378" s="9">
        <v>377</v>
      </c>
      <c r="B378" s="8">
        <v>40560</v>
      </c>
      <c r="C378" s="7">
        <v>1</v>
      </c>
      <c r="D378" s="7">
        <v>0</v>
      </c>
      <c r="E378" s="7">
        <v>1</v>
      </c>
      <c r="F378" s="7">
        <v>4</v>
      </c>
      <c r="G378" s="7" t="b">
        <v>1</v>
      </c>
      <c r="H378" s="7">
        <f t="shared" si="5"/>
        <v>1</v>
      </c>
      <c r="I378" s="7">
        <v>2</v>
      </c>
      <c r="J378" s="10">
        <v>0.18</v>
      </c>
      <c r="K378" s="1"/>
      <c r="L378" s="1"/>
      <c r="M378" s="1"/>
      <c r="N378" s="1"/>
      <c r="O378" s="1"/>
      <c r="P378" s="1"/>
      <c r="Q378" s="1"/>
      <c r="R378" s="1"/>
      <c r="S378" s="1"/>
      <c r="T378" s="1"/>
      <c r="U378" s="1"/>
      <c r="V378" s="1"/>
      <c r="W378" s="1"/>
      <c r="X378" s="1"/>
      <c r="Y378" s="1"/>
    </row>
    <row r="379" spans="1:25" ht="15" thickBot="1" x14ac:dyDescent="0.35">
      <c r="A379" s="9">
        <v>378</v>
      </c>
      <c r="B379" s="8">
        <v>40560</v>
      </c>
      <c r="C379" s="7">
        <v>1</v>
      </c>
      <c r="D379" s="7">
        <v>0</v>
      </c>
      <c r="E379" s="7">
        <v>1</v>
      </c>
      <c r="F379" s="7">
        <v>5</v>
      </c>
      <c r="G379" s="7" t="b">
        <v>1</v>
      </c>
      <c r="H379" s="7">
        <f t="shared" si="5"/>
        <v>1</v>
      </c>
      <c r="I379" s="7">
        <v>2</v>
      </c>
      <c r="J379" s="10">
        <v>0.18</v>
      </c>
      <c r="K379" s="1"/>
      <c r="L379" s="1"/>
      <c r="M379" s="1"/>
      <c r="N379" s="1"/>
      <c r="O379" s="1"/>
      <c r="P379" s="1"/>
      <c r="Q379" s="1"/>
      <c r="R379" s="1"/>
      <c r="S379" s="1"/>
      <c r="T379" s="1"/>
      <c r="U379" s="1"/>
      <c r="V379" s="1"/>
      <c r="W379" s="1"/>
      <c r="X379" s="1"/>
      <c r="Y379" s="1"/>
    </row>
    <row r="380" spans="1:25" ht="15" thickBot="1" x14ac:dyDescent="0.35">
      <c r="A380" s="9">
        <v>379</v>
      </c>
      <c r="B380" s="8">
        <v>40560</v>
      </c>
      <c r="C380" s="7">
        <v>1</v>
      </c>
      <c r="D380" s="7">
        <v>0</v>
      </c>
      <c r="E380" s="7">
        <v>1</v>
      </c>
      <c r="F380" s="7">
        <v>6</v>
      </c>
      <c r="G380" s="7" t="b">
        <v>1</v>
      </c>
      <c r="H380" s="7">
        <f t="shared" si="5"/>
        <v>1</v>
      </c>
      <c r="I380" s="7">
        <v>2</v>
      </c>
      <c r="J380" s="10">
        <v>0.18</v>
      </c>
      <c r="K380" s="1"/>
      <c r="L380" s="1"/>
      <c r="M380" s="1"/>
      <c r="N380" s="1"/>
      <c r="O380" s="1"/>
      <c r="P380" s="1"/>
      <c r="Q380" s="1"/>
      <c r="R380" s="1"/>
      <c r="S380" s="1"/>
      <c r="T380" s="1"/>
      <c r="U380" s="1"/>
      <c r="V380" s="1"/>
      <c r="W380" s="1"/>
      <c r="X380" s="1"/>
      <c r="Y380" s="1"/>
    </row>
    <row r="381" spans="1:25" ht="15" thickBot="1" x14ac:dyDescent="0.35">
      <c r="A381" s="9">
        <v>380</v>
      </c>
      <c r="B381" s="8">
        <v>40560</v>
      </c>
      <c r="C381" s="7">
        <v>1</v>
      </c>
      <c r="D381" s="7">
        <v>0</v>
      </c>
      <c r="E381" s="7">
        <v>1</v>
      </c>
      <c r="F381" s="7">
        <v>7</v>
      </c>
      <c r="G381" s="7" t="b">
        <v>1</v>
      </c>
      <c r="H381" s="7">
        <f t="shared" si="5"/>
        <v>1</v>
      </c>
      <c r="I381" s="7">
        <v>2</v>
      </c>
      <c r="J381" s="10">
        <v>0.16</v>
      </c>
      <c r="K381" s="1"/>
      <c r="L381" s="1"/>
      <c r="M381" s="1"/>
      <c r="N381" s="1"/>
      <c r="O381" s="1"/>
      <c r="P381" s="1"/>
      <c r="Q381" s="1"/>
      <c r="R381" s="1"/>
      <c r="S381" s="1"/>
      <c r="T381" s="1"/>
      <c r="U381" s="1"/>
      <c r="V381" s="1"/>
      <c r="W381" s="1"/>
      <c r="X381" s="1"/>
      <c r="Y381" s="1"/>
    </row>
    <row r="382" spans="1:25" ht="15" thickBot="1" x14ac:dyDescent="0.35">
      <c r="A382" s="9">
        <v>381</v>
      </c>
      <c r="B382" s="8">
        <v>40560</v>
      </c>
      <c r="C382" s="7">
        <v>1</v>
      </c>
      <c r="D382" s="7">
        <v>0</v>
      </c>
      <c r="E382" s="7">
        <v>1</v>
      </c>
      <c r="F382" s="7">
        <v>8</v>
      </c>
      <c r="G382" s="7" t="b">
        <v>1</v>
      </c>
      <c r="H382" s="7">
        <f t="shared" si="5"/>
        <v>1</v>
      </c>
      <c r="I382" s="7">
        <v>2</v>
      </c>
      <c r="J382" s="10">
        <v>0.16</v>
      </c>
      <c r="K382" s="1"/>
      <c r="L382" s="1"/>
      <c r="M382" s="1"/>
      <c r="N382" s="1"/>
      <c r="O382" s="1"/>
      <c r="P382" s="1"/>
      <c r="Q382" s="1"/>
      <c r="R382" s="1"/>
      <c r="S382" s="1"/>
      <c r="T382" s="1"/>
      <c r="U382" s="1"/>
      <c r="V382" s="1"/>
      <c r="W382" s="1"/>
      <c r="X382" s="1"/>
      <c r="Y382" s="1"/>
    </row>
    <row r="383" spans="1:25" ht="15" thickBot="1" x14ac:dyDescent="0.35">
      <c r="A383" s="9">
        <v>382</v>
      </c>
      <c r="B383" s="8">
        <v>40560</v>
      </c>
      <c r="C383" s="7">
        <v>1</v>
      </c>
      <c r="D383" s="7">
        <v>0</v>
      </c>
      <c r="E383" s="7">
        <v>1</v>
      </c>
      <c r="F383" s="7">
        <v>9</v>
      </c>
      <c r="G383" s="7" t="b">
        <v>1</v>
      </c>
      <c r="H383" s="7">
        <f t="shared" si="5"/>
        <v>1</v>
      </c>
      <c r="I383" s="7">
        <v>2</v>
      </c>
      <c r="J383" s="10">
        <v>0.16</v>
      </c>
      <c r="K383" s="1"/>
      <c r="L383" s="1"/>
      <c r="M383" s="1"/>
      <c r="N383" s="1"/>
      <c r="O383" s="1"/>
      <c r="P383" s="1"/>
      <c r="Q383" s="1"/>
      <c r="R383" s="1"/>
      <c r="S383" s="1"/>
      <c r="T383" s="1"/>
      <c r="U383" s="1"/>
      <c r="V383" s="1"/>
      <c r="W383" s="1"/>
      <c r="X383" s="1"/>
      <c r="Y383" s="1"/>
    </row>
    <row r="384" spans="1:25" ht="15" thickBot="1" x14ac:dyDescent="0.35">
      <c r="A384" s="9">
        <v>383</v>
      </c>
      <c r="B384" s="8">
        <v>40560</v>
      </c>
      <c r="C384" s="7">
        <v>1</v>
      </c>
      <c r="D384" s="7">
        <v>0</v>
      </c>
      <c r="E384" s="7">
        <v>1</v>
      </c>
      <c r="F384" s="7">
        <v>10</v>
      </c>
      <c r="G384" s="7" t="b">
        <v>1</v>
      </c>
      <c r="H384" s="7">
        <f t="shared" si="5"/>
        <v>1</v>
      </c>
      <c r="I384" s="7">
        <v>2</v>
      </c>
      <c r="J384" s="10">
        <v>0.16</v>
      </c>
      <c r="K384" s="1"/>
      <c r="L384" s="1"/>
      <c r="M384" s="1"/>
      <c r="N384" s="1"/>
      <c r="O384" s="1"/>
      <c r="P384" s="1"/>
      <c r="Q384" s="1"/>
      <c r="R384" s="1"/>
      <c r="S384" s="1"/>
      <c r="T384" s="1"/>
      <c r="U384" s="1"/>
      <c r="V384" s="1"/>
      <c r="W384" s="1"/>
      <c r="X384" s="1"/>
      <c r="Y384" s="1"/>
    </row>
    <row r="385" spans="1:25" ht="15" thickBot="1" x14ac:dyDescent="0.35">
      <c r="A385" s="9">
        <v>384</v>
      </c>
      <c r="B385" s="8">
        <v>40560</v>
      </c>
      <c r="C385" s="7">
        <v>1</v>
      </c>
      <c r="D385" s="7">
        <v>0</v>
      </c>
      <c r="E385" s="7">
        <v>1</v>
      </c>
      <c r="F385" s="7">
        <v>11</v>
      </c>
      <c r="G385" s="7" t="b">
        <v>1</v>
      </c>
      <c r="H385" s="7">
        <f t="shared" si="5"/>
        <v>1</v>
      </c>
      <c r="I385" s="7">
        <v>2</v>
      </c>
      <c r="J385" s="10">
        <v>0.16</v>
      </c>
      <c r="K385" s="1"/>
      <c r="L385" s="1"/>
      <c r="M385" s="1"/>
      <c r="N385" s="1"/>
      <c r="O385" s="1"/>
      <c r="P385" s="1"/>
      <c r="Q385" s="1"/>
      <c r="R385" s="1"/>
      <c r="S385" s="1"/>
      <c r="T385" s="1"/>
      <c r="U385" s="1"/>
      <c r="V385" s="1"/>
      <c r="W385" s="1"/>
      <c r="X385" s="1"/>
      <c r="Y385" s="1"/>
    </row>
    <row r="386" spans="1:25" ht="15" thickBot="1" x14ac:dyDescent="0.35">
      <c r="A386" s="9">
        <v>385</v>
      </c>
      <c r="B386" s="8">
        <v>40560</v>
      </c>
      <c r="C386" s="7">
        <v>1</v>
      </c>
      <c r="D386" s="7">
        <v>0</v>
      </c>
      <c r="E386" s="7">
        <v>1</v>
      </c>
      <c r="F386" s="7">
        <v>12</v>
      </c>
      <c r="G386" s="7" t="b">
        <v>1</v>
      </c>
      <c r="H386" s="7">
        <f t="shared" si="5"/>
        <v>1</v>
      </c>
      <c r="I386" s="7">
        <v>2</v>
      </c>
      <c r="J386" s="10">
        <v>0.18</v>
      </c>
      <c r="K386" s="1"/>
      <c r="L386" s="1"/>
      <c r="M386" s="1"/>
      <c r="N386" s="1"/>
      <c r="O386" s="1"/>
      <c r="P386" s="1"/>
      <c r="Q386" s="1"/>
      <c r="R386" s="1"/>
      <c r="S386" s="1"/>
      <c r="T386" s="1"/>
      <c r="U386" s="1"/>
      <c r="V386" s="1"/>
      <c r="W386" s="1"/>
      <c r="X386" s="1"/>
      <c r="Y386" s="1"/>
    </row>
    <row r="387" spans="1:25" ht="15" thickBot="1" x14ac:dyDescent="0.35">
      <c r="A387" s="9">
        <v>386</v>
      </c>
      <c r="B387" s="8">
        <v>40560</v>
      </c>
      <c r="C387" s="7">
        <v>1</v>
      </c>
      <c r="D387" s="7">
        <v>0</v>
      </c>
      <c r="E387" s="7">
        <v>1</v>
      </c>
      <c r="F387" s="7">
        <v>13</v>
      </c>
      <c r="G387" s="7" t="b">
        <v>1</v>
      </c>
      <c r="H387" s="7">
        <f t="shared" ref="H387:H450" si="6">WEEKDAY($B387,2)</f>
        <v>1</v>
      </c>
      <c r="I387" s="7">
        <v>2</v>
      </c>
      <c r="J387" s="10">
        <v>0.18</v>
      </c>
      <c r="K387" s="1"/>
      <c r="L387" s="1"/>
      <c r="M387" s="1"/>
      <c r="N387" s="1"/>
      <c r="O387" s="1"/>
      <c r="P387" s="1"/>
      <c r="Q387" s="1"/>
      <c r="R387" s="1"/>
      <c r="S387" s="1"/>
      <c r="T387" s="1"/>
      <c r="U387" s="1"/>
      <c r="V387" s="1"/>
      <c r="W387" s="1"/>
      <c r="X387" s="1"/>
      <c r="Y387" s="1"/>
    </row>
    <row r="388" spans="1:25" ht="15" thickBot="1" x14ac:dyDescent="0.35">
      <c r="A388" s="9">
        <v>387</v>
      </c>
      <c r="B388" s="8">
        <v>40560</v>
      </c>
      <c r="C388" s="7">
        <v>1</v>
      </c>
      <c r="D388" s="7">
        <v>0</v>
      </c>
      <c r="E388" s="7">
        <v>1</v>
      </c>
      <c r="F388" s="7">
        <v>14</v>
      </c>
      <c r="G388" s="7" t="b">
        <v>1</v>
      </c>
      <c r="H388" s="7">
        <f t="shared" si="6"/>
        <v>1</v>
      </c>
      <c r="I388" s="7">
        <v>2</v>
      </c>
      <c r="J388" s="10">
        <v>0.18</v>
      </c>
      <c r="K388" s="1"/>
      <c r="L388" s="1"/>
      <c r="M388" s="1"/>
      <c r="N388" s="1"/>
      <c r="O388" s="1"/>
      <c r="P388" s="1"/>
      <c r="Q388" s="1"/>
      <c r="R388" s="1"/>
      <c r="S388" s="1"/>
      <c r="T388" s="1"/>
      <c r="U388" s="1"/>
      <c r="V388" s="1"/>
      <c r="W388" s="1"/>
      <c r="X388" s="1"/>
      <c r="Y388" s="1"/>
    </row>
    <row r="389" spans="1:25" ht="15" thickBot="1" x14ac:dyDescent="0.35">
      <c r="A389" s="9">
        <v>388</v>
      </c>
      <c r="B389" s="8">
        <v>40560</v>
      </c>
      <c r="C389" s="7">
        <v>1</v>
      </c>
      <c r="D389" s="7">
        <v>0</v>
      </c>
      <c r="E389" s="7">
        <v>1</v>
      </c>
      <c r="F389" s="7">
        <v>15</v>
      </c>
      <c r="G389" s="7" t="b">
        <v>1</v>
      </c>
      <c r="H389" s="7">
        <f t="shared" si="6"/>
        <v>1</v>
      </c>
      <c r="I389" s="7">
        <v>2</v>
      </c>
      <c r="J389" s="10">
        <v>0.2</v>
      </c>
      <c r="K389" s="1"/>
      <c r="L389" s="1"/>
      <c r="M389" s="1"/>
      <c r="N389" s="1"/>
      <c r="O389" s="1"/>
      <c r="P389" s="1"/>
      <c r="Q389" s="1"/>
      <c r="R389" s="1"/>
      <c r="S389" s="1"/>
      <c r="T389" s="1"/>
      <c r="U389" s="1"/>
      <c r="V389" s="1"/>
      <c r="W389" s="1"/>
      <c r="X389" s="1"/>
      <c r="Y389" s="1"/>
    </row>
    <row r="390" spans="1:25" ht="15" thickBot="1" x14ac:dyDescent="0.35">
      <c r="A390" s="9">
        <v>389</v>
      </c>
      <c r="B390" s="8">
        <v>40560</v>
      </c>
      <c r="C390" s="7">
        <v>1</v>
      </c>
      <c r="D390" s="7">
        <v>0</v>
      </c>
      <c r="E390" s="7">
        <v>1</v>
      </c>
      <c r="F390" s="7">
        <v>16</v>
      </c>
      <c r="G390" s="7" t="b">
        <v>1</v>
      </c>
      <c r="H390" s="7">
        <f t="shared" si="6"/>
        <v>1</v>
      </c>
      <c r="I390" s="7">
        <v>2</v>
      </c>
      <c r="J390" s="10">
        <v>0.2</v>
      </c>
      <c r="K390" s="1"/>
      <c r="L390" s="1"/>
      <c r="M390" s="1"/>
      <c r="N390" s="1"/>
      <c r="O390" s="1"/>
      <c r="P390" s="1"/>
      <c r="Q390" s="1"/>
      <c r="R390" s="1"/>
      <c r="S390" s="1"/>
      <c r="T390" s="1"/>
      <c r="U390" s="1"/>
      <c r="V390" s="1"/>
      <c r="W390" s="1"/>
      <c r="X390" s="1"/>
      <c r="Y390" s="1"/>
    </row>
    <row r="391" spans="1:25" ht="15" thickBot="1" x14ac:dyDescent="0.35">
      <c r="A391" s="9">
        <v>390</v>
      </c>
      <c r="B391" s="8">
        <v>40560</v>
      </c>
      <c r="C391" s="7">
        <v>1</v>
      </c>
      <c r="D391" s="7">
        <v>0</v>
      </c>
      <c r="E391" s="7">
        <v>1</v>
      </c>
      <c r="F391" s="7">
        <v>17</v>
      </c>
      <c r="G391" s="7" t="b">
        <v>1</v>
      </c>
      <c r="H391" s="7">
        <f t="shared" si="6"/>
        <v>1</v>
      </c>
      <c r="I391" s="7">
        <v>1</v>
      </c>
      <c r="J391" s="10">
        <v>0.2</v>
      </c>
      <c r="K391" s="1"/>
      <c r="L391" s="1"/>
      <c r="M391" s="1"/>
      <c r="N391" s="1"/>
      <c r="O391" s="1"/>
      <c r="P391" s="1"/>
      <c r="Q391" s="1"/>
      <c r="R391" s="1"/>
      <c r="S391" s="1"/>
      <c r="T391" s="1"/>
      <c r="U391" s="1"/>
      <c r="V391" s="1"/>
      <c r="W391" s="1"/>
      <c r="X391" s="1"/>
      <c r="Y391" s="1"/>
    </row>
    <row r="392" spans="1:25" ht="15" thickBot="1" x14ac:dyDescent="0.35">
      <c r="A392" s="9">
        <v>391</v>
      </c>
      <c r="B392" s="8">
        <v>40560</v>
      </c>
      <c r="C392" s="7">
        <v>1</v>
      </c>
      <c r="D392" s="7">
        <v>0</v>
      </c>
      <c r="E392" s="7">
        <v>1</v>
      </c>
      <c r="F392" s="7">
        <v>18</v>
      </c>
      <c r="G392" s="7" t="b">
        <v>1</v>
      </c>
      <c r="H392" s="7">
        <f t="shared" si="6"/>
        <v>1</v>
      </c>
      <c r="I392" s="7">
        <v>2</v>
      </c>
      <c r="J392" s="10">
        <v>0.18</v>
      </c>
      <c r="K392" s="1"/>
      <c r="L392" s="1"/>
      <c r="M392" s="1"/>
      <c r="N392" s="1"/>
      <c r="O392" s="1"/>
      <c r="P392" s="1"/>
      <c r="Q392" s="1"/>
      <c r="R392" s="1"/>
      <c r="S392" s="1"/>
      <c r="T392" s="1"/>
      <c r="U392" s="1"/>
      <c r="V392" s="1"/>
      <c r="W392" s="1"/>
      <c r="X392" s="1"/>
      <c r="Y392" s="1"/>
    </row>
    <row r="393" spans="1:25" ht="15" thickBot="1" x14ac:dyDescent="0.35">
      <c r="A393" s="9">
        <v>392</v>
      </c>
      <c r="B393" s="8">
        <v>40560</v>
      </c>
      <c r="C393" s="7">
        <v>1</v>
      </c>
      <c r="D393" s="7">
        <v>0</v>
      </c>
      <c r="E393" s="7">
        <v>1</v>
      </c>
      <c r="F393" s="7">
        <v>19</v>
      </c>
      <c r="G393" s="7" t="b">
        <v>1</v>
      </c>
      <c r="H393" s="7">
        <f t="shared" si="6"/>
        <v>1</v>
      </c>
      <c r="I393" s="7">
        <v>3</v>
      </c>
      <c r="J393" s="10">
        <v>0.18</v>
      </c>
      <c r="K393" s="1"/>
      <c r="L393" s="1"/>
      <c r="M393" s="1"/>
      <c r="N393" s="1"/>
      <c r="O393" s="1"/>
      <c r="P393" s="1"/>
      <c r="Q393" s="1"/>
      <c r="R393" s="1"/>
      <c r="S393" s="1"/>
      <c r="T393" s="1"/>
      <c r="U393" s="1"/>
      <c r="V393" s="1"/>
      <c r="W393" s="1"/>
      <c r="X393" s="1"/>
      <c r="Y393" s="1"/>
    </row>
    <row r="394" spans="1:25" ht="15" thickBot="1" x14ac:dyDescent="0.35">
      <c r="A394" s="9">
        <v>393</v>
      </c>
      <c r="B394" s="8">
        <v>40560</v>
      </c>
      <c r="C394" s="7">
        <v>1</v>
      </c>
      <c r="D394" s="7">
        <v>0</v>
      </c>
      <c r="E394" s="7">
        <v>1</v>
      </c>
      <c r="F394" s="7">
        <v>20</v>
      </c>
      <c r="G394" s="7" t="b">
        <v>1</v>
      </c>
      <c r="H394" s="7">
        <f t="shared" si="6"/>
        <v>1</v>
      </c>
      <c r="I394" s="7">
        <v>3</v>
      </c>
      <c r="J394" s="10">
        <v>0.16</v>
      </c>
      <c r="K394" s="1"/>
      <c r="L394" s="1"/>
      <c r="M394" s="1"/>
      <c r="N394" s="1"/>
      <c r="O394" s="1"/>
      <c r="P394" s="1"/>
      <c r="Q394" s="1"/>
      <c r="R394" s="1"/>
      <c r="S394" s="1"/>
      <c r="T394" s="1"/>
      <c r="U394" s="1"/>
      <c r="V394" s="1"/>
      <c r="W394" s="1"/>
      <c r="X394" s="1"/>
      <c r="Y394" s="1"/>
    </row>
    <row r="395" spans="1:25" ht="15" thickBot="1" x14ac:dyDescent="0.35">
      <c r="A395" s="9">
        <v>394</v>
      </c>
      <c r="B395" s="8">
        <v>40560</v>
      </c>
      <c r="C395" s="7">
        <v>1</v>
      </c>
      <c r="D395" s="7">
        <v>0</v>
      </c>
      <c r="E395" s="7">
        <v>1</v>
      </c>
      <c r="F395" s="7">
        <v>21</v>
      </c>
      <c r="G395" s="7" t="b">
        <v>1</v>
      </c>
      <c r="H395" s="7">
        <f t="shared" si="6"/>
        <v>1</v>
      </c>
      <c r="I395" s="7">
        <v>3</v>
      </c>
      <c r="J395" s="10">
        <v>0.16</v>
      </c>
      <c r="K395" s="1"/>
      <c r="L395" s="1"/>
      <c r="M395" s="1"/>
      <c r="N395" s="1"/>
      <c r="O395" s="1"/>
      <c r="P395" s="1"/>
      <c r="Q395" s="1"/>
      <c r="R395" s="1"/>
      <c r="S395" s="1"/>
      <c r="T395" s="1"/>
      <c r="U395" s="1"/>
      <c r="V395" s="1"/>
      <c r="W395" s="1"/>
      <c r="X395" s="1"/>
      <c r="Y395" s="1"/>
    </row>
    <row r="396" spans="1:25" ht="15" thickBot="1" x14ac:dyDescent="0.35">
      <c r="A396" s="9">
        <v>395</v>
      </c>
      <c r="B396" s="8">
        <v>40560</v>
      </c>
      <c r="C396" s="7">
        <v>1</v>
      </c>
      <c r="D396" s="7">
        <v>0</v>
      </c>
      <c r="E396" s="7">
        <v>1</v>
      </c>
      <c r="F396" s="7">
        <v>22</v>
      </c>
      <c r="G396" s="7" t="b">
        <v>1</v>
      </c>
      <c r="H396" s="7">
        <f t="shared" si="6"/>
        <v>1</v>
      </c>
      <c r="I396" s="7">
        <v>3</v>
      </c>
      <c r="J396" s="10">
        <v>0.14000000000000001</v>
      </c>
      <c r="K396" s="1"/>
      <c r="L396" s="1"/>
      <c r="M396" s="1"/>
      <c r="N396" s="1"/>
      <c r="O396" s="1"/>
      <c r="P396" s="1"/>
      <c r="Q396" s="1"/>
      <c r="R396" s="1"/>
      <c r="S396" s="1"/>
      <c r="T396" s="1"/>
      <c r="U396" s="1"/>
      <c r="V396" s="1"/>
      <c r="W396" s="1"/>
      <c r="X396" s="1"/>
      <c r="Y396" s="1"/>
    </row>
    <row r="397" spans="1:25" ht="15" thickBot="1" x14ac:dyDescent="0.35">
      <c r="A397" s="9">
        <v>396</v>
      </c>
      <c r="B397" s="8">
        <v>40560</v>
      </c>
      <c r="C397" s="7">
        <v>1</v>
      </c>
      <c r="D397" s="7">
        <v>0</v>
      </c>
      <c r="E397" s="7">
        <v>1</v>
      </c>
      <c r="F397" s="7">
        <v>23</v>
      </c>
      <c r="G397" s="7" t="b">
        <v>1</v>
      </c>
      <c r="H397" s="7">
        <f t="shared" si="6"/>
        <v>1</v>
      </c>
      <c r="I397" s="7">
        <v>3</v>
      </c>
      <c r="J397" s="10">
        <v>0.16</v>
      </c>
      <c r="K397" s="1"/>
      <c r="L397" s="1"/>
      <c r="M397" s="1"/>
      <c r="N397" s="1"/>
      <c r="O397" s="1"/>
      <c r="P397" s="1"/>
      <c r="Q397" s="1"/>
      <c r="R397" s="1"/>
      <c r="S397" s="1"/>
      <c r="T397" s="1"/>
      <c r="U397" s="1"/>
      <c r="V397" s="1"/>
      <c r="W397" s="1"/>
      <c r="X397" s="1"/>
      <c r="Y397" s="1"/>
    </row>
    <row r="398" spans="1:25" ht="15" thickBot="1" x14ac:dyDescent="0.35">
      <c r="A398" s="9">
        <v>397</v>
      </c>
      <c r="B398" s="8">
        <v>40561</v>
      </c>
      <c r="C398" s="7">
        <v>1</v>
      </c>
      <c r="D398" s="7">
        <v>0</v>
      </c>
      <c r="E398" s="7">
        <v>1</v>
      </c>
      <c r="F398" s="7">
        <v>12</v>
      </c>
      <c r="G398" s="7" t="b">
        <v>0</v>
      </c>
      <c r="H398" s="7">
        <f t="shared" si="6"/>
        <v>2</v>
      </c>
      <c r="I398" s="7">
        <v>2</v>
      </c>
      <c r="J398" s="10">
        <v>0.2</v>
      </c>
      <c r="K398" s="1"/>
      <c r="L398" s="1"/>
      <c r="M398" s="1"/>
      <c r="N398" s="1"/>
      <c r="O398" s="1"/>
      <c r="P398" s="1"/>
      <c r="Q398" s="1"/>
      <c r="R398" s="1"/>
      <c r="S398" s="1"/>
      <c r="T398" s="1"/>
      <c r="U398" s="1"/>
      <c r="V398" s="1"/>
      <c r="W398" s="1"/>
      <c r="X398" s="1"/>
      <c r="Y398" s="1"/>
    </row>
    <row r="399" spans="1:25" ht="15" thickBot="1" x14ac:dyDescent="0.35">
      <c r="A399" s="9">
        <v>398</v>
      </c>
      <c r="B399" s="8">
        <v>40561</v>
      </c>
      <c r="C399" s="7">
        <v>1</v>
      </c>
      <c r="D399" s="7">
        <v>0</v>
      </c>
      <c r="E399" s="7">
        <v>1</v>
      </c>
      <c r="F399" s="7">
        <v>13</v>
      </c>
      <c r="G399" s="7" t="b">
        <v>0</v>
      </c>
      <c r="H399" s="7">
        <f t="shared" si="6"/>
        <v>2</v>
      </c>
      <c r="I399" s="7">
        <v>2</v>
      </c>
      <c r="J399" s="10">
        <v>0.2</v>
      </c>
      <c r="K399" s="1"/>
      <c r="L399" s="1"/>
      <c r="M399" s="1"/>
      <c r="N399" s="1"/>
      <c r="O399" s="1"/>
      <c r="P399" s="1"/>
      <c r="Q399" s="1"/>
      <c r="R399" s="1"/>
      <c r="S399" s="1"/>
      <c r="T399" s="1"/>
      <c r="U399" s="1"/>
      <c r="V399" s="1"/>
      <c r="W399" s="1"/>
      <c r="X399" s="1"/>
      <c r="Y399" s="1"/>
    </row>
    <row r="400" spans="1:25" ht="15" thickBot="1" x14ac:dyDescent="0.35">
      <c r="A400" s="9">
        <v>399</v>
      </c>
      <c r="B400" s="8">
        <v>40561</v>
      </c>
      <c r="C400" s="7">
        <v>1</v>
      </c>
      <c r="D400" s="7">
        <v>0</v>
      </c>
      <c r="E400" s="7">
        <v>1</v>
      </c>
      <c r="F400" s="7">
        <v>14</v>
      </c>
      <c r="G400" s="7" t="b">
        <v>0</v>
      </c>
      <c r="H400" s="7">
        <f t="shared" si="6"/>
        <v>2</v>
      </c>
      <c r="I400" s="7">
        <v>2</v>
      </c>
      <c r="J400" s="10">
        <v>0.22</v>
      </c>
      <c r="K400" s="1"/>
      <c r="L400" s="1"/>
      <c r="M400" s="1"/>
      <c r="N400" s="1"/>
      <c r="O400" s="1"/>
      <c r="P400" s="1"/>
      <c r="Q400" s="1"/>
      <c r="R400" s="1"/>
      <c r="S400" s="1"/>
      <c r="T400" s="1"/>
      <c r="U400" s="1"/>
      <c r="V400" s="1"/>
      <c r="W400" s="1"/>
      <c r="X400" s="1"/>
      <c r="Y400" s="1"/>
    </row>
    <row r="401" spans="1:25" ht="15" thickBot="1" x14ac:dyDescent="0.35">
      <c r="A401" s="9">
        <v>400</v>
      </c>
      <c r="B401" s="8">
        <v>40561</v>
      </c>
      <c r="C401" s="7">
        <v>1</v>
      </c>
      <c r="D401" s="7">
        <v>0</v>
      </c>
      <c r="E401" s="7">
        <v>1</v>
      </c>
      <c r="F401" s="7">
        <v>15</v>
      </c>
      <c r="G401" s="7" t="b">
        <v>0</v>
      </c>
      <c r="H401" s="7">
        <f t="shared" si="6"/>
        <v>2</v>
      </c>
      <c r="I401" s="7">
        <v>2</v>
      </c>
      <c r="J401" s="10">
        <v>0.22</v>
      </c>
      <c r="K401" s="1"/>
      <c r="L401" s="1"/>
      <c r="M401" s="1"/>
      <c r="N401" s="1"/>
      <c r="O401" s="1"/>
      <c r="P401" s="1"/>
      <c r="Q401" s="1"/>
      <c r="R401" s="1"/>
      <c r="S401" s="1"/>
      <c r="T401" s="1"/>
      <c r="U401" s="1"/>
      <c r="V401" s="1"/>
      <c r="W401" s="1"/>
      <c r="X401" s="1"/>
      <c r="Y401" s="1"/>
    </row>
    <row r="402" spans="1:25" ht="15" thickBot="1" x14ac:dyDescent="0.35">
      <c r="A402" s="9">
        <v>401</v>
      </c>
      <c r="B402" s="8">
        <v>40561</v>
      </c>
      <c r="C402" s="7">
        <v>1</v>
      </c>
      <c r="D402" s="7">
        <v>0</v>
      </c>
      <c r="E402" s="7">
        <v>1</v>
      </c>
      <c r="F402" s="7">
        <v>16</v>
      </c>
      <c r="G402" s="7" t="b">
        <v>0</v>
      </c>
      <c r="H402" s="7">
        <f t="shared" si="6"/>
        <v>2</v>
      </c>
      <c r="I402" s="7">
        <v>2</v>
      </c>
      <c r="J402" s="10">
        <v>0.22</v>
      </c>
      <c r="K402" s="1"/>
      <c r="L402" s="1"/>
      <c r="M402" s="1"/>
      <c r="N402" s="1"/>
      <c r="O402" s="1"/>
      <c r="P402" s="1"/>
      <c r="Q402" s="1"/>
      <c r="R402" s="1"/>
      <c r="S402" s="1"/>
      <c r="T402" s="1"/>
      <c r="U402" s="1"/>
      <c r="V402" s="1"/>
      <c r="W402" s="1"/>
      <c r="X402" s="1"/>
      <c r="Y402" s="1"/>
    </row>
    <row r="403" spans="1:25" ht="15" thickBot="1" x14ac:dyDescent="0.35">
      <c r="A403" s="9">
        <v>402</v>
      </c>
      <c r="B403" s="8">
        <v>40561</v>
      </c>
      <c r="C403" s="7">
        <v>1</v>
      </c>
      <c r="D403" s="7">
        <v>0</v>
      </c>
      <c r="E403" s="7">
        <v>1</v>
      </c>
      <c r="F403" s="7">
        <v>17</v>
      </c>
      <c r="G403" s="7" t="b">
        <v>0</v>
      </c>
      <c r="H403" s="7">
        <f t="shared" si="6"/>
        <v>2</v>
      </c>
      <c r="I403" s="7">
        <v>2</v>
      </c>
      <c r="J403" s="10">
        <v>0.22</v>
      </c>
      <c r="K403" s="1"/>
      <c r="L403" s="1"/>
      <c r="M403" s="1"/>
      <c r="N403" s="1"/>
      <c r="O403" s="1"/>
      <c r="P403" s="1"/>
      <c r="Q403" s="1"/>
      <c r="R403" s="1"/>
      <c r="S403" s="1"/>
      <c r="T403" s="1"/>
      <c r="U403" s="1"/>
      <c r="V403" s="1"/>
      <c r="W403" s="1"/>
      <c r="X403" s="1"/>
      <c r="Y403" s="1"/>
    </row>
    <row r="404" spans="1:25" ht="15" thickBot="1" x14ac:dyDescent="0.35">
      <c r="A404" s="9">
        <v>403</v>
      </c>
      <c r="B404" s="8">
        <v>40561</v>
      </c>
      <c r="C404" s="7">
        <v>1</v>
      </c>
      <c r="D404" s="7">
        <v>0</v>
      </c>
      <c r="E404" s="7">
        <v>1</v>
      </c>
      <c r="F404" s="7">
        <v>18</v>
      </c>
      <c r="G404" s="7" t="b">
        <v>0</v>
      </c>
      <c r="H404" s="7">
        <f t="shared" si="6"/>
        <v>2</v>
      </c>
      <c r="I404" s="7">
        <v>2</v>
      </c>
      <c r="J404" s="10">
        <v>0.22</v>
      </c>
      <c r="K404" s="1"/>
      <c r="L404" s="1"/>
      <c r="M404" s="1"/>
      <c r="N404" s="1"/>
      <c r="O404" s="1"/>
      <c r="P404" s="1"/>
      <c r="Q404" s="1"/>
      <c r="R404" s="1"/>
      <c r="S404" s="1"/>
      <c r="T404" s="1"/>
      <c r="U404" s="1"/>
      <c r="V404" s="1"/>
      <c r="W404" s="1"/>
      <c r="X404" s="1"/>
      <c r="Y404" s="1"/>
    </row>
    <row r="405" spans="1:25" ht="15" thickBot="1" x14ac:dyDescent="0.35">
      <c r="A405" s="9">
        <v>404</v>
      </c>
      <c r="B405" s="8">
        <v>40561</v>
      </c>
      <c r="C405" s="7">
        <v>1</v>
      </c>
      <c r="D405" s="7">
        <v>0</v>
      </c>
      <c r="E405" s="7">
        <v>1</v>
      </c>
      <c r="F405" s="7">
        <v>19</v>
      </c>
      <c r="G405" s="7" t="b">
        <v>0</v>
      </c>
      <c r="H405" s="7">
        <f t="shared" si="6"/>
        <v>2</v>
      </c>
      <c r="I405" s="7">
        <v>2</v>
      </c>
      <c r="J405" s="10">
        <v>0.22</v>
      </c>
      <c r="K405" s="1"/>
      <c r="L405" s="1"/>
      <c r="M405" s="1"/>
      <c r="N405" s="1"/>
      <c r="O405" s="1"/>
      <c r="P405" s="1"/>
      <c r="Q405" s="1"/>
      <c r="R405" s="1"/>
      <c r="S405" s="1"/>
      <c r="T405" s="1"/>
      <c r="U405" s="1"/>
      <c r="V405" s="1"/>
      <c r="W405" s="1"/>
      <c r="X405" s="1"/>
      <c r="Y405" s="1"/>
    </row>
    <row r="406" spans="1:25" ht="15" thickBot="1" x14ac:dyDescent="0.35">
      <c r="A406" s="9">
        <v>405</v>
      </c>
      <c r="B406" s="8">
        <v>40561</v>
      </c>
      <c r="C406" s="7">
        <v>1</v>
      </c>
      <c r="D406" s="7">
        <v>0</v>
      </c>
      <c r="E406" s="7">
        <v>1</v>
      </c>
      <c r="F406" s="7">
        <v>20</v>
      </c>
      <c r="G406" s="7" t="b">
        <v>0</v>
      </c>
      <c r="H406" s="7">
        <f t="shared" si="6"/>
        <v>2</v>
      </c>
      <c r="I406" s="7">
        <v>2</v>
      </c>
      <c r="J406" s="10">
        <v>0.22</v>
      </c>
      <c r="K406" s="1"/>
      <c r="L406" s="1"/>
      <c r="M406" s="1"/>
      <c r="N406" s="1"/>
      <c r="O406" s="1"/>
      <c r="P406" s="1"/>
      <c r="Q406" s="1"/>
      <c r="R406" s="1"/>
      <c r="S406" s="1"/>
      <c r="T406" s="1"/>
      <c r="U406" s="1"/>
      <c r="V406" s="1"/>
      <c r="W406" s="1"/>
      <c r="X406" s="1"/>
      <c r="Y406" s="1"/>
    </row>
    <row r="407" spans="1:25" ht="15" thickBot="1" x14ac:dyDescent="0.35">
      <c r="A407" s="9">
        <v>406</v>
      </c>
      <c r="B407" s="8">
        <v>40561</v>
      </c>
      <c r="C407" s="7">
        <v>1</v>
      </c>
      <c r="D407" s="7">
        <v>0</v>
      </c>
      <c r="E407" s="7">
        <v>1</v>
      </c>
      <c r="F407" s="7">
        <v>21</v>
      </c>
      <c r="G407" s="7" t="b">
        <v>0</v>
      </c>
      <c r="H407" s="7">
        <f t="shared" si="6"/>
        <v>2</v>
      </c>
      <c r="I407" s="7">
        <v>2</v>
      </c>
      <c r="J407" s="10">
        <v>0.22</v>
      </c>
      <c r="K407" s="1"/>
      <c r="L407" s="1"/>
      <c r="M407" s="1"/>
      <c r="N407" s="1"/>
      <c r="O407" s="1"/>
      <c r="P407" s="1"/>
      <c r="Q407" s="1"/>
      <c r="R407" s="1"/>
      <c r="S407" s="1"/>
      <c r="T407" s="1"/>
      <c r="U407" s="1"/>
      <c r="V407" s="1"/>
      <c r="W407" s="1"/>
      <c r="X407" s="1"/>
      <c r="Y407" s="1"/>
    </row>
    <row r="408" spans="1:25" ht="15" thickBot="1" x14ac:dyDescent="0.35">
      <c r="A408" s="9">
        <v>407</v>
      </c>
      <c r="B408" s="8">
        <v>40561</v>
      </c>
      <c r="C408" s="7">
        <v>1</v>
      </c>
      <c r="D408" s="7">
        <v>0</v>
      </c>
      <c r="E408" s="7">
        <v>1</v>
      </c>
      <c r="F408" s="7">
        <v>22</v>
      </c>
      <c r="G408" s="7" t="b">
        <v>0</v>
      </c>
      <c r="H408" s="7">
        <f t="shared" si="6"/>
        <v>2</v>
      </c>
      <c r="I408" s="7">
        <v>2</v>
      </c>
      <c r="J408" s="10">
        <v>0.22</v>
      </c>
      <c r="K408" s="1"/>
      <c r="L408" s="1"/>
      <c r="M408" s="1"/>
      <c r="N408" s="1"/>
      <c r="O408" s="1"/>
      <c r="P408" s="1"/>
      <c r="Q408" s="1"/>
      <c r="R408" s="1"/>
      <c r="S408" s="1"/>
      <c r="T408" s="1"/>
      <c r="U408" s="1"/>
      <c r="V408" s="1"/>
      <c r="W408" s="1"/>
      <c r="X408" s="1"/>
      <c r="Y408" s="1"/>
    </row>
    <row r="409" spans="1:25" ht="15" thickBot="1" x14ac:dyDescent="0.35">
      <c r="A409" s="9">
        <v>408</v>
      </c>
      <c r="B409" s="8">
        <v>40561</v>
      </c>
      <c r="C409" s="7">
        <v>1</v>
      </c>
      <c r="D409" s="7">
        <v>0</v>
      </c>
      <c r="E409" s="7">
        <v>1</v>
      </c>
      <c r="F409" s="7">
        <v>23</v>
      </c>
      <c r="G409" s="7" t="b">
        <v>0</v>
      </c>
      <c r="H409" s="7">
        <f t="shared" si="6"/>
        <v>2</v>
      </c>
      <c r="I409" s="7">
        <v>2</v>
      </c>
      <c r="J409" s="10">
        <v>0.22</v>
      </c>
      <c r="K409" s="1"/>
      <c r="L409" s="1"/>
      <c r="M409" s="1"/>
      <c r="N409" s="1"/>
      <c r="O409" s="1"/>
      <c r="P409" s="1"/>
      <c r="Q409" s="1"/>
      <c r="R409" s="1"/>
      <c r="S409" s="1"/>
      <c r="T409" s="1"/>
      <c r="U409" s="1"/>
      <c r="V409" s="1"/>
      <c r="W409" s="1"/>
      <c r="X409" s="1"/>
      <c r="Y409" s="1"/>
    </row>
    <row r="410" spans="1:25" ht="15" thickBot="1" x14ac:dyDescent="0.35">
      <c r="A410" s="9">
        <v>409</v>
      </c>
      <c r="B410" s="8">
        <v>40562</v>
      </c>
      <c r="C410" s="7">
        <v>1</v>
      </c>
      <c r="D410" s="7">
        <v>0</v>
      </c>
      <c r="E410" s="7">
        <v>1</v>
      </c>
      <c r="F410" s="7">
        <v>0</v>
      </c>
      <c r="G410" s="7" t="b">
        <v>0</v>
      </c>
      <c r="H410" s="7">
        <f t="shared" si="6"/>
        <v>3</v>
      </c>
      <c r="I410" s="7">
        <v>2</v>
      </c>
      <c r="J410" s="10">
        <v>0.22</v>
      </c>
      <c r="K410" s="1"/>
      <c r="L410" s="1"/>
      <c r="M410" s="1"/>
      <c r="N410" s="1"/>
      <c r="O410" s="1"/>
      <c r="P410" s="1"/>
      <c r="Q410" s="1"/>
      <c r="R410" s="1"/>
      <c r="S410" s="1"/>
      <c r="T410" s="1"/>
      <c r="U410" s="1"/>
      <c r="V410" s="1"/>
      <c r="W410" s="1"/>
      <c r="X410" s="1"/>
      <c r="Y410" s="1"/>
    </row>
    <row r="411" spans="1:25" ht="15" thickBot="1" x14ac:dyDescent="0.35">
      <c r="A411" s="9">
        <v>410</v>
      </c>
      <c r="B411" s="8">
        <v>40562</v>
      </c>
      <c r="C411" s="7">
        <v>1</v>
      </c>
      <c r="D411" s="7">
        <v>0</v>
      </c>
      <c r="E411" s="7">
        <v>1</v>
      </c>
      <c r="F411" s="7">
        <v>1</v>
      </c>
      <c r="G411" s="7" t="b">
        <v>0</v>
      </c>
      <c r="H411" s="7">
        <f t="shared" si="6"/>
        <v>3</v>
      </c>
      <c r="I411" s="7">
        <v>3</v>
      </c>
      <c r="J411" s="10">
        <v>0.22</v>
      </c>
      <c r="K411" s="1"/>
      <c r="L411" s="1"/>
      <c r="M411" s="1"/>
      <c r="N411" s="1"/>
      <c r="O411" s="1"/>
      <c r="P411" s="1"/>
      <c r="Q411" s="1"/>
      <c r="R411" s="1"/>
      <c r="S411" s="1"/>
      <c r="T411" s="1"/>
      <c r="U411" s="1"/>
      <c r="V411" s="1"/>
      <c r="W411" s="1"/>
      <c r="X411" s="1"/>
      <c r="Y411" s="1"/>
    </row>
    <row r="412" spans="1:25" ht="15" thickBot="1" x14ac:dyDescent="0.35">
      <c r="A412" s="9">
        <v>411</v>
      </c>
      <c r="B412" s="8">
        <v>40562</v>
      </c>
      <c r="C412" s="7">
        <v>1</v>
      </c>
      <c r="D412" s="7">
        <v>0</v>
      </c>
      <c r="E412" s="7">
        <v>1</v>
      </c>
      <c r="F412" s="7">
        <v>2</v>
      </c>
      <c r="G412" s="7" t="b">
        <v>0</v>
      </c>
      <c r="H412" s="7">
        <f t="shared" si="6"/>
        <v>3</v>
      </c>
      <c r="I412" s="7">
        <v>3</v>
      </c>
      <c r="J412" s="10">
        <v>0.22</v>
      </c>
      <c r="K412" s="1"/>
      <c r="L412" s="1"/>
      <c r="M412" s="1"/>
      <c r="N412" s="1"/>
      <c r="O412" s="1"/>
      <c r="P412" s="1"/>
      <c r="Q412" s="1"/>
      <c r="R412" s="1"/>
      <c r="S412" s="1"/>
      <c r="T412" s="1"/>
      <c r="U412" s="1"/>
      <c r="V412" s="1"/>
      <c r="W412" s="1"/>
      <c r="X412" s="1"/>
      <c r="Y412" s="1"/>
    </row>
    <row r="413" spans="1:25" ht="15" thickBot="1" x14ac:dyDescent="0.35">
      <c r="A413" s="9">
        <v>412</v>
      </c>
      <c r="B413" s="8">
        <v>40562</v>
      </c>
      <c r="C413" s="7">
        <v>1</v>
      </c>
      <c r="D413" s="7">
        <v>0</v>
      </c>
      <c r="E413" s="7">
        <v>1</v>
      </c>
      <c r="F413" s="7">
        <v>4</v>
      </c>
      <c r="G413" s="7" t="b">
        <v>0</v>
      </c>
      <c r="H413" s="7">
        <f t="shared" si="6"/>
        <v>3</v>
      </c>
      <c r="I413" s="7">
        <v>3</v>
      </c>
      <c r="J413" s="10">
        <v>0.22</v>
      </c>
      <c r="K413" s="1"/>
      <c r="L413" s="1"/>
      <c r="M413" s="1"/>
      <c r="N413" s="1"/>
      <c r="O413" s="1"/>
      <c r="P413" s="1"/>
      <c r="Q413" s="1"/>
      <c r="R413" s="1"/>
      <c r="S413" s="1"/>
      <c r="T413" s="1"/>
      <c r="U413" s="1"/>
      <c r="V413" s="1"/>
      <c r="W413" s="1"/>
      <c r="X413" s="1"/>
      <c r="Y413" s="1"/>
    </row>
    <row r="414" spans="1:25" ht="15" thickBot="1" x14ac:dyDescent="0.35">
      <c r="A414" s="9">
        <v>413</v>
      </c>
      <c r="B414" s="8">
        <v>40562</v>
      </c>
      <c r="C414" s="7">
        <v>1</v>
      </c>
      <c r="D414" s="7">
        <v>0</v>
      </c>
      <c r="E414" s="7">
        <v>1</v>
      </c>
      <c r="F414" s="7">
        <v>5</v>
      </c>
      <c r="G414" s="7" t="b">
        <v>0</v>
      </c>
      <c r="H414" s="7">
        <f t="shared" si="6"/>
        <v>3</v>
      </c>
      <c r="I414" s="7">
        <v>2</v>
      </c>
      <c r="J414" s="10">
        <v>0.22</v>
      </c>
      <c r="K414" s="1"/>
      <c r="L414" s="1"/>
      <c r="M414" s="1"/>
      <c r="N414" s="1"/>
      <c r="O414" s="1"/>
      <c r="P414" s="1"/>
      <c r="Q414" s="1"/>
      <c r="R414" s="1"/>
      <c r="S414" s="1"/>
      <c r="T414" s="1"/>
      <c r="U414" s="1"/>
      <c r="V414" s="1"/>
      <c r="W414" s="1"/>
      <c r="X414" s="1"/>
      <c r="Y414" s="1"/>
    </row>
    <row r="415" spans="1:25" ht="15" thickBot="1" x14ac:dyDescent="0.35">
      <c r="A415" s="9">
        <v>414</v>
      </c>
      <c r="B415" s="8">
        <v>40562</v>
      </c>
      <c r="C415" s="7">
        <v>1</v>
      </c>
      <c r="D415" s="7">
        <v>0</v>
      </c>
      <c r="E415" s="7">
        <v>1</v>
      </c>
      <c r="F415" s="7">
        <v>6</v>
      </c>
      <c r="G415" s="7" t="b">
        <v>0</v>
      </c>
      <c r="H415" s="7">
        <f t="shared" si="6"/>
        <v>3</v>
      </c>
      <c r="I415" s="7">
        <v>2</v>
      </c>
      <c r="J415" s="10">
        <v>0.22</v>
      </c>
      <c r="K415" s="1"/>
      <c r="L415" s="1"/>
      <c r="M415" s="1"/>
      <c r="N415" s="1"/>
      <c r="O415" s="1"/>
      <c r="P415" s="1"/>
      <c r="Q415" s="1"/>
      <c r="R415" s="1"/>
      <c r="S415" s="1"/>
      <c r="T415" s="1"/>
      <c r="U415" s="1"/>
      <c r="V415" s="1"/>
      <c r="W415" s="1"/>
      <c r="X415" s="1"/>
      <c r="Y415" s="1"/>
    </row>
    <row r="416" spans="1:25" ht="15" thickBot="1" x14ac:dyDescent="0.35">
      <c r="A416" s="9">
        <v>415</v>
      </c>
      <c r="B416" s="8">
        <v>40562</v>
      </c>
      <c r="C416" s="7">
        <v>1</v>
      </c>
      <c r="D416" s="7">
        <v>0</v>
      </c>
      <c r="E416" s="7">
        <v>1</v>
      </c>
      <c r="F416" s="7">
        <v>7</v>
      </c>
      <c r="G416" s="7" t="b">
        <v>0</v>
      </c>
      <c r="H416" s="7">
        <f t="shared" si="6"/>
        <v>3</v>
      </c>
      <c r="I416" s="7">
        <v>2</v>
      </c>
      <c r="J416" s="10">
        <v>0.24</v>
      </c>
      <c r="K416" s="1"/>
      <c r="L416" s="1"/>
      <c r="M416" s="1"/>
      <c r="N416" s="1"/>
      <c r="O416" s="1"/>
      <c r="P416" s="1"/>
      <c r="Q416" s="1"/>
      <c r="R416" s="1"/>
      <c r="S416" s="1"/>
      <c r="T416" s="1"/>
      <c r="U416" s="1"/>
      <c r="V416" s="1"/>
      <c r="W416" s="1"/>
      <c r="X416" s="1"/>
      <c r="Y416" s="1"/>
    </row>
    <row r="417" spans="1:25" ht="15" thickBot="1" x14ac:dyDescent="0.35">
      <c r="A417" s="9">
        <v>416</v>
      </c>
      <c r="B417" s="8">
        <v>40562</v>
      </c>
      <c r="C417" s="7">
        <v>1</v>
      </c>
      <c r="D417" s="7">
        <v>0</v>
      </c>
      <c r="E417" s="7">
        <v>1</v>
      </c>
      <c r="F417" s="7">
        <v>8</v>
      </c>
      <c r="G417" s="7" t="b">
        <v>0</v>
      </c>
      <c r="H417" s="7">
        <f t="shared" si="6"/>
        <v>3</v>
      </c>
      <c r="I417" s="7">
        <v>2</v>
      </c>
      <c r="J417" s="10">
        <v>0.24</v>
      </c>
      <c r="K417" s="1"/>
      <c r="L417" s="1"/>
      <c r="M417" s="1"/>
      <c r="N417" s="1"/>
      <c r="O417" s="1"/>
      <c r="P417" s="1"/>
      <c r="Q417" s="1"/>
      <c r="R417" s="1"/>
      <c r="S417" s="1"/>
      <c r="T417" s="1"/>
      <c r="U417" s="1"/>
      <c r="V417" s="1"/>
      <c r="W417" s="1"/>
      <c r="X417" s="1"/>
      <c r="Y417" s="1"/>
    </row>
    <row r="418" spans="1:25" ht="15" thickBot="1" x14ac:dyDescent="0.35">
      <c r="A418" s="9">
        <v>417</v>
      </c>
      <c r="B418" s="8">
        <v>40562</v>
      </c>
      <c r="C418" s="7">
        <v>1</v>
      </c>
      <c r="D418" s="7">
        <v>0</v>
      </c>
      <c r="E418" s="7">
        <v>1</v>
      </c>
      <c r="F418" s="7">
        <v>9</v>
      </c>
      <c r="G418" s="7" t="b">
        <v>0</v>
      </c>
      <c r="H418" s="7">
        <f t="shared" si="6"/>
        <v>3</v>
      </c>
      <c r="I418" s="7">
        <v>2</v>
      </c>
      <c r="J418" s="10">
        <v>0.24</v>
      </c>
      <c r="K418" s="1"/>
      <c r="L418" s="1"/>
      <c r="M418" s="1"/>
      <c r="N418" s="1"/>
      <c r="O418" s="1"/>
      <c r="P418" s="1"/>
      <c r="Q418" s="1"/>
      <c r="R418" s="1"/>
      <c r="S418" s="1"/>
      <c r="T418" s="1"/>
      <c r="U418" s="1"/>
      <c r="V418" s="1"/>
      <c r="W418" s="1"/>
      <c r="X418" s="1"/>
      <c r="Y418" s="1"/>
    </row>
    <row r="419" spans="1:25" ht="15" thickBot="1" x14ac:dyDescent="0.35">
      <c r="A419" s="9">
        <v>418</v>
      </c>
      <c r="B419" s="8">
        <v>40562</v>
      </c>
      <c r="C419" s="7">
        <v>1</v>
      </c>
      <c r="D419" s="7">
        <v>0</v>
      </c>
      <c r="E419" s="7">
        <v>1</v>
      </c>
      <c r="F419" s="7">
        <v>10</v>
      </c>
      <c r="G419" s="7" t="b">
        <v>0</v>
      </c>
      <c r="H419" s="7">
        <f t="shared" si="6"/>
        <v>3</v>
      </c>
      <c r="I419" s="7">
        <v>2</v>
      </c>
      <c r="J419" s="10">
        <v>0.26</v>
      </c>
      <c r="K419" s="1"/>
      <c r="L419" s="1"/>
      <c r="M419" s="1"/>
      <c r="N419" s="1"/>
      <c r="O419" s="1"/>
      <c r="P419" s="1"/>
      <c r="Q419" s="1"/>
      <c r="R419" s="1"/>
      <c r="S419" s="1"/>
      <c r="T419" s="1"/>
      <c r="U419" s="1"/>
      <c r="V419" s="1"/>
      <c r="W419" s="1"/>
      <c r="X419" s="1"/>
      <c r="Y419" s="1"/>
    </row>
    <row r="420" spans="1:25" ht="15" thickBot="1" x14ac:dyDescent="0.35">
      <c r="A420" s="9">
        <v>419</v>
      </c>
      <c r="B420" s="8">
        <v>40562</v>
      </c>
      <c r="C420" s="7">
        <v>1</v>
      </c>
      <c r="D420" s="7">
        <v>0</v>
      </c>
      <c r="E420" s="7">
        <v>1</v>
      </c>
      <c r="F420" s="7">
        <v>11</v>
      </c>
      <c r="G420" s="7" t="b">
        <v>0</v>
      </c>
      <c r="H420" s="7">
        <f t="shared" si="6"/>
        <v>3</v>
      </c>
      <c r="I420" s="7">
        <v>2</v>
      </c>
      <c r="J420" s="10">
        <v>0.28000000000000003</v>
      </c>
      <c r="K420" s="1"/>
      <c r="L420" s="1"/>
      <c r="M420" s="1"/>
      <c r="N420" s="1"/>
      <c r="O420" s="1"/>
      <c r="P420" s="1"/>
      <c r="Q420" s="1"/>
      <c r="R420" s="1"/>
      <c r="S420" s="1"/>
      <c r="T420" s="1"/>
      <c r="U420" s="1"/>
      <c r="V420" s="1"/>
      <c r="W420" s="1"/>
      <c r="X420" s="1"/>
      <c r="Y420" s="1"/>
    </row>
    <row r="421" spans="1:25" ht="15" thickBot="1" x14ac:dyDescent="0.35">
      <c r="A421" s="9">
        <v>420</v>
      </c>
      <c r="B421" s="8">
        <v>40562</v>
      </c>
      <c r="C421" s="7">
        <v>1</v>
      </c>
      <c r="D421" s="7">
        <v>0</v>
      </c>
      <c r="E421" s="7">
        <v>1</v>
      </c>
      <c r="F421" s="7">
        <v>12</v>
      </c>
      <c r="G421" s="7" t="b">
        <v>0</v>
      </c>
      <c r="H421" s="7">
        <f t="shared" si="6"/>
        <v>3</v>
      </c>
      <c r="I421" s="7">
        <v>2</v>
      </c>
      <c r="J421" s="10">
        <v>0.3</v>
      </c>
      <c r="K421" s="1"/>
      <c r="L421" s="1"/>
      <c r="M421" s="1"/>
      <c r="N421" s="1"/>
      <c r="O421" s="1"/>
      <c r="P421" s="1"/>
      <c r="Q421" s="1"/>
      <c r="R421" s="1"/>
      <c r="S421" s="1"/>
      <c r="T421" s="1"/>
      <c r="U421" s="1"/>
      <c r="V421" s="1"/>
      <c r="W421" s="1"/>
      <c r="X421" s="1"/>
      <c r="Y421" s="1"/>
    </row>
    <row r="422" spans="1:25" ht="15" thickBot="1" x14ac:dyDescent="0.35">
      <c r="A422" s="9">
        <v>421</v>
      </c>
      <c r="B422" s="8">
        <v>40562</v>
      </c>
      <c r="C422" s="7">
        <v>1</v>
      </c>
      <c r="D422" s="7">
        <v>0</v>
      </c>
      <c r="E422" s="7">
        <v>1</v>
      </c>
      <c r="F422" s="7">
        <v>13</v>
      </c>
      <c r="G422" s="7" t="b">
        <v>0</v>
      </c>
      <c r="H422" s="7">
        <f t="shared" si="6"/>
        <v>3</v>
      </c>
      <c r="I422" s="7">
        <v>1</v>
      </c>
      <c r="J422" s="10">
        <v>0.4</v>
      </c>
      <c r="K422" s="1"/>
      <c r="L422" s="1"/>
      <c r="M422" s="1"/>
      <c r="N422" s="1"/>
      <c r="O422" s="1"/>
      <c r="P422" s="1"/>
      <c r="Q422" s="1"/>
      <c r="R422" s="1"/>
      <c r="S422" s="1"/>
      <c r="T422" s="1"/>
      <c r="U422" s="1"/>
      <c r="V422" s="1"/>
      <c r="W422" s="1"/>
      <c r="X422" s="1"/>
      <c r="Y422" s="1"/>
    </row>
    <row r="423" spans="1:25" ht="15" thickBot="1" x14ac:dyDescent="0.35">
      <c r="A423" s="9">
        <v>422</v>
      </c>
      <c r="B423" s="8">
        <v>40562</v>
      </c>
      <c r="C423" s="7">
        <v>1</v>
      </c>
      <c r="D423" s="7">
        <v>0</v>
      </c>
      <c r="E423" s="7">
        <v>1</v>
      </c>
      <c r="F423" s="7">
        <v>14</v>
      </c>
      <c r="G423" s="7" t="b">
        <v>0</v>
      </c>
      <c r="H423" s="7">
        <f t="shared" si="6"/>
        <v>3</v>
      </c>
      <c r="I423" s="7">
        <v>1</v>
      </c>
      <c r="J423" s="10">
        <v>0.4</v>
      </c>
      <c r="K423" s="1"/>
      <c r="L423" s="1"/>
      <c r="M423" s="1"/>
      <c r="N423" s="1"/>
      <c r="O423" s="1"/>
      <c r="P423" s="1"/>
      <c r="Q423" s="1"/>
      <c r="R423" s="1"/>
      <c r="S423" s="1"/>
      <c r="T423" s="1"/>
      <c r="U423" s="1"/>
      <c r="V423" s="1"/>
      <c r="W423" s="1"/>
      <c r="X423" s="1"/>
      <c r="Y423" s="1"/>
    </row>
    <row r="424" spans="1:25" ht="15" thickBot="1" x14ac:dyDescent="0.35">
      <c r="A424" s="9">
        <v>423</v>
      </c>
      <c r="B424" s="8">
        <v>40562</v>
      </c>
      <c r="C424" s="7">
        <v>1</v>
      </c>
      <c r="D424" s="7">
        <v>0</v>
      </c>
      <c r="E424" s="7">
        <v>1</v>
      </c>
      <c r="F424" s="7">
        <v>15</v>
      </c>
      <c r="G424" s="7" t="b">
        <v>0</v>
      </c>
      <c r="H424" s="7">
        <f t="shared" si="6"/>
        <v>3</v>
      </c>
      <c r="I424" s="7">
        <v>1</v>
      </c>
      <c r="J424" s="10">
        <v>0.4</v>
      </c>
      <c r="K424" s="1"/>
      <c r="L424" s="1"/>
      <c r="M424" s="1"/>
      <c r="N424" s="1"/>
      <c r="O424" s="1"/>
      <c r="P424" s="1"/>
      <c r="Q424" s="1"/>
      <c r="R424" s="1"/>
      <c r="S424" s="1"/>
      <c r="T424" s="1"/>
      <c r="U424" s="1"/>
      <c r="V424" s="1"/>
      <c r="W424" s="1"/>
      <c r="X424" s="1"/>
      <c r="Y424" s="1"/>
    </row>
    <row r="425" spans="1:25" ht="15" thickBot="1" x14ac:dyDescent="0.35">
      <c r="A425" s="9">
        <v>424</v>
      </c>
      <c r="B425" s="8">
        <v>40562</v>
      </c>
      <c r="C425" s="7">
        <v>1</v>
      </c>
      <c r="D425" s="7">
        <v>0</v>
      </c>
      <c r="E425" s="7">
        <v>1</v>
      </c>
      <c r="F425" s="7">
        <v>16</v>
      </c>
      <c r="G425" s="7" t="b">
        <v>0</v>
      </c>
      <c r="H425" s="7">
        <f t="shared" si="6"/>
        <v>3</v>
      </c>
      <c r="I425" s="7">
        <v>1</v>
      </c>
      <c r="J425" s="10">
        <v>0.38</v>
      </c>
      <c r="K425" s="1"/>
      <c r="L425" s="1"/>
      <c r="M425" s="1"/>
      <c r="N425" s="1"/>
      <c r="O425" s="1"/>
      <c r="P425" s="1"/>
      <c r="Q425" s="1"/>
      <c r="R425" s="1"/>
      <c r="S425" s="1"/>
      <c r="T425" s="1"/>
      <c r="U425" s="1"/>
      <c r="V425" s="1"/>
      <c r="W425" s="1"/>
      <c r="X425" s="1"/>
      <c r="Y425" s="1"/>
    </row>
    <row r="426" spans="1:25" ht="15" thickBot="1" x14ac:dyDescent="0.35">
      <c r="A426" s="9">
        <v>425</v>
      </c>
      <c r="B426" s="8">
        <v>40562</v>
      </c>
      <c r="C426" s="7">
        <v>1</v>
      </c>
      <c r="D426" s="7">
        <v>0</v>
      </c>
      <c r="E426" s="7">
        <v>1</v>
      </c>
      <c r="F426" s="7">
        <v>17</v>
      </c>
      <c r="G426" s="7" t="b">
        <v>0</v>
      </c>
      <c r="H426" s="7">
        <f t="shared" si="6"/>
        <v>3</v>
      </c>
      <c r="I426" s="7">
        <v>1</v>
      </c>
      <c r="J426" s="10">
        <v>0.36</v>
      </c>
      <c r="K426" s="1"/>
      <c r="L426" s="1"/>
      <c r="M426" s="1"/>
      <c r="N426" s="1"/>
      <c r="O426" s="1"/>
      <c r="P426" s="1"/>
      <c r="Q426" s="1"/>
      <c r="R426" s="1"/>
      <c r="S426" s="1"/>
      <c r="T426" s="1"/>
      <c r="U426" s="1"/>
      <c r="V426" s="1"/>
      <c r="W426" s="1"/>
      <c r="X426" s="1"/>
      <c r="Y426" s="1"/>
    </row>
    <row r="427" spans="1:25" ht="15" thickBot="1" x14ac:dyDescent="0.35">
      <c r="A427" s="9">
        <v>426</v>
      </c>
      <c r="B427" s="8">
        <v>40562</v>
      </c>
      <c r="C427" s="7">
        <v>1</v>
      </c>
      <c r="D427" s="7">
        <v>0</v>
      </c>
      <c r="E427" s="7">
        <v>1</v>
      </c>
      <c r="F427" s="7">
        <v>18</v>
      </c>
      <c r="G427" s="7" t="b">
        <v>0</v>
      </c>
      <c r="H427" s="7">
        <f t="shared" si="6"/>
        <v>3</v>
      </c>
      <c r="I427" s="7">
        <v>1</v>
      </c>
      <c r="J427" s="10">
        <v>0.34</v>
      </c>
      <c r="K427" s="1"/>
      <c r="L427" s="1"/>
      <c r="M427" s="1"/>
      <c r="N427" s="1"/>
      <c r="O427" s="1"/>
      <c r="P427" s="1"/>
      <c r="Q427" s="1"/>
      <c r="R427" s="1"/>
      <c r="S427" s="1"/>
      <c r="T427" s="1"/>
      <c r="U427" s="1"/>
      <c r="V427" s="1"/>
      <c r="W427" s="1"/>
      <c r="X427" s="1"/>
      <c r="Y427" s="1"/>
    </row>
    <row r="428" spans="1:25" ht="15" thickBot="1" x14ac:dyDescent="0.35">
      <c r="A428" s="9">
        <v>427</v>
      </c>
      <c r="B428" s="8">
        <v>40562</v>
      </c>
      <c r="C428" s="7">
        <v>1</v>
      </c>
      <c r="D428" s="7">
        <v>0</v>
      </c>
      <c r="E428" s="7">
        <v>1</v>
      </c>
      <c r="F428" s="7">
        <v>19</v>
      </c>
      <c r="G428" s="7" t="b">
        <v>0</v>
      </c>
      <c r="H428" s="7">
        <f t="shared" si="6"/>
        <v>3</v>
      </c>
      <c r="I428" s="7">
        <v>1</v>
      </c>
      <c r="J428" s="10">
        <v>0.32</v>
      </c>
      <c r="K428" s="1"/>
      <c r="L428" s="1"/>
      <c r="M428" s="1"/>
      <c r="N428" s="1"/>
      <c r="O428" s="1"/>
      <c r="P428" s="1"/>
      <c r="Q428" s="1"/>
      <c r="R428" s="1"/>
      <c r="S428" s="1"/>
      <c r="T428" s="1"/>
      <c r="U428" s="1"/>
      <c r="V428" s="1"/>
      <c r="W428" s="1"/>
      <c r="X428" s="1"/>
      <c r="Y428" s="1"/>
    </row>
    <row r="429" spans="1:25" ht="15" thickBot="1" x14ac:dyDescent="0.35">
      <c r="A429" s="9">
        <v>428</v>
      </c>
      <c r="B429" s="8">
        <v>40562</v>
      </c>
      <c r="C429" s="7">
        <v>1</v>
      </c>
      <c r="D429" s="7">
        <v>0</v>
      </c>
      <c r="E429" s="7">
        <v>1</v>
      </c>
      <c r="F429" s="7">
        <v>20</v>
      </c>
      <c r="G429" s="7" t="b">
        <v>0</v>
      </c>
      <c r="H429" s="7">
        <f t="shared" si="6"/>
        <v>3</v>
      </c>
      <c r="I429" s="7">
        <v>1</v>
      </c>
      <c r="J429" s="10">
        <v>0.32</v>
      </c>
      <c r="K429" s="1"/>
      <c r="L429" s="1"/>
      <c r="M429" s="1"/>
      <c r="N429" s="1"/>
      <c r="O429" s="1"/>
      <c r="P429" s="1"/>
      <c r="Q429" s="1"/>
      <c r="R429" s="1"/>
      <c r="S429" s="1"/>
      <c r="T429" s="1"/>
      <c r="U429" s="1"/>
      <c r="V429" s="1"/>
      <c r="W429" s="1"/>
      <c r="X429" s="1"/>
      <c r="Y429" s="1"/>
    </row>
    <row r="430" spans="1:25" ht="15" thickBot="1" x14ac:dyDescent="0.35">
      <c r="A430" s="9">
        <v>429</v>
      </c>
      <c r="B430" s="8">
        <v>40562</v>
      </c>
      <c r="C430" s="7">
        <v>1</v>
      </c>
      <c r="D430" s="7">
        <v>0</v>
      </c>
      <c r="E430" s="7">
        <v>1</v>
      </c>
      <c r="F430" s="7">
        <v>21</v>
      </c>
      <c r="G430" s="7" t="b">
        <v>0</v>
      </c>
      <c r="H430" s="7">
        <f t="shared" si="6"/>
        <v>3</v>
      </c>
      <c r="I430" s="7">
        <v>1</v>
      </c>
      <c r="J430" s="10">
        <v>0.32</v>
      </c>
      <c r="K430" s="1"/>
      <c r="L430" s="1"/>
      <c r="M430" s="1"/>
      <c r="N430" s="1"/>
      <c r="O430" s="1"/>
      <c r="P430" s="1"/>
      <c r="Q430" s="1"/>
      <c r="R430" s="1"/>
      <c r="S430" s="1"/>
      <c r="T430" s="1"/>
      <c r="U430" s="1"/>
      <c r="V430" s="1"/>
      <c r="W430" s="1"/>
      <c r="X430" s="1"/>
      <c r="Y430" s="1"/>
    </row>
    <row r="431" spans="1:25" ht="15" thickBot="1" x14ac:dyDescent="0.35">
      <c r="A431" s="9">
        <v>430</v>
      </c>
      <c r="B431" s="8">
        <v>40562</v>
      </c>
      <c r="C431" s="7">
        <v>1</v>
      </c>
      <c r="D431" s="7">
        <v>0</v>
      </c>
      <c r="E431" s="7">
        <v>1</v>
      </c>
      <c r="F431" s="7">
        <v>22</v>
      </c>
      <c r="G431" s="7" t="b">
        <v>0</v>
      </c>
      <c r="H431" s="7">
        <f t="shared" si="6"/>
        <v>3</v>
      </c>
      <c r="I431" s="7">
        <v>1</v>
      </c>
      <c r="J431" s="10">
        <v>0.3</v>
      </c>
      <c r="K431" s="1"/>
      <c r="L431" s="1"/>
      <c r="M431" s="1"/>
      <c r="N431" s="1"/>
      <c r="O431" s="1"/>
      <c r="P431" s="1"/>
      <c r="Q431" s="1"/>
      <c r="R431" s="1"/>
      <c r="S431" s="1"/>
      <c r="T431" s="1"/>
      <c r="U431" s="1"/>
      <c r="V431" s="1"/>
      <c r="W431" s="1"/>
      <c r="X431" s="1"/>
      <c r="Y431" s="1"/>
    </row>
    <row r="432" spans="1:25" ht="15" thickBot="1" x14ac:dyDescent="0.35">
      <c r="A432" s="9">
        <v>431</v>
      </c>
      <c r="B432" s="8">
        <v>40562</v>
      </c>
      <c r="C432" s="7">
        <v>1</v>
      </c>
      <c r="D432" s="7">
        <v>0</v>
      </c>
      <c r="E432" s="7">
        <v>1</v>
      </c>
      <c r="F432" s="7">
        <v>23</v>
      </c>
      <c r="G432" s="7" t="b">
        <v>0</v>
      </c>
      <c r="H432" s="7">
        <f t="shared" si="6"/>
        <v>3</v>
      </c>
      <c r="I432" s="7">
        <v>1</v>
      </c>
      <c r="J432" s="10">
        <v>0.3</v>
      </c>
      <c r="K432" s="1"/>
      <c r="L432" s="1"/>
      <c r="M432" s="1"/>
      <c r="N432" s="1"/>
      <c r="O432" s="1"/>
      <c r="P432" s="1"/>
      <c r="Q432" s="1"/>
      <c r="R432" s="1"/>
      <c r="S432" s="1"/>
      <c r="T432" s="1"/>
      <c r="U432" s="1"/>
      <c r="V432" s="1"/>
      <c r="W432" s="1"/>
      <c r="X432" s="1"/>
      <c r="Y432" s="1"/>
    </row>
    <row r="433" spans="1:25" ht="15" thickBot="1" x14ac:dyDescent="0.35">
      <c r="A433" s="9">
        <v>432</v>
      </c>
      <c r="B433" s="8">
        <v>40563</v>
      </c>
      <c r="C433" s="7">
        <v>1</v>
      </c>
      <c r="D433" s="7">
        <v>0</v>
      </c>
      <c r="E433" s="7">
        <v>1</v>
      </c>
      <c r="F433" s="7">
        <v>0</v>
      </c>
      <c r="G433" s="7" t="b">
        <v>0</v>
      </c>
      <c r="H433" s="7">
        <f t="shared" si="6"/>
        <v>4</v>
      </c>
      <c r="I433" s="7">
        <v>1</v>
      </c>
      <c r="J433" s="10">
        <v>0.26</v>
      </c>
      <c r="K433" s="1"/>
      <c r="L433" s="1"/>
      <c r="M433" s="1"/>
      <c r="N433" s="1"/>
      <c r="O433" s="1"/>
      <c r="P433" s="1"/>
      <c r="Q433" s="1"/>
      <c r="R433" s="1"/>
      <c r="S433" s="1"/>
      <c r="T433" s="1"/>
      <c r="U433" s="1"/>
      <c r="V433" s="1"/>
      <c r="W433" s="1"/>
      <c r="X433" s="1"/>
      <c r="Y433" s="1"/>
    </row>
    <row r="434" spans="1:25" ht="15" thickBot="1" x14ac:dyDescent="0.35">
      <c r="A434" s="9">
        <v>433</v>
      </c>
      <c r="B434" s="8">
        <v>40563</v>
      </c>
      <c r="C434" s="7">
        <v>1</v>
      </c>
      <c r="D434" s="7">
        <v>0</v>
      </c>
      <c r="E434" s="7">
        <v>1</v>
      </c>
      <c r="F434" s="7">
        <v>1</v>
      </c>
      <c r="G434" s="7" t="b">
        <v>0</v>
      </c>
      <c r="H434" s="7">
        <f t="shared" si="6"/>
        <v>4</v>
      </c>
      <c r="I434" s="7">
        <v>1</v>
      </c>
      <c r="J434" s="10">
        <v>0.26</v>
      </c>
      <c r="K434" s="1"/>
      <c r="L434" s="1"/>
      <c r="M434" s="1"/>
      <c r="N434" s="1"/>
      <c r="O434" s="1"/>
      <c r="P434" s="1"/>
      <c r="Q434" s="1"/>
      <c r="R434" s="1"/>
      <c r="S434" s="1"/>
      <c r="T434" s="1"/>
      <c r="U434" s="1"/>
      <c r="V434" s="1"/>
      <c r="W434" s="1"/>
      <c r="X434" s="1"/>
      <c r="Y434" s="1"/>
    </row>
    <row r="435" spans="1:25" ht="15" thickBot="1" x14ac:dyDescent="0.35">
      <c r="A435" s="9">
        <v>434</v>
      </c>
      <c r="B435" s="8">
        <v>40563</v>
      </c>
      <c r="C435" s="7">
        <v>1</v>
      </c>
      <c r="D435" s="7">
        <v>0</v>
      </c>
      <c r="E435" s="7">
        <v>1</v>
      </c>
      <c r="F435" s="7">
        <v>2</v>
      </c>
      <c r="G435" s="7" t="b">
        <v>0</v>
      </c>
      <c r="H435" s="7">
        <f t="shared" si="6"/>
        <v>4</v>
      </c>
      <c r="I435" s="7">
        <v>1</v>
      </c>
      <c r="J435" s="10">
        <v>0.26</v>
      </c>
      <c r="K435" s="1"/>
      <c r="L435" s="1"/>
      <c r="M435" s="1"/>
      <c r="N435" s="1"/>
      <c r="O435" s="1"/>
      <c r="P435" s="1"/>
      <c r="Q435" s="1"/>
      <c r="R435" s="1"/>
      <c r="S435" s="1"/>
      <c r="T435" s="1"/>
      <c r="U435" s="1"/>
      <c r="V435" s="1"/>
      <c r="W435" s="1"/>
      <c r="X435" s="1"/>
      <c r="Y435" s="1"/>
    </row>
    <row r="436" spans="1:25" ht="15" thickBot="1" x14ac:dyDescent="0.35">
      <c r="A436" s="9">
        <v>435</v>
      </c>
      <c r="B436" s="8">
        <v>40563</v>
      </c>
      <c r="C436" s="7">
        <v>1</v>
      </c>
      <c r="D436" s="7">
        <v>0</v>
      </c>
      <c r="E436" s="7">
        <v>1</v>
      </c>
      <c r="F436" s="7">
        <v>3</v>
      </c>
      <c r="G436" s="7" t="b">
        <v>0</v>
      </c>
      <c r="H436" s="7">
        <f t="shared" si="6"/>
        <v>4</v>
      </c>
      <c r="I436" s="7">
        <v>1</v>
      </c>
      <c r="J436" s="10">
        <v>0.26</v>
      </c>
      <c r="K436" s="1"/>
      <c r="L436" s="1"/>
      <c r="M436" s="1"/>
      <c r="N436" s="1"/>
      <c r="O436" s="1"/>
      <c r="P436" s="1"/>
      <c r="Q436" s="1"/>
      <c r="R436" s="1"/>
      <c r="S436" s="1"/>
      <c r="T436" s="1"/>
      <c r="U436" s="1"/>
      <c r="V436" s="1"/>
      <c r="W436" s="1"/>
      <c r="X436" s="1"/>
      <c r="Y436" s="1"/>
    </row>
    <row r="437" spans="1:25" ht="15" thickBot="1" x14ac:dyDescent="0.35">
      <c r="A437" s="9">
        <v>436</v>
      </c>
      <c r="B437" s="8">
        <v>40563</v>
      </c>
      <c r="C437" s="7">
        <v>1</v>
      </c>
      <c r="D437" s="7">
        <v>0</v>
      </c>
      <c r="E437" s="7">
        <v>1</v>
      </c>
      <c r="F437" s="7">
        <v>4</v>
      </c>
      <c r="G437" s="7" t="b">
        <v>0</v>
      </c>
      <c r="H437" s="7">
        <f t="shared" si="6"/>
        <v>4</v>
      </c>
      <c r="I437" s="7">
        <v>1</v>
      </c>
      <c r="J437" s="10">
        <v>0.26</v>
      </c>
      <c r="K437" s="1"/>
      <c r="L437" s="1"/>
      <c r="M437" s="1"/>
      <c r="N437" s="1"/>
      <c r="O437" s="1"/>
      <c r="P437" s="1"/>
      <c r="Q437" s="1"/>
      <c r="R437" s="1"/>
      <c r="S437" s="1"/>
      <c r="T437" s="1"/>
      <c r="U437" s="1"/>
      <c r="V437" s="1"/>
      <c r="W437" s="1"/>
      <c r="X437" s="1"/>
      <c r="Y437" s="1"/>
    </row>
    <row r="438" spans="1:25" ht="15" thickBot="1" x14ac:dyDescent="0.35">
      <c r="A438" s="9">
        <v>437</v>
      </c>
      <c r="B438" s="8">
        <v>40563</v>
      </c>
      <c r="C438" s="7">
        <v>1</v>
      </c>
      <c r="D438" s="7">
        <v>0</v>
      </c>
      <c r="E438" s="7">
        <v>1</v>
      </c>
      <c r="F438" s="7">
        <v>5</v>
      </c>
      <c r="G438" s="7" t="b">
        <v>0</v>
      </c>
      <c r="H438" s="7">
        <f t="shared" si="6"/>
        <v>4</v>
      </c>
      <c r="I438" s="7">
        <v>1</v>
      </c>
      <c r="J438" s="10">
        <v>0.24</v>
      </c>
      <c r="K438" s="1"/>
      <c r="L438" s="1"/>
      <c r="M438" s="1"/>
      <c r="N438" s="1"/>
      <c r="O438" s="1"/>
      <c r="P438" s="1"/>
      <c r="Q438" s="1"/>
      <c r="R438" s="1"/>
      <c r="S438" s="1"/>
      <c r="T438" s="1"/>
      <c r="U438" s="1"/>
      <c r="V438" s="1"/>
      <c r="W438" s="1"/>
      <c r="X438" s="1"/>
      <c r="Y438" s="1"/>
    </row>
    <row r="439" spans="1:25" ht="15" thickBot="1" x14ac:dyDescent="0.35">
      <c r="A439" s="9">
        <v>438</v>
      </c>
      <c r="B439" s="8">
        <v>40563</v>
      </c>
      <c r="C439" s="7">
        <v>1</v>
      </c>
      <c r="D439" s="7">
        <v>0</v>
      </c>
      <c r="E439" s="7">
        <v>1</v>
      </c>
      <c r="F439" s="7">
        <v>6</v>
      </c>
      <c r="G439" s="7" t="b">
        <v>0</v>
      </c>
      <c r="H439" s="7">
        <f t="shared" si="6"/>
        <v>4</v>
      </c>
      <c r="I439" s="7">
        <v>1</v>
      </c>
      <c r="J439" s="10">
        <v>0.22</v>
      </c>
      <c r="K439" s="1"/>
      <c r="L439" s="1"/>
      <c r="M439" s="1"/>
      <c r="N439" s="1"/>
      <c r="O439" s="1"/>
      <c r="P439" s="1"/>
      <c r="Q439" s="1"/>
      <c r="R439" s="1"/>
      <c r="S439" s="1"/>
      <c r="T439" s="1"/>
      <c r="U439" s="1"/>
      <c r="V439" s="1"/>
      <c r="W439" s="1"/>
      <c r="X439" s="1"/>
      <c r="Y439" s="1"/>
    </row>
    <row r="440" spans="1:25" ht="15" thickBot="1" x14ac:dyDescent="0.35">
      <c r="A440" s="9">
        <v>439</v>
      </c>
      <c r="B440" s="8">
        <v>40563</v>
      </c>
      <c r="C440" s="7">
        <v>1</v>
      </c>
      <c r="D440" s="7">
        <v>0</v>
      </c>
      <c r="E440" s="7">
        <v>1</v>
      </c>
      <c r="F440" s="7">
        <v>7</v>
      </c>
      <c r="G440" s="7" t="b">
        <v>0</v>
      </c>
      <c r="H440" s="7">
        <f t="shared" si="6"/>
        <v>4</v>
      </c>
      <c r="I440" s="7">
        <v>1</v>
      </c>
      <c r="J440" s="10">
        <v>0.22</v>
      </c>
      <c r="K440" s="1"/>
      <c r="L440" s="1"/>
      <c r="M440" s="1"/>
      <c r="N440" s="1"/>
      <c r="O440" s="1"/>
      <c r="P440" s="1"/>
      <c r="Q440" s="1"/>
      <c r="R440" s="1"/>
      <c r="S440" s="1"/>
      <c r="T440" s="1"/>
      <c r="U440" s="1"/>
      <c r="V440" s="1"/>
      <c r="W440" s="1"/>
      <c r="X440" s="1"/>
      <c r="Y440" s="1"/>
    </row>
    <row r="441" spans="1:25" ht="15" thickBot="1" x14ac:dyDescent="0.35">
      <c r="A441" s="9">
        <v>440</v>
      </c>
      <c r="B441" s="8">
        <v>40563</v>
      </c>
      <c r="C441" s="7">
        <v>1</v>
      </c>
      <c r="D441" s="7">
        <v>0</v>
      </c>
      <c r="E441" s="7">
        <v>1</v>
      </c>
      <c r="F441" s="7">
        <v>8</v>
      </c>
      <c r="G441" s="7" t="b">
        <v>0</v>
      </c>
      <c r="H441" s="7">
        <f t="shared" si="6"/>
        <v>4</v>
      </c>
      <c r="I441" s="7">
        <v>1</v>
      </c>
      <c r="J441" s="10">
        <v>0.22</v>
      </c>
      <c r="K441" s="1"/>
      <c r="L441" s="1"/>
      <c r="M441" s="1"/>
      <c r="N441" s="1"/>
      <c r="O441" s="1"/>
      <c r="P441" s="1"/>
      <c r="Q441" s="1"/>
      <c r="R441" s="1"/>
      <c r="S441" s="1"/>
      <c r="T441" s="1"/>
      <c r="U441" s="1"/>
      <c r="V441" s="1"/>
      <c r="W441" s="1"/>
      <c r="X441" s="1"/>
      <c r="Y441" s="1"/>
    </row>
    <row r="442" spans="1:25" ht="15" thickBot="1" x14ac:dyDescent="0.35">
      <c r="A442" s="9">
        <v>441</v>
      </c>
      <c r="B442" s="8">
        <v>40563</v>
      </c>
      <c r="C442" s="7">
        <v>1</v>
      </c>
      <c r="D442" s="7">
        <v>0</v>
      </c>
      <c r="E442" s="7">
        <v>1</v>
      </c>
      <c r="F442" s="7">
        <v>9</v>
      </c>
      <c r="G442" s="7" t="b">
        <v>0</v>
      </c>
      <c r="H442" s="7">
        <f t="shared" si="6"/>
        <v>4</v>
      </c>
      <c r="I442" s="7">
        <v>2</v>
      </c>
      <c r="J442" s="10">
        <v>0.24</v>
      </c>
      <c r="K442" s="1"/>
      <c r="L442" s="1"/>
      <c r="M442" s="1"/>
      <c r="N442" s="1"/>
      <c r="O442" s="1"/>
      <c r="P442" s="1"/>
      <c r="Q442" s="1"/>
      <c r="R442" s="1"/>
      <c r="S442" s="1"/>
      <c r="T442" s="1"/>
      <c r="U442" s="1"/>
      <c r="V442" s="1"/>
      <c r="W442" s="1"/>
      <c r="X442" s="1"/>
      <c r="Y442" s="1"/>
    </row>
    <row r="443" spans="1:25" ht="15" thickBot="1" x14ac:dyDescent="0.35">
      <c r="A443" s="9">
        <v>442</v>
      </c>
      <c r="B443" s="8">
        <v>40563</v>
      </c>
      <c r="C443" s="7">
        <v>1</v>
      </c>
      <c r="D443" s="7">
        <v>0</v>
      </c>
      <c r="E443" s="7">
        <v>1</v>
      </c>
      <c r="F443" s="7">
        <v>10</v>
      </c>
      <c r="G443" s="7" t="b">
        <v>0</v>
      </c>
      <c r="H443" s="7">
        <f t="shared" si="6"/>
        <v>4</v>
      </c>
      <c r="I443" s="7">
        <v>1</v>
      </c>
      <c r="J443" s="10">
        <v>0.26</v>
      </c>
      <c r="K443" s="1"/>
      <c r="L443" s="1"/>
      <c r="M443" s="1"/>
      <c r="N443" s="1"/>
      <c r="O443" s="1"/>
      <c r="P443" s="1"/>
      <c r="Q443" s="1"/>
      <c r="R443" s="1"/>
      <c r="S443" s="1"/>
      <c r="T443" s="1"/>
      <c r="U443" s="1"/>
      <c r="V443" s="1"/>
      <c r="W443" s="1"/>
      <c r="X443" s="1"/>
      <c r="Y443" s="1"/>
    </row>
    <row r="444" spans="1:25" ht="15" thickBot="1" x14ac:dyDescent="0.35">
      <c r="A444" s="9">
        <v>443</v>
      </c>
      <c r="B444" s="8">
        <v>40563</v>
      </c>
      <c r="C444" s="7">
        <v>1</v>
      </c>
      <c r="D444" s="7">
        <v>0</v>
      </c>
      <c r="E444" s="7">
        <v>1</v>
      </c>
      <c r="F444" s="7">
        <v>11</v>
      </c>
      <c r="G444" s="7" t="b">
        <v>0</v>
      </c>
      <c r="H444" s="7">
        <f t="shared" si="6"/>
        <v>4</v>
      </c>
      <c r="I444" s="7">
        <v>2</v>
      </c>
      <c r="J444" s="10">
        <v>0.28000000000000003</v>
      </c>
      <c r="K444" s="1"/>
      <c r="L444" s="1"/>
      <c r="M444" s="1"/>
      <c r="N444" s="1"/>
      <c r="O444" s="1"/>
      <c r="P444" s="1"/>
      <c r="Q444" s="1"/>
      <c r="R444" s="1"/>
      <c r="S444" s="1"/>
      <c r="T444" s="1"/>
      <c r="U444" s="1"/>
      <c r="V444" s="1"/>
      <c r="W444" s="1"/>
      <c r="X444" s="1"/>
      <c r="Y444" s="1"/>
    </row>
    <row r="445" spans="1:25" ht="15" thickBot="1" x14ac:dyDescent="0.35">
      <c r="A445" s="9">
        <v>444</v>
      </c>
      <c r="B445" s="8">
        <v>40563</v>
      </c>
      <c r="C445" s="7">
        <v>1</v>
      </c>
      <c r="D445" s="7">
        <v>0</v>
      </c>
      <c r="E445" s="7">
        <v>1</v>
      </c>
      <c r="F445" s="7">
        <v>12</v>
      </c>
      <c r="G445" s="7" t="b">
        <v>0</v>
      </c>
      <c r="H445" s="7">
        <f t="shared" si="6"/>
        <v>4</v>
      </c>
      <c r="I445" s="7">
        <v>2</v>
      </c>
      <c r="J445" s="10">
        <v>0.3</v>
      </c>
      <c r="K445" s="1"/>
      <c r="L445" s="1"/>
      <c r="M445" s="1"/>
      <c r="N445" s="1"/>
      <c r="O445" s="1"/>
      <c r="P445" s="1"/>
      <c r="Q445" s="1"/>
      <c r="R445" s="1"/>
      <c r="S445" s="1"/>
      <c r="T445" s="1"/>
      <c r="U445" s="1"/>
      <c r="V445" s="1"/>
      <c r="W445" s="1"/>
      <c r="X445" s="1"/>
      <c r="Y445" s="1"/>
    </row>
    <row r="446" spans="1:25" ht="15" thickBot="1" x14ac:dyDescent="0.35">
      <c r="A446" s="9">
        <v>445</v>
      </c>
      <c r="B446" s="8">
        <v>40563</v>
      </c>
      <c r="C446" s="7">
        <v>1</v>
      </c>
      <c r="D446" s="7">
        <v>0</v>
      </c>
      <c r="E446" s="7">
        <v>1</v>
      </c>
      <c r="F446" s="7">
        <v>13</v>
      </c>
      <c r="G446" s="7" t="b">
        <v>0</v>
      </c>
      <c r="H446" s="7">
        <f t="shared" si="6"/>
        <v>4</v>
      </c>
      <c r="I446" s="7">
        <v>2</v>
      </c>
      <c r="J446" s="10">
        <v>0.28000000000000003</v>
      </c>
      <c r="K446" s="1"/>
      <c r="L446" s="1"/>
      <c r="M446" s="1"/>
      <c r="N446" s="1"/>
      <c r="O446" s="1"/>
      <c r="P446" s="1"/>
      <c r="Q446" s="1"/>
      <c r="R446" s="1"/>
      <c r="S446" s="1"/>
      <c r="T446" s="1"/>
      <c r="U446" s="1"/>
      <c r="V446" s="1"/>
      <c r="W446" s="1"/>
      <c r="X446" s="1"/>
      <c r="Y446" s="1"/>
    </row>
    <row r="447" spans="1:25" ht="15" thickBot="1" x14ac:dyDescent="0.35">
      <c r="A447" s="9">
        <v>446</v>
      </c>
      <c r="B447" s="8">
        <v>40563</v>
      </c>
      <c r="C447" s="7">
        <v>1</v>
      </c>
      <c r="D447" s="7">
        <v>0</v>
      </c>
      <c r="E447" s="7">
        <v>1</v>
      </c>
      <c r="F447" s="7">
        <v>14</v>
      </c>
      <c r="G447" s="7" t="b">
        <v>0</v>
      </c>
      <c r="H447" s="7">
        <f t="shared" si="6"/>
        <v>4</v>
      </c>
      <c r="I447" s="7">
        <v>2</v>
      </c>
      <c r="J447" s="10">
        <v>0.3</v>
      </c>
      <c r="K447" s="1"/>
      <c r="L447" s="1"/>
      <c r="M447" s="1"/>
      <c r="N447" s="1"/>
      <c r="O447" s="1"/>
      <c r="P447" s="1"/>
      <c r="Q447" s="1"/>
      <c r="R447" s="1"/>
      <c r="S447" s="1"/>
      <c r="T447" s="1"/>
      <c r="U447" s="1"/>
      <c r="V447" s="1"/>
      <c r="W447" s="1"/>
      <c r="X447" s="1"/>
      <c r="Y447" s="1"/>
    </row>
    <row r="448" spans="1:25" ht="15" thickBot="1" x14ac:dyDescent="0.35">
      <c r="A448" s="9">
        <v>447</v>
      </c>
      <c r="B448" s="8">
        <v>40563</v>
      </c>
      <c r="C448" s="7">
        <v>1</v>
      </c>
      <c r="D448" s="7">
        <v>0</v>
      </c>
      <c r="E448" s="7">
        <v>1</v>
      </c>
      <c r="F448" s="7">
        <v>15</v>
      </c>
      <c r="G448" s="7" t="b">
        <v>0</v>
      </c>
      <c r="H448" s="7">
        <f t="shared" si="6"/>
        <v>4</v>
      </c>
      <c r="I448" s="7">
        <v>2</v>
      </c>
      <c r="J448" s="10">
        <v>0.32</v>
      </c>
      <c r="K448" s="1"/>
      <c r="L448" s="1"/>
      <c r="M448" s="1"/>
      <c r="N448" s="1"/>
      <c r="O448" s="1"/>
      <c r="P448" s="1"/>
      <c r="Q448" s="1"/>
      <c r="R448" s="1"/>
      <c r="S448" s="1"/>
      <c r="T448" s="1"/>
      <c r="U448" s="1"/>
      <c r="V448" s="1"/>
      <c r="W448" s="1"/>
      <c r="X448" s="1"/>
      <c r="Y448" s="1"/>
    </row>
    <row r="449" spans="1:25" ht="15" thickBot="1" x14ac:dyDescent="0.35">
      <c r="A449" s="9">
        <v>448</v>
      </c>
      <c r="B449" s="8">
        <v>40563</v>
      </c>
      <c r="C449" s="7">
        <v>1</v>
      </c>
      <c r="D449" s="7">
        <v>0</v>
      </c>
      <c r="E449" s="7">
        <v>1</v>
      </c>
      <c r="F449" s="7">
        <v>16</v>
      </c>
      <c r="G449" s="7" t="b">
        <v>0</v>
      </c>
      <c r="H449" s="7">
        <f t="shared" si="6"/>
        <v>4</v>
      </c>
      <c r="I449" s="7">
        <v>2</v>
      </c>
      <c r="J449" s="10">
        <v>0.3</v>
      </c>
      <c r="K449" s="1"/>
      <c r="L449" s="1"/>
      <c r="M449" s="1"/>
      <c r="N449" s="1"/>
      <c r="O449" s="1"/>
      <c r="P449" s="1"/>
      <c r="Q449" s="1"/>
      <c r="R449" s="1"/>
      <c r="S449" s="1"/>
      <c r="T449" s="1"/>
      <c r="U449" s="1"/>
      <c r="V449" s="1"/>
      <c r="W449" s="1"/>
      <c r="X449" s="1"/>
      <c r="Y449" s="1"/>
    </row>
    <row r="450" spans="1:25" ht="15" thickBot="1" x14ac:dyDescent="0.35">
      <c r="A450" s="9">
        <v>449</v>
      </c>
      <c r="B450" s="8">
        <v>40563</v>
      </c>
      <c r="C450" s="7">
        <v>1</v>
      </c>
      <c r="D450" s="7">
        <v>0</v>
      </c>
      <c r="E450" s="7">
        <v>1</v>
      </c>
      <c r="F450" s="7">
        <v>17</v>
      </c>
      <c r="G450" s="7" t="b">
        <v>0</v>
      </c>
      <c r="H450" s="7">
        <f t="shared" si="6"/>
        <v>4</v>
      </c>
      <c r="I450" s="7">
        <v>2</v>
      </c>
      <c r="J450" s="10">
        <v>0.3</v>
      </c>
      <c r="K450" s="1"/>
      <c r="L450" s="1"/>
      <c r="M450" s="1"/>
      <c r="N450" s="1"/>
      <c r="O450" s="1"/>
      <c r="P450" s="1"/>
      <c r="Q450" s="1"/>
      <c r="R450" s="1"/>
      <c r="S450" s="1"/>
      <c r="T450" s="1"/>
      <c r="U450" s="1"/>
      <c r="V450" s="1"/>
      <c r="W450" s="1"/>
      <c r="X450" s="1"/>
      <c r="Y450" s="1"/>
    </row>
    <row r="451" spans="1:25" ht="15" thickBot="1" x14ac:dyDescent="0.35">
      <c r="A451" s="9">
        <v>450</v>
      </c>
      <c r="B451" s="8">
        <v>40563</v>
      </c>
      <c r="C451" s="7">
        <v>1</v>
      </c>
      <c r="D451" s="7">
        <v>0</v>
      </c>
      <c r="E451" s="7">
        <v>1</v>
      </c>
      <c r="F451" s="7">
        <v>18</v>
      </c>
      <c r="G451" s="7" t="b">
        <v>0</v>
      </c>
      <c r="H451" s="7">
        <f t="shared" ref="H451:H514" si="7">WEEKDAY($B451,2)</f>
        <v>4</v>
      </c>
      <c r="I451" s="7">
        <v>2</v>
      </c>
      <c r="J451" s="10">
        <v>0.26</v>
      </c>
      <c r="K451" s="1"/>
      <c r="L451" s="1"/>
      <c r="M451" s="1"/>
      <c r="N451" s="1"/>
      <c r="O451" s="1"/>
      <c r="P451" s="1"/>
      <c r="Q451" s="1"/>
      <c r="R451" s="1"/>
      <c r="S451" s="1"/>
      <c r="T451" s="1"/>
      <c r="U451" s="1"/>
      <c r="V451" s="1"/>
      <c r="W451" s="1"/>
      <c r="X451" s="1"/>
      <c r="Y451" s="1"/>
    </row>
    <row r="452" spans="1:25" ht="15" thickBot="1" x14ac:dyDescent="0.35">
      <c r="A452" s="9">
        <v>451</v>
      </c>
      <c r="B452" s="8">
        <v>40563</v>
      </c>
      <c r="C452" s="7">
        <v>1</v>
      </c>
      <c r="D452" s="7">
        <v>0</v>
      </c>
      <c r="E452" s="7">
        <v>1</v>
      </c>
      <c r="F452" s="7">
        <v>19</v>
      </c>
      <c r="G452" s="7" t="b">
        <v>0</v>
      </c>
      <c r="H452" s="7">
        <f t="shared" si="7"/>
        <v>4</v>
      </c>
      <c r="I452" s="7">
        <v>1</v>
      </c>
      <c r="J452" s="10">
        <v>0.26</v>
      </c>
      <c r="K452" s="1"/>
      <c r="L452" s="1"/>
      <c r="M452" s="1"/>
      <c r="N452" s="1"/>
      <c r="O452" s="1"/>
      <c r="P452" s="1"/>
      <c r="Q452" s="1"/>
      <c r="R452" s="1"/>
      <c r="S452" s="1"/>
      <c r="T452" s="1"/>
      <c r="U452" s="1"/>
      <c r="V452" s="1"/>
      <c r="W452" s="1"/>
      <c r="X452" s="1"/>
      <c r="Y452" s="1"/>
    </row>
    <row r="453" spans="1:25" ht="15" thickBot="1" x14ac:dyDescent="0.35">
      <c r="A453" s="9">
        <v>452</v>
      </c>
      <c r="B453" s="8">
        <v>40563</v>
      </c>
      <c r="C453" s="7">
        <v>1</v>
      </c>
      <c r="D453" s="7">
        <v>0</v>
      </c>
      <c r="E453" s="7">
        <v>1</v>
      </c>
      <c r="F453" s="7">
        <v>20</v>
      </c>
      <c r="G453" s="7" t="b">
        <v>0</v>
      </c>
      <c r="H453" s="7">
        <f t="shared" si="7"/>
        <v>4</v>
      </c>
      <c r="I453" s="7">
        <v>2</v>
      </c>
      <c r="J453" s="10">
        <v>0.26</v>
      </c>
      <c r="K453" s="1"/>
      <c r="L453" s="1"/>
      <c r="M453" s="1"/>
      <c r="N453" s="1"/>
      <c r="O453" s="1"/>
      <c r="P453" s="1"/>
      <c r="Q453" s="1"/>
      <c r="R453" s="1"/>
      <c r="S453" s="1"/>
      <c r="T453" s="1"/>
      <c r="U453" s="1"/>
      <c r="V453" s="1"/>
      <c r="W453" s="1"/>
      <c r="X453" s="1"/>
      <c r="Y453" s="1"/>
    </row>
    <row r="454" spans="1:25" ht="15" thickBot="1" x14ac:dyDescent="0.35">
      <c r="A454" s="9">
        <v>453</v>
      </c>
      <c r="B454" s="8">
        <v>40563</v>
      </c>
      <c r="C454" s="7">
        <v>1</v>
      </c>
      <c r="D454" s="7">
        <v>0</v>
      </c>
      <c r="E454" s="7">
        <v>1</v>
      </c>
      <c r="F454" s="7">
        <v>21</v>
      </c>
      <c r="G454" s="7" t="b">
        <v>0</v>
      </c>
      <c r="H454" s="7">
        <f t="shared" si="7"/>
        <v>4</v>
      </c>
      <c r="I454" s="7">
        <v>2</v>
      </c>
      <c r="J454" s="10">
        <v>0.24</v>
      </c>
      <c r="K454" s="1"/>
      <c r="L454" s="1"/>
      <c r="M454" s="1"/>
      <c r="N454" s="1"/>
      <c r="O454" s="1"/>
      <c r="P454" s="1"/>
      <c r="Q454" s="1"/>
      <c r="R454" s="1"/>
      <c r="S454" s="1"/>
      <c r="T454" s="1"/>
      <c r="U454" s="1"/>
      <c r="V454" s="1"/>
      <c r="W454" s="1"/>
      <c r="X454" s="1"/>
      <c r="Y454" s="1"/>
    </row>
    <row r="455" spans="1:25" ht="15" thickBot="1" x14ac:dyDescent="0.35">
      <c r="A455" s="9">
        <v>454</v>
      </c>
      <c r="B455" s="8">
        <v>40563</v>
      </c>
      <c r="C455" s="7">
        <v>1</v>
      </c>
      <c r="D455" s="7">
        <v>0</v>
      </c>
      <c r="E455" s="7">
        <v>1</v>
      </c>
      <c r="F455" s="7">
        <v>22</v>
      </c>
      <c r="G455" s="7" t="b">
        <v>0</v>
      </c>
      <c r="H455" s="7">
        <f t="shared" si="7"/>
        <v>4</v>
      </c>
      <c r="I455" s="7">
        <v>2</v>
      </c>
      <c r="J455" s="10">
        <v>0.24</v>
      </c>
      <c r="K455" s="1"/>
      <c r="L455" s="1"/>
      <c r="M455" s="1"/>
      <c r="N455" s="1"/>
      <c r="O455" s="1"/>
      <c r="P455" s="1"/>
      <c r="Q455" s="1"/>
      <c r="R455" s="1"/>
      <c r="S455" s="1"/>
      <c r="T455" s="1"/>
      <c r="U455" s="1"/>
      <c r="V455" s="1"/>
      <c r="W455" s="1"/>
      <c r="X455" s="1"/>
      <c r="Y455" s="1"/>
    </row>
    <row r="456" spans="1:25" ht="15" thickBot="1" x14ac:dyDescent="0.35">
      <c r="A456" s="9">
        <v>455</v>
      </c>
      <c r="B456" s="8">
        <v>40564</v>
      </c>
      <c r="C456" s="7">
        <v>1</v>
      </c>
      <c r="D456" s="7">
        <v>0</v>
      </c>
      <c r="E456" s="7">
        <v>1</v>
      </c>
      <c r="F456" s="7">
        <v>23</v>
      </c>
      <c r="G456" s="7" t="b">
        <v>0</v>
      </c>
      <c r="H456" s="7">
        <f t="shared" si="7"/>
        <v>5</v>
      </c>
      <c r="I456" s="7">
        <v>2</v>
      </c>
      <c r="J456" s="10">
        <v>0.24</v>
      </c>
      <c r="K456" s="1"/>
      <c r="L456" s="1"/>
      <c r="M456" s="1"/>
      <c r="N456" s="1"/>
      <c r="O456" s="1"/>
      <c r="P456" s="1"/>
      <c r="Q456" s="1"/>
      <c r="R456" s="1"/>
      <c r="S456" s="1"/>
      <c r="T456" s="1"/>
      <c r="U456" s="1"/>
      <c r="V456" s="1"/>
      <c r="W456" s="1"/>
      <c r="X456" s="1"/>
      <c r="Y456" s="1"/>
    </row>
    <row r="457" spans="1:25" ht="15" thickBot="1" x14ac:dyDescent="0.35">
      <c r="A457" s="9">
        <v>456</v>
      </c>
      <c r="B457" s="8">
        <v>40564</v>
      </c>
      <c r="C457" s="7">
        <v>1</v>
      </c>
      <c r="D457" s="7">
        <v>0</v>
      </c>
      <c r="E457" s="7">
        <v>1</v>
      </c>
      <c r="F457" s="7">
        <v>0</v>
      </c>
      <c r="G457" s="7" t="b">
        <v>0</v>
      </c>
      <c r="H457" s="7">
        <f t="shared" si="7"/>
        <v>5</v>
      </c>
      <c r="I457" s="7">
        <v>2</v>
      </c>
      <c r="J457" s="10">
        <v>0.24</v>
      </c>
      <c r="K457" s="1"/>
      <c r="L457" s="1"/>
      <c r="M457" s="1"/>
      <c r="N457" s="1"/>
      <c r="O457" s="1"/>
      <c r="P457" s="1"/>
      <c r="Q457" s="1"/>
      <c r="R457" s="1"/>
      <c r="S457" s="1"/>
      <c r="T457" s="1"/>
      <c r="U457" s="1"/>
      <c r="V457" s="1"/>
      <c r="W457" s="1"/>
      <c r="X457" s="1"/>
      <c r="Y457" s="1"/>
    </row>
    <row r="458" spans="1:25" ht="15" thickBot="1" x14ac:dyDescent="0.35">
      <c r="A458" s="9">
        <v>457</v>
      </c>
      <c r="B458" s="8">
        <v>40564</v>
      </c>
      <c r="C458" s="7">
        <v>1</v>
      </c>
      <c r="D458" s="7">
        <v>0</v>
      </c>
      <c r="E458" s="7">
        <v>1</v>
      </c>
      <c r="F458" s="7">
        <v>1</v>
      </c>
      <c r="G458" s="7" t="b">
        <v>0</v>
      </c>
      <c r="H458" s="7">
        <f t="shared" si="7"/>
        <v>5</v>
      </c>
      <c r="I458" s="7">
        <v>2</v>
      </c>
      <c r="J458" s="10">
        <v>0.24</v>
      </c>
      <c r="K458" s="1"/>
      <c r="L458" s="1"/>
      <c r="M458" s="1"/>
      <c r="N458" s="1"/>
      <c r="O458" s="1"/>
      <c r="P458" s="1"/>
      <c r="Q458" s="1"/>
      <c r="R458" s="1"/>
      <c r="S458" s="1"/>
      <c r="T458" s="1"/>
      <c r="U458" s="1"/>
      <c r="V458" s="1"/>
      <c r="W458" s="1"/>
      <c r="X458" s="1"/>
      <c r="Y458" s="1"/>
    </row>
    <row r="459" spans="1:25" ht="15" thickBot="1" x14ac:dyDescent="0.35">
      <c r="A459" s="9">
        <v>458</v>
      </c>
      <c r="B459" s="8">
        <v>40564</v>
      </c>
      <c r="C459" s="7">
        <v>1</v>
      </c>
      <c r="D459" s="7">
        <v>0</v>
      </c>
      <c r="E459" s="7">
        <v>1</v>
      </c>
      <c r="F459" s="7">
        <v>2</v>
      </c>
      <c r="G459" s="7" t="b">
        <v>0</v>
      </c>
      <c r="H459" s="7">
        <f t="shared" si="7"/>
        <v>5</v>
      </c>
      <c r="I459" s="7">
        <v>3</v>
      </c>
      <c r="J459" s="10">
        <v>0.24</v>
      </c>
      <c r="K459" s="1"/>
      <c r="L459" s="1"/>
      <c r="M459" s="1"/>
      <c r="N459" s="1"/>
      <c r="O459" s="1"/>
      <c r="P459" s="1"/>
      <c r="Q459" s="1"/>
      <c r="R459" s="1"/>
      <c r="S459" s="1"/>
      <c r="T459" s="1"/>
      <c r="U459" s="1"/>
      <c r="V459" s="1"/>
      <c r="W459" s="1"/>
      <c r="X459" s="1"/>
      <c r="Y459" s="1"/>
    </row>
    <row r="460" spans="1:25" ht="15" thickBot="1" x14ac:dyDescent="0.35">
      <c r="A460" s="9">
        <v>459</v>
      </c>
      <c r="B460" s="8">
        <v>40564</v>
      </c>
      <c r="C460" s="7">
        <v>1</v>
      </c>
      <c r="D460" s="7">
        <v>0</v>
      </c>
      <c r="E460" s="7">
        <v>1</v>
      </c>
      <c r="F460" s="7">
        <v>3</v>
      </c>
      <c r="G460" s="7" t="b">
        <v>0</v>
      </c>
      <c r="H460" s="7">
        <f t="shared" si="7"/>
        <v>5</v>
      </c>
      <c r="I460" s="7">
        <v>3</v>
      </c>
      <c r="J460" s="10">
        <v>0.22</v>
      </c>
      <c r="K460" s="1"/>
      <c r="L460" s="1"/>
      <c r="M460" s="1"/>
      <c r="N460" s="1"/>
      <c r="O460" s="1"/>
      <c r="P460" s="1"/>
      <c r="Q460" s="1"/>
      <c r="R460" s="1"/>
      <c r="S460" s="1"/>
      <c r="T460" s="1"/>
      <c r="U460" s="1"/>
      <c r="V460" s="1"/>
      <c r="W460" s="1"/>
      <c r="X460" s="1"/>
      <c r="Y460" s="1"/>
    </row>
    <row r="461" spans="1:25" ht="15" thickBot="1" x14ac:dyDescent="0.35">
      <c r="A461" s="9">
        <v>460</v>
      </c>
      <c r="B461" s="8">
        <v>40564</v>
      </c>
      <c r="C461" s="7">
        <v>1</v>
      </c>
      <c r="D461" s="7">
        <v>0</v>
      </c>
      <c r="E461" s="7">
        <v>1</v>
      </c>
      <c r="F461" s="7">
        <v>4</v>
      </c>
      <c r="G461" s="7" t="b">
        <v>0</v>
      </c>
      <c r="H461" s="7">
        <f t="shared" si="7"/>
        <v>5</v>
      </c>
      <c r="I461" s="7">
        <v>2</v>
      </c>
      <c r="J461" s="10">
        <v>0.22</v>
      </c>
      <c r="K461" s="1"/>
      <c r="L461" s="1"/>
      <c r="M461" s="1"/>
      <c r="N461" s="1"/>
      <c r="O461" s="1"/>
      <c r="P461" s="1"/>
      <c r="Q461" s="1"/>
      <c r="R461" s="1"/>
      <c r="S461" s="1"/>
      <c r="T461" s="1"/>
      <c r="U461" s="1"/>
      <c r="V461" s="1"/>
      <c r="W461" s="1"/>
      <c r="X461" s="1"/>
      <c r="Y461" s="1"/>
    </row>
    <row r="462" spans="1:25" ht="15" thickBot="1" x14ac:dyDescent="0.35">
      <c r="A462" s="9">
        <v>461</v>
      </c>
      <c r="B462" s="8">
        <v>40564</v>
      </c>
      <c r="C462" s="7">
        <v>1</v>
      </c>
      <c r="D462" s="7">
        <v>0</v>
      </c>
      <c r="E462" s="7">
        <v>1</v>
      </c>
      <c r="F462" s="7">
        <v>5</v>
      </c>
      <c r="G462" s="7" t="b">
        <v>0</v>
      </c>
      <c r="H462" s="7">
        <f t="shared" si="7"/>
        <v>5</v>
      </c>
      <c r="I462" s="7">
        <v>1</v>
      </c>
      <c r="J462" s="10">
        <v>0.24</v>
      </c>
      <c r="K462" s="1"/>
      <c r="L462" s="1"/>
      <c r="M462" s="1"/>
      <c r="N462" s="1"/>
      <c r="O462" s="1"/>
      <c r="P462" s="1"/>
      <c r="Q462" s="1"/>
      <c r="R462" s="1"/>
      <c r="S462" s="1"/>
      <c r="T462" s="1"/>
      <c r="U462" s="1"/>
      <c r="V462" s="1"/>
      <c r="W462" s="1"/>
      <c r="X462" s="1"/>
      <c r="Y462" s="1"/>
    </row>
    <row r="463" spans="1:25" ht="15" thickBot="1" x14ac:dyDescent="0.35">
      <c r="A463" s="9">
        <v>462</v>
      </c>
      <c r="B463" s="8">
        <v>40564</v>
      </c>
      <c r="C463" s="7">
        <v>1</v>
      </c>
      <c r="D463" s="7">
        <v>0</v>
      </c>
      <c r="E463" s="7">
        <v>1</v>
      </c>
      <c r="F463" s="7">
        <v>6</v>
      </c>
      <c r="G463" s="7" t="b">
        <v>0</v>
      </c>
      <c r="H463" s="7">
        <f t="shared" si="7"/>
        <v>5</v>
      </c>
      <c r="I463" s="7">
        <v>1</v>
      </c>
      <c r="J463" s="10">
        <v>0.22</v>
      </c>
      <c r="K463" s="1"/>
      <c r="L463" s="1"/>
      <c r="M463" s="1"/>
      <c r="N463" s="1"/>
      <c r="O463" s="1"/>
      <c r="P463" s="1"/>
      <c r="Q463" s="1"/>
      <c r="R463" s="1"/>
      <c r="S463" s="1"/>
      <c r="T463" s="1"/>
      <c r="U463" s="1"/>
      <c r="V463" s="1"/>
      <c r="W463" s="1"/>
      <c r="X463" s="1"/>
      <c r="Y463" s="1"/>
    </row>
    <row r="464" spans="1:25" ht="15" thickBot="1" x14ac:dyDescent="0.35">
      <c r="A464" s="9">
        <v>463</v>
      </c>
      <c r="B464" s="8">
        <v>40564</v>
      </c>
      <c r="C464" s="7">
        <v>1</v>
      </c>
      <c r="D464" s="7">
        <v>0</v>
      </c>
      <c r="E464" s="7">
        <v>1</v>
      </c>
      <c r="F464" s="7">
        <v>7</v>
      </c>
      <c r="G464" s="7" t="b">
        <v>0</v>
      </c>
      <c r="H464" s="7">
        <f t="shared" si="7"/>
        <v>5</v>
      </c>
      <c r="I464" s="7">
        <v>1</v>
      </c>
      <c r="J464" s="10">
        <v>0.2</v>
      </c>
      <c r="K464" s="1"/>
      <c r="L464" s="1"/>
      <c r="M464" s="1"/>
      <c r="N464" s="1"/>
      <c r="O464" s="1"/>
      <c r="P464" s="1"/>
      <c r="Q464" s="1"/>
      <c r="R464" s="1"/>
      <c r="S464" s="1"/>
      <c r="T464" s="1"/>
      <c r="U464" s="1"/>
      <c r="V464" s="1"/>
      <c r="W464" s="1"/>
      <c r="X464" s="1"/>
      <c r="Y464" s="1"/>
    </row>
    <row r="465" spans="1:25" ht="15" thickBot="1" x14ac:dyDescent="0.35">
      <c r="A465" s="9">
        <v>464</v>
      </c>
      <c r="B465" s="8">
        <v>40564</v>
      </c>
      <c r="C465" s="7">
        <v>1</v>
      </c>
      <c r="D465" s="7">
        <v>0</v>
      </c>
      <c r="E465" s="7">
        <v>1</v>
      </c>
      <c r="F465" s="7">
        <v>8</v>
      </c>
      <c r="G465" s="7" t="b">
        <v>0</v>
      </c>
      <c r="H465" s="7">
        <f t="shared" si="7"/>
        <v>5</v>
      </c>
      <c r="I465" s="7">
        <v>1</v>
      </c>
      <c r="J465" s="10">
        <v>0.2</v>
      </c>
      <c r="K465" s="1"/>
      <c r="L465" s="1"/>
      <c r="M465" s="1"/>
      <c r="N465" s="1"/>
      <c r="O465" s="1"/>
      <c r="P465" s="1"/>
      <c r="Q465" s="1"/>
      <c r="R465" s="1"/>
      <c r="S465" s="1"/>
      <c r="T465" s="1"/>
      <c r="U465" s="1"/>
      <c r="V465" s="1"/>
      <c r="W465" s="1"/>
      <c r="X465" s="1"/>
      <c r="Y465" s="1"/>
    </row>
    <row r="466" spans="1:25" ht="15" thickBot="1" x14ac:dyDescent="0.35">
      <c r="A466" s="9">
        <v>465</v>
      </c>
      <c r="B466" s="8">
        <v>40564</v>
      </c>
      <c r="C466" s="7">
        <v>1</v>
      </c>
      <c r="D466" s="7">
        <v>0</v>
      </c>
      <c r="E466" s="7">
        <v>1</v>
      </c>
      <c r="F466" s="7">
        <v>9</v>
      </c>
      <c r="G466" s="7" t="b">
        <v>0</v>
      </c>
      <c r="H466" s="7">
        <f t="shared" si="7"/>
        <v>5</v>
      </c>
      <c r="I466" s="7">
        <v>1</v>
      </c>
      <c r="J466" s="10">
        <v>0.2</v>
      </c>
      <c r="K466" s="1"/>
      <c r="L466" s="1"/>
      <c r="M466" s="1"/>
      <c r="N466" s="1"/>
      <c r="O466" s="1"/>
      <c r="P466" s="1"/>
      <c r="Q466" s="1"/>
      <c r="R466" s="1"/>
      <c r="S466" s="1"/>
      <c r="T466" s="1"/>
      <c r="U466" s="1"/>
      <c r="V466" s="1"/>
      <c r="W466" s="1"/>
      <c r="X466" s="1"/>
      <c r="Y466" s="1"/>
    </row>
    <row r="467" spans="1:25" ht="15" thickBot="1" x14ac:dyDescent="0.35">
      <c r="A467" s="9">
        <v>466</v>
      </c>
      <c r="B467" s="8">
        <v>40564</v>
      </c>
      <c r="C467" s="7">
        <v>1</v>
      </c>
      <c r="D467" s="7">
        <v>0</v>
      </c>
      <c r="E467" s="7">
        <v>1</v>
      </c>
      <c r="F467" s="7">
        <v>10</v>
      </c>
      <c r="G467" s="7" t="b">
        <v>0</v>
      </c>
      <c r="H467" s="7">
        <f t="shared" si="7"/>
        <v>5</v>
      </c>
      <c r="I467" s="7">
        <v>1</v>
      </c>
      <c r="J467" s="10">
        <v>0.2</v>
      </c>
      <c r="K467" s="1"/>
      <c r="L467" s="1"/>
      <c r="M467" s="1"/>
      <c r="N467" s="1"/>
      <c r="O467" s="1"/>
      <c r="P467" s="1"/>
      <c r="Q467" s="1"/>
      <c r="R467" s="1"/>
      <c r="S467" s="1"/>
      <c r="T467" s="1"/>
      <c r="U467" s="1"/>
      <c r="V467" s="1"/>
      <c r="W467" s="1"/>
      <c r="X467" s="1"/>
      <c r="Y467" s="1"/>
    </row>
    <row r="468" spans="1:25" ht="15" thickBot="1" x14ac:dyDescent="0.35">
      <c r="A468" s="9">
        <v>467</v>
      </c>
      <c r="B468" s="8">
        <v>40564</v>
      </c>
      <c r="C468" s="7">
        <v>1</v>
      </c>
      <c r="D468" s="7">
        <v>0</v>
      </c>
      <c r="E468" s="7">
        <v>1</v>
      </c>
      <c r="F468" s="7">
        <v>11</v>
      </c>
      <c r="G468" s="7" t="b">
        <v>0</v>
      </c>
      <c r="H468" s="7">
        <f t="shared" si="7"/>
        <v>5</v>
      </c>
      <c r="I468" s="7">
        <v>1</v>
      </c>
      <c r="J468" s="10">
        <v>0.22</v>
      </c>
      <c r="K468" s="1"/>
      <c r="L468" s="1"/>
      <c r="M468" s="1"/>
      <c r="N468" s="1"/>
      <c r="O468" s="1"/>
      <c r="P468" s="1"/>
      <c r="Q468" s="1"/>
      <c r="R468" s="1"/>
      <c r="S468" s="1"/>
      <c r="T468" s="1"/>
      <c r="U468" s="1"/>
      <c r="V468" s="1"/>
      <c r="W468" s="1"/>
      <c r="X468" s="1"/>
      <c r="Y468" s="1"/>
    </row>
    <row r="469" spans="1:25" ht="15" thickBot="1" x14ac:dyDescent="0.35">
      <c r="A469" s="9">
        <v>468</v>
      </c>
      <c r="B469" s="8">
        <v>40564</v>
      </c>
      <c r="C469" s="7">
        <v>1</v>
      </c>
      <c r="D469" s="7">
        <v>0</v>
      </c>
      <c r="E469" s="7">
        <v>1</v>
      </c>
      <c r="F469" s="7">
        <v>12</v>
      </c>
      <c r="G469" s="7" t="b">
        <v>0</v>
      </c>
      <c r="H469" s="7">
        <f t="shared" si="7"/>
        <v>5</v>
      </c>
      <c r="I469" s="7">
        <v>1</v>
      </c>
      <c r="J469" s="10">
        <v>0.22</v>
      </c>
      <c r="K469" s="1"/>
      <c r="L469" s="1"/>
      <c r="M469" s="1"/>
      <c r="N469" s="1"/>
      <c r="O469" s="1"/>
      <c r="P469" s="1"/>
      <c r="Q469" s="1"/>
      <c r="R469" s="1"/>
      <c r="S469" s="1"/>
      <c r="T469" s="1"/>
      <c r="U469" s="1"/>
      <c r="V469" s="1"/>
      <c r="W469" s="1"/>
      <c r="X469" s="1"/>
      <c r="Y469" s="1"/>
    </row>
    <row r="470" spans="1:25" ht="15" thickBot="1" x14ac:dyDescent="0.35">
      <c r="A470" s="9">
        <v>469</v>
      </c>
      <c r="B470" s="8">
        <v>40564</v>
      </c>
      <c r="C470" s="7">
        <v>1</v>
      </c>
      <c r="D470" s="7">
        <v>0</v>
      </c>
      <c r="E470" s="7">
        <v>1</v>
      </c>
      <c r="F470" s="7">
        <v>13</v>
      </c>
      <c r="G470" s="7" t="b">
        <v>0</v>
      </c>
      <c r="H470" s="7">
        <f t="shared" si="7"/>
        <v>5</v>
      </c>
      <c r="I470" s="7">
        <v>1</v>
      </c>
      <c r="J470" s="10">
        <v>0.2</v>
      </c>
      <c r="K470" s="1"/>
      <c r="L470" s="1"/>
      <c r="M470" s="1"/>
      <c r="N470" s="1"/>
      <c r="O470" s="1"/>
      <c r="P470" s="1"/>
      <c r="Q470" s="1"/>
      <c r="R470" s="1"/>
      <c r="S470" s="1"/>
      <c r="T470" s="1"/>
      <c r="U470" s="1"/>
      <c r="V470" s="1"/>
      <c r="W470" s="1"/>
      <c r="X470" s="1"/>
      <c r="Y470" s="1"/>
    </row>
    <row r="471" spans="1:25" ht="15" thickBot="1" x14ac:dyDescent="0.35">
      <c r="A471" s="9">
        <v>470</v>
      </c>
      <c r="B471" s="8">
        <v>40564</v>
      </c>
      <c r="C471" s="7">
        <v>1</v>
      </c>
      <c r="D471" s="7">
        <v>0</v>
      </c>
      <c r="E471" s="7">
        <v>1</v>
      </c>
      <c r="F471" s="7">
        <v>14</v>
      </c>
      <c r="G471" s="7" t="b">
        <v>0</v>
      </c>
      <c r="H471" s="7">
        <f t="shared" si="7"/>
        <v>5</v>
      </c>
      <c r="I471" s="7">
        <v>1</v>
      </c>
      <c r="J471" s="10">
        <v>0.2</v>
      </c>
      <c r="K471" s="1"/>
      <c r="L471" s="1"/>
      <c r="M471" s="1"/>
      <c r="N471" s="1"/>
      <c r="O471" s="1"/>
      <c r="P471" s="1"/>
      <c r="Q471" s="1"/>
      <c r="R471" s="1"/>
      <c r="S471" s="1"/>
      <c r="T471" s="1"/>
      <c r="U471" s="1"/>
      <c r="V471" s="1"/>
      <c r="W471" s="1"/>
      <c r="X471" s="1"/>
      <c r="Y471" s="1"/>
    </row>
    <row r="472" spans="1:25" ht="15" thickBot="1" x14ac:dyDescent="0.35">
      <c r="A472" s="9">
        <v>471</v>
      </c>
      <c r="B472" s="8">
        <v>40564</v>
      </c>
      <c r="C472" s="7">
        <v>1</v>
      </c>
      <c r="D472" s="7">
        <v>0</v>
      </c>
      <c r="E472" s="7">
        <v>1</v>
      </c>
      <c r="F472" s="7">
        <v>15</v>
      </c>
      <c r="G472" s="7" t="b">
        <v>0</v>
      </c>
      <c r="H472" s="7">
        <f t="shared" si="7"/>
        <v>5</v>
      </c>
      <c r="I472" s="7">
        <v>1</v>
      </c>
      <c r="J472" s="10">
        <v>0.16</v>
      </c>
      <c r="K472" s="1"/>
      <c r="L472" s="1"/>
      <c r="M472" s="1"/>
      <c r="N472" s="1"/>
      <c r="O472" s="1"/>
      <c r="P472" s="1"/>
      <c r="Q472" s="1"/>
      <c r="R472" s="1"/>
      <c r="S472" s="1"/>
      <c r="T472" s="1"/>
      <c r="U472" s="1"/>
      <c r="V472" s="1"/>
      <c r="W472" s="1"/>
      <c r="X472" s="1"/>
      <c r="Y472" s="1"/>
    </row>
    <row r="473" spans="1:25" ht="15" thickBot="1" x14ac:dyDescent="0.35">
      <c r="A473" s="9">
        <v>472</v>
      </c>
      <c r="B473" s="8">
        <v>40564</v>
      </c>
      <c r="C473" s="7">
        <v>1</v>
      </c>
      <c r="D473" s="7">
        <v>0</v>
      </c>
      <c r="E473" s="7">
        <v>1</v>
      </c>
      <c r="F473" s="7">
        <v>16</v>
      </c>
      <c r="G473" s="7" t="b">
        <v>0</v>
      </c>
      <c r="H473" s="7">
        <f t="shared" si="7"/>
        <v>5</v>
      </c>
      <c r="I473" s="7">
        <v>1</v>
      </c>
      <c r="J473" s="10">
        <v>0.16</v>
      </c>
      <c r="K473" s="1"/>
      <c r="L473" s="1"/>
      <c r="M473" s="1"/>
      <c r="N473" s="1"/>
      <c r="O473" s="1"/>
      <c r="P473" s="1"/>
      <c r="Q473" s="1"/>
      <c r="R473" s="1"/>
      <c r="S473" s="1"/>
      <c r="T473" s="1"/>
      <c r="U473" s="1"/>
      <c r="V473" s="1"/>
      <c r="W473" s="1"/>
      <c r="X473" s="1"/>
      <c r="Y473" s="1"/>
    </row>
    <row r="474" spans="1:25" ht="15" thickBot="1" x14ac:dyDescent="0.35">
      <c r="A474" s="9">
        <v>473</v>
      </c>
      <c r="B474" s="8">
        <v>40564</v>
      </c>
      <c r="C474" s="7">
        <v>1</v>
      </c>
      <c r="D474" s="7">
        <v>0</v>
      </c>
      <c r="E474" s="7">
        <v>1</v>
      </c>
      <c r="F474" s="7">
        <v>17</v>
      </c>
      <c r="G474" s="7" t="b">
        <v>0</v>
      </c>
      <c r="H474" s="7">
        <f t="shared" si="7"/>
        <v>5</v>
      </c>
      <c r="I474" s="7">
        <v>1</v>
      </c>
      <c r="J474" s="10">
        <v>0.14000000000000001</v>
      </c>
      <c r="K474" s="1"/>
      <c r="L474" s="1"/>
      <c r="M474" s="1"/>
      <c r="N474" s="1"/>
      <c r="O474" s="1"/>
      <c r="P474" s="1"/>
      <c r="Q474" s="1"/>
      <c r="R474" s="1"/>
      <c r="S474" s="1"/>
      <c r="T474" s="1"/>
      <c r="U474" s="1"/>
      <c r="V474" s="1"/>
      <c r="W474" s="1"/>
      <c r="X474" s="1"/>
      <c r="Y474" s="1"/>
    </row>
    <row r="475" spans="1:25" ht="15" thickBot="1" x14ac:dyDescent="0.35">
      <c r="A475" s="9">
        <v>474</v>
      </c>
      <c r="B475" s="8">
        <v>40564</v>
      </c>
      <c r="C475" s="7">
        <v>1</v>
      </c>
      <c r="D475" s="7">
        <v>0</v>
      </c>
      <c r="E475" s="7">
        <v>1</v>
      </c>
      <c r="F475" s="7">
        <v>18</v>
      </c>
      <c r="G475" s="7" t="b">
        <v>0</v>
      </c>
      <c r="H475" s="7">
        <f t="shared" si="7"/>
        <v>5</v>
      </c>
      <c r="I475" s="7">
        <v>1</v>
      </c>
      <c r="J475" s="10">
        <v>0.12</v>
      </c>
      <c r="K475" s="1"/>
      <c r="L475" s="1"/>
      <c r="M475" s="1"/>
      <c r="N475" s="1"/>
      <c r="O475" s="1"/>
      <c r="P475" s="1"/>
      <c r="Q475" s="1"/>
      <c r="R475" s="1"/>
      <c r="S475" s="1"/>
      <c r="T475" s="1"/>
      <c r="U475" s="1"/>
      <c r="V475" s="1"/>
      <c r="W475" s="1"/>
      <c r="X475" s="1"/>
      <c r="Y475" s="1"/>
    </row>
    <row r="476" spans="1:25" ht="15" thickBot="1" x14ac:dyDescent="0.35">
      <c r="A476" s="9">
        <v>475</v>
      </c>
      <c r="B476" s="8">
        <v>40564</v>
      </c>
      <c r="C476" s="7">
        <v>1</v>
      </c>
      <c r="D476" s="7">
        <v>0</v>
      </c>
      <c r="E476" s="7">
        <v>1</v>
      </c>
      <c r="F476" s="7">
        <v>19</v>
      </c>
      <c r="G476" s="7" t="b">
        <v>0</v>
      </c>
      <c r="H476" s="7">
        <f t="shared" si="7"/>
        <v>5</v>
      </c>
      <c r="I476" s="7">
        <v>1</v>
      </c>
      <c r="J476" s="10">
        <v>0.12</v>
      </c>
      <c r="K476" s="1"/>
      <c r="L476" s="1"/>
      <c r="M476" s="1"/>
      <c r="N476" s="1"/>
      <c r="O476" s="1"/>
      <c r="P476" s="1"/>
      <c r="Q476" s="1"/>
      <c r="R476" s="1"/>
      <c r="S476" s="1"/>
      <c r="T476" s="1"/>
      <c r="U476" s="1"/>
      <c r="V476" s="1"/>
      <c r="W476" s="1"/>
      <c r="X476" s="1"/>
      <c r="Y476" s="1"/>
    </row>
    <row r="477" spans="1:25" ht="15" thickBot="1" x14ac:dyDescent="0.35">
      <c r="A477" s="9">
        <v>476</v>
      </c>
      <c r="B477" s="8">
        <v>40564</v>
      </c>
      <c r="C477" s="7">
        <v>1</v>
      </c>
      <c r="D477" s="7">
        <v>0</v>
      </c>
      <c r="E477" s="7">
        <v>1</v>
      </c>
      <c r="F477" s="7">
        <v>20</v>
      </c>
      <c r="G477" s="7" t="b">
        <v>0</v>
      </c>
      <c r="H477" s="7">
        <f t="shared" si="7"/>
        <v>5</v>
      </c>
      <c r="I477" s="7">
        <v>1</v>
      </c>
      <c r="J477" s="10">
        <v>0.1</v>
      </c>
      <c r="K477" s="1"/>
      <c r="L477" s="1"/>
      <c r="M477" s="1"/>
      <c r="N477" s="1"/>
      <c r="O477" s="1"/>
      <c r="P477" s="1"/>
      <c r="Q477" s="1"/>
      <c r="R477" s="1"/>
      <c r="S477" s="1"/>
      <c r="T477" s="1"/>
      <c r="U477" s="1"/>
      <c r="V477" s="1"/>
      <c r="W477" s="1"/>
      <c r="X477" s="1"/>
      <c r="Y477" s="1"/>
    </row>
    <row r="478" spans="1:25" ht="15" thickBot="1" x14ac:dyDescent="0.35">
      <c r="A478" s="9">
        <v>477</v>
      </c>
      <c r="B478" s="8">
        <v>40564</v>
      </c>
      <c r="C478" s="7">
        <v>1</v>
      </c>
      <c r="D478" s="7">
        <v>0</v>
      </c>
      <c r="E478" s="7">
        <v>1</v>
      </c>
      <c r="F478" s="7">
        <v>21</v>
      </c>
      <c r="G478" s="7" t="b">
        <v>0</v>
      </c>
      <c r="H478" s="7">
        <f t="shared" si="7"/>
        <v>5</v>
      </c>
      <c r="I478" s="7">
        <v>1</v>
      </c>
      <c r="J478" s="10">
        <v>0.08</v>
      </c>
      <c r="K478" s="1"/>
      <c r="L478" s="1"/>
      <c r="M478" s="1"/>
      <c r="N478" s="1"/>
      <c r="O478" s="1"/>
      <c r="P478" s="1"/>
      <c r="Q478" s="1"/>
      <c r="R478" s="1"/>
      <c r="S478" s="1"/>
      <c r="T478" s="1"/>
      <c r="U478" s="1"/>
      <c r="V478" s="1"/>
      <c r="W478" s="1"/>
      <c r="X478" s="1"/>
      <c r="Y478" s="1"/>
    </row>
    <row r="479" spans="1:25" ht="15" thickBot="1" x14ac:dyDescent="0.35">
      <c r="A479" s="9">
        <v>478</v>
      </c>
      <c r="B479" s="8">
        <v>40564</v>
      </c>
      <c r="C479" s="7">
        <v>1</v>
      </c>
      <c r="D479" s="7">
        <v>0</v>
      </c>
      <c r="E479" s="7">
        <v>1</v>
      </c>
      <c r="F479" s="7">
        <v>22</v>
      </c>
      <c r="G479" s="7" t="b">
        <v>0</v>
      </c>
      <c r="H479" s="7">
        <f t="shared" si="7"/>
        <v>5</v>
      </c>
      <c r="I479" s="7">
        <v>1</v>
      </c>
      <c r="J479" s="10">
        <v>0.06</v>
      </c>
      <c r="K479" s="1"/>
      <c r="L479" s="1"/>
      <c r="M479" s="1"/>
      <c r="N479" s="1"/>
      <c r="O479" s="1"/>
      <c r="P479" s="1"/>
      <c r="Q479" s="1"/>
      <c r="R479" s="1"/>
      <c r="S479" s="1"/>
      <c r="T479" s="1"/>
      <c r="U479" s="1"/>
      <c r="V479" s="1"/>
      <c r="W479" s="1"/>
      <c r="X479" s="1"/>
      <c r="Y479" s="1"/>
    </row>
    <row r="480" spans="1:25" ht="15" thickBot="1" x14ac:dyDescent="0.35">
      <c r="A480" s="9">
        <v>479</v>
      </c>
      <c r="B480" s="8">
        <v>40564</v>
      </c>
      <c r="C480" s="7">
        <v>1</v>
      </c>
      <c r="D480" s="7">
        <v>0</v>
      </c>
      <c r="E480" s="7">
        <v>1</v>
      </c>
      <c r="F480" s="7">
        <v>23</v>
      </c>
      <c r="G480" s="7" t="b">
        <v>0</v>
      </c>
      <c r="H480" s="7">
        <f t="shared" si="7"/>
        <v>5</v>
      </c>
      <c r="I480" s="7">
        <v>1</v>
      </c>
      <c r="J480" s="10">
        <v>0.06</v>
      </c>
      <c r="K480" s="1"/>
      <c r="L480" s="1"/>
      <c r="M480" s="1"/>
      <c r="N480" s="1"/>
      <c r="O480" s="1"/>
      <c r="P480" s="1"/>
      <c r="Q480" s="1"/>
      <c r="R480" s="1"/>
      <c r="S480" s="1"/>
      <c r="T480" s="1"/>
      <c r="U480" s="1"/>
      <c r="V480" s="1"/>
      <c r="W480" s="1"/>
      <c r="X480" s="1"/>
      <c r="Y480" s="1"/>
    </row>
    <row r="481" spans="1:25" ht="15" thickBot="1" x14ac:dyDescent="0.35">
      <c r="A481" s="9">
        <v>480</v>
      </c>
      <c r="B481" s="8">
        <v>40565</v>
      </c>
      <c r="C481" s="7">
        <v>1</v>
      </c>
      <c r="D481" s="7">
        <v>0</v>
      </c>
      <c r="E481" s="7">
        <v>1</v>
      </c>
      <c r="F481" s="7">
        <v>0</v>
      </c>
      <c r="G481" s="7" t="b">
        <v>0</v>
      </c>
      <c r="H481" s="7">
        <f t="shared" si="7"/>
        <v>6</v>
      </c>
      <c r="I481" s="7">
        <v>1</v>
      </c>
      <c r="J481" s="10">
        <v>0.04</v>
      </c>
      <c r="K481" s="1"/>
      <c r="L481" s="1"/>
      <c r="M481" s="1"/>
      <c r="N481" s="1"/>
      <c r="O481" s="1"/>
      <c r="P481" s="1"/>
      <c r="Q481" s="1"/>
      <c r="R481" s="1"/>
      <c r="S481" s="1"/>
      <c r="T481" s="1"/>
      <c r="U481" s="1"/>
      <c r="V481" s="1"/>
      <c r="W481" s="1"/>
      <c r="X481" s="1"/>
      <c r="Y481" s="1"/>
    </row>
    <row r="482" spans="1:25" ht="15" thickBot="1" x14ac:dyDescent="0.35">
      <c r="A482" s="9">
        <v>481</v>
      </c>
      <c r="B482" s="8">
        <v>40565</v>
      </c>
      <c r="C482" s="7">
        <v>1</v>
      </c>
      <c r="D482" s="7">
        <v>0</v>
      </c>
      <c r="E482" s="7">
        <v>1</v>
      </c>
      <c r="F482" s="7">
        <v>1</v>
      </c>
      <c r="G482" s="7" t="b">
        <v>0</v>
      </c>
      <c r="H482" s="7">
        <f t="shared" si="7"/>
        <v>6</v>
      </c>
      <c r="I482" s="7">
        <v>2</v>
      </c>
      <c r="J482" s="10">
        <v>0.04</v>
      </c>
      <c r="K482" s="1"/>
      <c r="L482" s="1"/>
      <c r="M482" s="1"/>
      <c r="N482" s="1"/>
      <c r="O482" s="1"/>
      <c r="P482" s="1"/>
      <c r="Q482" s="1"/>
      <c r="R482" s="1"/>
      <c r="S482" s="1"/>
      <c r="T482" s="1"/>
      <c r="U482" s="1"/>
      <c r="V482" s="1"/>
      <c r="W482" s="1"/>
      <c r="X482" s="1"/>
      <c r="Y482" s="1"/>
    </row>
    <row r="483" spans="1:25" ht="15" thickBot="1" x14ac:dyDescent="0.35">
      <c r="A483" s="9">
        <v>482</v>
      </c>
      <c r="B483" s="8">
        <v>40565</v>
      </c>
      <c r="C483" s="7">
        <v>1</v>
      </c>
      <c r="D483" s="7">
        <v>0</v>
      </c>
      <c r="E483" s="7">
        <v>1</v>
      </c>
      <c r="F483" s="7">
        <v>2</v>
      </c>
      <c r="G483" s="7" t="b">
        <v>0</v>
      </c>
      <c r="H483" s="7">
        <f t="shared" si="7"/>
        <v>6</v>
      </c>
      <c r="I483" s="7">
        <v>2</v>
      </c>
      <c r="J483" s="10">
        <v>0.04</v>
      </c>
      <c r="K483" s="1"/>
      <c r="L483" s="1"/>
      <c r="M483" s="1"/>
      <c r="N483" s="1"/>
      <c r="O483" s="1"/>
      <c r="P483" s="1"/>
      <c r="Q483" s="1"/>
      <c r="R483" s="1"/>
      <c r="S483" s="1"/>
      <c r="T483" s="1"/>
      <c r="U483" s="1"/>
      <c r="V483" s="1"/>
      <c r="W483" s="1"/>
      <c r="X483" s="1"/>
      <c r="Y483" s="1"/>
    </row>
    <row r="484" spans="1:25" ht="15" thickBot="1" x14ac:dyDescent="0.35">
      <c r="A484" s="9">
        <v>483</v>
      </c>
      <c r="B484" s="8">
        <v>40565</v>
      </c>
      <c r="C484" s="7">
        <v>1</v>
      </c>
      <c r="D484" s="7">
        <v>0</v>
      </c>
      <c r="E484" s="7">
        <v>1</v>
      </c>
      <c r="F484" s="7">
        <v>3</v>
      </c>
      <c r="G484" s="7" t="b">
        <v>0</v>
      </c>
      <c r="H484" s="7">
        <f t="shared" si="7"/>
        <v>6</v>
      </c>
      <c r="I484" s="7">
        <v>2</v>
      </c>
      <c r="J484" s="10">
        <v>0.04</v>
      </c>
      <c r="K484" s="1"/>
      <c r="L484" s="1"/>
      <c r="M484" s="1"/>
      <c r="N484" s="1"/>
      <c r="O484" s="1"/>
      <c r="P484" s="1"/>
      <c r="Q484" s="1"/>
      <c r="R484" s="1"/>
      <c r="S484" s="1"/>
      <c r="T484" s="1"/>
      <c r="U484" s="1"/>
      <c r="V484" s="1"/>
      <c r="W484" s="1"/>
      <c r="X484" s="1"/>
      <c r="Y484" s="1"/>
    </row>
    <row r="485" spans="1:25" ht="15" thickBot="1" x14ac:dyDescent="0.35">
      <c r="A485" s="9">
        <v>484</v>
      </c>
      <c r="B485" s="8">
        <v>40565</v>
      </c>
      <c r="C485" s="7">
        <v>1</v>
      </c>
      <c r="D485" s="7">
        <v>0</v>
      </c>
      <c r="E485" s="7">
        <v>1</v>
      </c>
      <c r="F485" s="7">
        <v>4</v>
      </c>
      <c r="G485" s="7" t="b">
        <v>0</v>
      </c>
      <c r="H485" s="7">
        <f t="shared" si="7"/>
        <v>6</v>
      </c>
      <c r="I485" s="7">
        <v>2</v>
      </c>
      <c r="J485" s="10">
        <v>0.02</v>
      </c>
      <c r="K485" s="1"/>
      <c r="L485" s="1"/>
      <c r="M485" s="1"/>
      <c r="N485" s="1"/>
      <c r="O485" s="1"/>
      <c r="P485" s="1"/>
      <c r="Q485" s="1"/>
      <c r="R485" s="1"/>
      <c r="S485" s="1"/>
      <c r="T485" s="1"/>
      <c r="U485" s="1"/>
      <c r="V485" s="1"/>
      <c r="W485" s="1"/>
      <c r="X485" s="1"/>
      <c r="Y485" s="1"/>
    </row>
    <row r="486" spans="1:25" ht="15" thickBot="1" x14ac:dyDescent="0.35">
      <c r="A486" s="9">
        <v>485</v>
      </c>
      <c r="B486" s="8">
        <v>40565</v>
      </c>
      <c r="C486" s="7">
        <v>1</v>
      </c>
      <c r="D486" s="7">
        <v>0</v>
      </c>
      <c r="E486" s="7">
        <v>1</v>
      </c>
      <c r="F486" s="7">
        <v>6</v>
      </c>
      <c r="G486" s="7" t="b">
        <v>0</v>
      </c>
      <c r="H486" s="7">
        <f t="shared" si="7"/>
        <v>6</v>
      </c>
      <c r="I486" s="7">
        <v>2</v>
      </c>
      <c r="J486" s="10">
        <v>0.02</v>
      </c>
      <c r="K486" s="1"/>
      <c r="L486" s="1"/>
      <c r="M486" s="1"/>
      <c r="N486" s="1"/>
      <c r="O486" s="1"/>
      <c r="P486" s="1"/>
      <c r="Q486" s="1"/>
      <c r="R486" s="1"/>
      <c r="S486" s="1"/>
      <c r="T486" s="1"/>
      <c r="U486" s="1"/>
      <c r="V486" s="1"/>
      <c r="W486" s="1"/>
      <c r="X486" s="1"/>
      <c r="Y486" s="1"/>
    </row>
    <row r="487" spans="1:25" ht="15" thickBot="1" x14ac:dyDescent="0.35">
      <c r="A487" s="9">
        <v>486</v>
      </c>
      <c r="B487" s="8">
        <v>40565</v>
      </c>
      <c r="C487" s="7">
        <v>1</v>
      </c>
      <c r="D487" s="7">
        <v>0</v>
      </c>
      <c r="E487" s="7">
        <v>1</v>
      </c>
      <c r="F487" s="7">
        <v>7</v>
      </c>
      <c r="G487" s="7" t="b">
        <v>0</v>
      </c>
      <c r="H487" s="7">
        <f t="shared" si="7"/>
        <v>6</v>
      </c>
      <c r="I487" s="7">
        <v>1</v>
      </c>
      <c r="J487" s="10">
        <v>0.02</v>
      </c>
      <c r="K487" s="1"/>
      <c r="L487" s="1"/>
      <c r="M487" s="1"/>
      <c r="N487" s="1"/>
      <c r="O487" s="1"/>
      <c r="P487" s="1"/>
      <c r="Q487" s="1"/>
      <c r="R487" s="1"/>
      <c r="S487" s="1"/>
      <c r="T487" s="1"/>
      <c r="U487" s="1"/>
      <c r="V487" s="1"/>
      <c r="W487" s="1"/>
      <c r="X487" s="1"/>
      <c r="Y487" s="1"/>
    </row>
    <row r="488" spans="1:25" ht="15" thickBot="1" x14ac:dyDescent="0.35">
      <c r="A488" s="9">
        <v>487</v>
      </c>
      <c r="B488" s="8">
        <v>40565</v>
      </c>
      <c r="C488" s="7">
        <v>1</v>
      </c>
      <c r="D488" s="7">
        <v>0</v>
      </c>
      <c r="E488" s="7">
        <v>1</v>
      </c>
      <c r="F488" s="7">
        <v>8</v>
      </c>
      <c r="G488" s="7" t="b">
        <v>0</v>
      </c>
      <c r="H488" s="7">
        <f t="shared" si="7"/>
        <v>6</v>
      </c>
      <c r="I488" s="7">
        <v>1</v>
      </c>
      <c r="J488" s="10">
        <v>0.02</v>
      </c>
      <c r="K488" s="1"/>
      <c r="L488" s="1"/>
      <c r="M488" s="1"/>
      <c r="N488" s="1"/>
      <c r="O488" s="1"/>
      <c r="P488" s="1"/>
      <c r="Q488" s="1"/>
      <c r="R488" s="1"/>
      <c r="S488" s="1"/>
      <c r="T488" s="1"/>
      <c r="U488" s="1"/>
      <c r="V488" s="1"/>
      <c r="W488" s="1"/>
      <c r="X488" s="1"/>
      <c r="Y488" s="1"/>
    </row>
    <row r="489" spans="1:25" ht="15" thickBot="1" x14ac:dyDescent="0.35">
      <c r="A489" s="9">
        <v>488</v>
      </c>
      <c r="B489" s="8">
        <v>40565</v>
      </c>
      <c r="C489" s="7">
        <v>1</v>
      </c>
      <c r="D489" s="7">
        <v>0</v>
      </c>
      <c r="E489" s="7">
        <v>1</v>
      </c>
      <c r="F489" s="7">
        <v>9</v>
      </c>
      <c r="G489" s="7" t="b">
        <v>0</v>
      </c>
      <c r="H489" s="7">
        <f t="shared" si="7"/>
        <v>6</v>
      </c>
      <c r="I489" s="7">
        <v>1</v>
      </c>
      <c r="J489" s="10">
        <v>0.04</v>
      </c>
      <c r="K489" s="1"/>
      <c r="L489" s="1"/>
      <c r="M489" s="1"/>
      <c r="N489" s="1"/>
      <c r="O489" s="1"/>
      <c r="P489" s="1"/>
      <c r="Q489" s="1"/>
      <c r="R489" s="1"/>
      <c r="S489" s="1"/>
      <c r="T489" s="1"/>
      <c r="U489" s="1"/>
      <c r="V489" s="1"/>
      <c r="W489" s="1"/>
      <c r="X489" s="1"/>
      <c r="Y489" s="1"/>
    </row>
    <row r="490" spans="1:25" ht="15" thickBot="1" x14ac:dyDescent="0.35">
      <c r="A490" s="9">
        <v>489</v>
      </c>
      <c r="B490" s="8">
        <v>40565</v>
      </c>
      <c r="C490" s="7">
        <v>1</v>
      </c>
      <c r="D490" s="7">
        <v>0</v>
      </c>
      <c r="E490" s="7">
        <v>1</v>
      </c>
      <c r="F490" s="7">
        <v>10</v>
      </c>
      <c r="G490" s="7" t="b">
        <v>0</v>
      </c>
      <c r="H490" s="7">
        <f t="shared" si="7"/>
        <v>6</v>
      </c>
      <c r="I490" s="7">
        <v>2</v>
      </c>
      <c r="J490" s="10">
        <v>0.04</v>
      </c>
      <c r="K490" s="1"/>
      <c r="L490" s="1"/>
      <c r="M490" s="1"/>
      <c r="N490" s="1"/>
      <c r="O490" s="1"/>
      <c r="P490" s="1"/>
      <c r="Q490" s="1"/>
      <c r="R490" s="1"/>
      <c r="S490" s="1"/>
      <c r="T490" s="1"/>
      <c r="U490" s="1"/>
      <c r="V490" s="1"/>
      <c r="W490" s="1"/>
      <c r="X490" s="1"/>
      <c r="Y490" s="1"/>
    </row>
    <row r="491" spans="1:25" ht="15" thickBot="1" x14ac:dyDescent="0.35">
      <c r="A491" s="9">
        <v>490</v>
      </c>
      <c r="B491" s="8">
        <v>40565</v>
      </c>
      <c r="C491" s="7">
        <v>1</v>
      </c>
      <c r="D491" s="7">
        <v>0</v>
      </c>
      <c r="E491" s="7">
        <v>1</v>
      </c>
      <c r="F491" s="7">
        <v>11</v>
      </c>
      <c r="G491" s="7" t="b">
        <v>0</v>
      </c>
      <c r="H491" s="7">
        <f t="shared" si="7"/>
        <v>6</v>
      </c>
      <c r="I491" s="7">
        <v>2</v>
      </c>
      <c r="J491" s="10">
        <v>0.06</v>
      </c>
      <c r="K491" s="1"/>
      <c r="L491" s="1"/>
      <c r="M491" s="1"/>
      <c r="N491" s="1"/>
      <c r="O491" s="1"/>
      <c r="P491" s="1"/>
      <c r="Q491" s="1"/>
      <c r="R491" s="1"/>
      <c r="S491" s="1"/>
      <c r="T491" s="1"/>
      <c r="U491" s="1"/>
      <c r="V491" s="1"/>
      <c r="W491" s="1"/>
      <c r="X491" s="1"/>
      <c r="Y491" s="1"/>
    </row>
    <row r="492" spans="1:25" ht="15" thickBot="1" x14ac:dyDescent="0.35">
      <c r="A492" s="9">
        <v>491</v>
      </c>
      <c r="B492" s="8">
        <v>40565</v>
      </c>
      <c r="C492" s="7">
        <v>1</v>
      </c>
      <c r="D492" s="7">
        <v>0</v>
      </c>
      <c r="E492" s="7">
        <v>1</v>
      </c>
      <c r="F492" s="7">
        <v>12</v>
      </c>
      <c r="G492" s="7" t="b">
        <v>0</v>
      </c>
      <c r="H492" s="7">
        <f t="shared" si="7"/>
        <v>6</v>
      </c>
      <c r="I492" s="7">
        <v>2</v>
      </c>
      <c r="J492" s="10">
        <v>0.06</v>
      </c>
      <c r="K492" s="1"/>
      <c r="L492" s="1"/>
      <c r="M492" s="1"/>
      <c r="N492" s="1"/>
      <c r="O492" s="1"/>
      <c r="P492" s="1"/>
      <c r="Q492" s="1"/>
      <c r="R492" s="1"/>
      <c r="S492" s="1"/>
      <c r="T492" s="1"/>
      <c r="U492" s="1"/>
      <c r="V492" s="1"/>
      <c r="W492" s="1"/>
      <c r="X492" s="1"/>
      <c r="Y492" s="1"/>
    </row>
    <row r="493" spans="1:25" ht="15" thickBot="1" x14ac:dyDescent="0.35">
      <c r="A493" s="9">
        <v>492</v>
      </c>
      <c r="B493" s="8">
        <v>40565</v>
      </c>
      <c r="C493" s="7">
        <v>1</v>
      </c>
      <c r="D493" s="7">
        <v>0</v>
      </c>
      <c r="E493" s="7">
        <v>1</v>
      </c>
      <c r="F493" s="7">
        <v>13</v>
      </c>
      <c r="G493" s="7" t="b">
        <v>0</v>
      </c>
      <c r="H493" s="7">
        <f t="shared" si="7"/>
        <v>6</v>
      </c>
      <c r="I493" s="7">
        <v>1</v>
      </c>
      <c r="J493" s="10">
        <v>0.08</v>
      </c>
      <c r="K493" s="1"/>
      <c r="L493" s="1"/>
      <c r="M493" s="1"/>
      <c r="N493" s="1"/>
      <c r="O493" s="1"/>
      <c r="P493" s="1"/>
      <c r="Q493" s="1"/>
      <c r="R493" s="1"/>
      <c r="S493" s="1"/>
      <c r="T493" s="1"/>
      <c r="U493" s="1"/>
      <c r="V493" s="1"/>
      <c r="W493" s="1"/>
      <c r="X493" s="1"/>
      <c r="Y493" s="1"/>
    </row>
    <row r="494" spans="1:25" ht="15" thickBot="1" x14ac:dyDescent="0.35">
      <c r="A494" s="9">
        <v>493</v>
      </c>
      <c r="B494" s="8">
        <v>40565</v>
      </c>
      <c r="C494" s="7">
        <v>1</v>
      </c>
      <c r="D494" s="7">
        <v>0</v>
      </c>
      <c r="E494" s="7">
        <v>1</v>
      </c>
      <c r="F494" s="7">
        <v>14</v>
      </c>
      <c r="G494" s="7" t="b">
        <v>0</v>
      </c>
      <c r="H494" s="7">
        <f t="shared" si="7"/>
        <v>6</v>
      </c>
      <c r="I494" s="7">
        <v>1</v>
      </c>
      <c r="J494" s="10">
        <v>0.1</v>
      </c>
      <c r="K494" s="1"/>
      <c r="L494" s="1"/>
      <c r="M494" s="1"/>
      <c r="N494" s="1"/>
      <c r="O494" s="1"/>
      <c r="P494" s="1"/>
      <c r="Q494" s="1"/>
      <c r="R494" s="1"/>
      <c r="S494" s="1"/>
      <c r="T494" s="1"/>
      <c r="U494" s="1"/>
      <c r="V494" s="1"/>
      <c r="W494" s="1"/>
      <c r="X494" s="1"/>
      <c r="Y494" s="1"/>
    </row>
    <row r="495" spans="1:25" ht="15" thickBot="1" x14ac:dyDescent="0.35">
      <c r="A495" s="9">
        <v>494</v>
      </c>
      <c r="B495" s="8">
        <v>40565</v>
      </c>
      <c r="C495" s="7">
        <v>1</v>
      </c>
      <c r="D495" s="7">
        <v>0</v>
      </c>
      <c r="E495" s="7">
        <v>1</v>
      </c>
      <c r="F495" s="7">
        <v>15</v>
      </c>
      <c r="G495" s="7" t="b">
        <v>0</v>
      </c>
      <c r="H495" s="7">
        <f t="shared" si="7"/>
        <v>6</v>
      </c>
      <c r="I495" s="7">
        <v>1</v>
      </c>
      <c r="J495" s="10">
        <v>0.12</v>
      </c>
      <c r="K495" s="1"/>
      <c r="L495" s="1"/>
      <c r="M495" s="1"/>
      <c r="N495" s="1"/>
      <c r="O495" s="1"/>
      <c r="P495" s="1"/>
      <c r="Q495" s="1"/>
      <c r="R495" s="1"/>
      <c r="S495" s="1"/>
      <c r="T495" s="1"/>
      <c r="U495" s="1"/>
      <c r="V495" s="1"/>
      <c r="W495" s="1"/>
      <c r="X495" s="1"/>
      <c r="Y495" s="1"/>
    </row>
    <row r="496" spans="1:25" ht="15" thickBot="1" x14ac:dyDescent="0.35">
      <c r="A496" s="9">
        <v>495</v>
      </c>
      <c r="B496" s="8">
        <v>40565</v>
      </c>
      <c r="C496" s="7">
        <v>1</v>
      </c>
      <c r="D496" s="7">
        <v>0</v>
      </c>
      <c r="E496" s="7">
        <v>1</v>
      </c>
      <c r="F496" s="7">
        <v>16</v>
      </c>
      <c r="G496" s="7" t="b">
        <v>0</v>
      </c>
      <c r="H496" s="7">
        <f t="shared" si="7"/>
        <v>6</v>
      </c>
      <c r="I496" s="7">
        <v>1</v>
      </c>
      <c r="J496" s="10">
        <v>0.12</v>
      </c>
      <c r="K496" s="1"/>
      <c r="L496" s="1"/>
      <c r="M496" s="1"/>
      <c r="N496" s="1"/>
      <c r="O496" s="1"/>
      <c r="P496" s="1"/>
      <c r="Q496" s="1"/>
      <c r="R496" s="1"/>
      <c r="S496" s="1"/>
      <c r="T496" s="1"/>
      <c r="U496" s="1"/>
      <c r="V496" s="1"/>
      <c r="W496" s="1"/>
      <c r="X496" s="1"/>
      <c r="Y496" s="1"/>
    </row>
    <row r="497" spans="1:25" ht="15" thickBot="1" x14ac:dyDescent="0.35">
      <c r="A497" s="9">
        <v>496</v>
      </c>
      <c r="B497" s="8">
        <v>40565</v>
      </c>
      <c r="C497" s="7">
        <v>1</v>
      </c>
      <c r="D497" s="7">
        <v>0</v>
      </c>
      <c r="E497" s="7">
        <v>1</v>
      </c>
      <c r="F497" s="7">
        <v>17</v>
      </c>
      <c r="G497" s="7" t="b">
        <v>0</v>
      </c>
      <c r="H497" s="7">
        <f t="shared" si="7"/>
        <v>6</v>
      </c>
      <c r="I497" s="7">
        <v>1</v>
      </c>
      <c r="J497" s="10">
        <v>0.12</v>
      </c>
      <c r="K497" s="1"/>
      <c r="L497" s="1"/>
      <c r="M497" s="1"/>
      <c r="N497" s="1"/>
      <c r="O497" s="1"/>
      <c r="P497" s="1"/>
      <c r="Q497" s="1"/>
      <c r="R497" s="1"/>
      <c r="S497" s="1"/>
      <c r="T497" s="1"/>
      <c r="U497" s="1"/>
      <c r="V497" s="1"/>
      <c r="W497" s="1"/>
      <c r="X497" s="1"/>
      <c r="Y497" s="1"/>
    </row>
    <row r="498" spans="1:25" ht="15" thickBot="1" x14ac:dyDescent="0.35">
      <c r="A498" s="9">
        <v>497</v>
      </c>
      <c r="B498" s="8">
        <v>40565</v>
      </c>
      <c r="C498" s="7">
        <v>1</v>
      </c>
      <c r="D498" s="7">
        <v>0</v>
      </c>
      <c r="E498" s="7">
        <v>1</v>
      </c>
      <c r="F498" s="7">
        <v>18</v>
      </c>
      <c r="G498" s="7" t="b">
        <v>0</v>
      </c>
      <c r="H498" s="7">
        <f t="shared" si="7"/>
        <v>6</v>
      </c>
      <c r="I498" s="7">
        <v>1</v>
      </c>
      <c r="J498" s="10">
        <v>0.08</v>
      </c>
      <c r="K498" s="1"/>
      <c r="L498" s="1"/>
      <c r="M498" s="1"/>
      <c r="N498" s="1"/>
      <c r="O498" s="1"/>
      <c r="P498" s="1"/>
      <c r="Q498" s="1"/>
      <c r="R498" s="1"/>
      <c r="S498" s="1"/>
      <c r="T498" s="1"/>
      <c r="U498" s="1"/>
      <c r="V498" s="1"/>
      <c r="W498" s="1"/>
      <c r="X498" s="1"/>
      <c r="Y498" s="1"/>
    </row>
    <row r="499" spans="1:25" ht="15" thickBot="1" x14ac:dyDescent="0.35">
      <c r="A499" s="9">
        <v>498</v>
      </c>
      <c r="B499" s="8">
        <v>40565</v>
      </c>
      <c r="C499" s="7">
        <v>1</v>
      </c>
      <c r="D499" s="7">
        <v>0</v>
      </c>
      <c r="E499" s="7">
        <v>1</v>
      </c>
      <c r="F499" s="7">
        <v>19</v>
      </c>
      <c r="G499" s="7" t="b">
        <v>0</v>
      </c>
      <c r="H499" s="7">
        <f t="shared" si="7"/>
        <v>6</v>
      </c>
      <c r="I499" s="7">
        <v>1</v>
      </c>
      <c r="J499" s="10">
        <v>0.08</v>
      </c>
      <c r="K499" s="1"/>
      <c r="L499" s="1"/>
      <c r="M499" s="1"/>
      <c r="N499" s="1"/>
      <c r="O499" s="1"/>
      <c r="P499" s="1"/>
      <c r="Q499" s="1"/>
      <c r="R499" s="1"/>
      <c r="S499" s="1"/>
      <c r="T499" s="1"/>
      <c r="U499" s="1"/>
      <c r="V499" s="1"/>
      <c r="W499" s="1"/>
      <c r="X499" s="1"/>
      <c r="Y499" s="1"/>
    </row>
    <row r="500" spans="1:25" ht="15" thickBot="1" x14ac:dyDescent="0.35">
      <c r="A500" s="9">
        <v>499</v>
      </c>
      <c r="B500" s="8">
        <v>40565</v>
      </c>
      <c r="C500" s="7">
        <v>1</v>
      </c>
      <c r="D500" s="7">
        <v>0</v>
      </c>
      <c r="E500" s="7">
        <v>1</v>
      </c>
      <c r="F500" s="7">
        <v>20</v>
      </c>
      <c r="G500" s="7" t="b">
        <v>0</v>
      </c>
      <c r="H500" s="7">
        <f t="shared" si="7"/>
        <v>6</v>
      </c>
      <c r="I500" s="7">
        <v>1</v>
      </c>
      <c r="J500" s="10">
        <v>0.06</v>
      </c>
      <c r="K500" s="1"/>
      <c r="L500" s="1"/>
      <c r="M500" s="1"/>
      <c r="N500" s="1"/>
      <c r="O500" s="1"/>
      <c r="P500" s="1"/>
      <c r="Q500" s="1"/>
      <c r="R500" s="1"/>
      <c r="S500" s="1"/>
      <c r="T500" s="1"/>
      <c r="U500" s="1"/>
      <c r="V500" s="1"/>
      <c r="W500" s="1"/>
      <c r="X500" s="1"/>
      <c r="Y500" s="1"/>
    </row>
    <row r="501" spans="1:25" ht="15" thickBot="1" x14ac:dyDescent="0.35">
      <c r="A501" s="9">
        <v>500</v>
      </c>
      <c r="B501" s="8">
        <v>40565</v>
      </c>
      <c r="C501" s="7">
        <v>1</v>
      </c>
      <c r="D501" s="7">
        <v>0</v>
      </c>
      <c r="E501" s="7">
        <v>1</v>
      </c>
      <c r="F501" s="7">
        <v>21</v>
      </c>
      <c r="G501" s="7" t="b">
        <v>0</v>
      </c>
      <c r="H501" s="7">
        <f t="shared" si="7"/>
        <v>6</v>
      </c>
      <c r="I501" s="7">
        <v>1</v>
      </c>
      <c r="J501" s="10">
        <v>0.06</v>
      </c>
      <c r="K501" s="1"/>
      <c r="L501" s="1"/>
      <c r="M501" s="1"/>
      <c r="N501" s="1"/>
      <c r="O501" s="1"/>
      <c r="P501" s="1"/>
      <c r="Q501" s="1"/>
      <c r="R501" s="1"/>
      <c r="S501" s="1"/>
      <c r="T501" s="1"/>
      <c r="U501" s="1"/>
      <c r="V501" s="1"/>
      <c r="W501" s="1"/>
      <c r="X501" s="1"/>
      <c r="Y501" s="1"/>
    </row>
    <row r="502" spans="1:25" ht="15" thickBot="1" x14ac:dyDescent="0.35">
      <c r="A502" s="9">
        <v>501</v>
      </c>
      <c r="B502" s="8">
        <v>40565</v>
      </c>
      <c r="C502" s="7">
        <v>1</v>
      </c>
      <c r="D502" s="7">
        <v>0</v>
      </c>
      <c r="E502" s="7">
        <v>1</v>
      </c>
      <c r="F502" s="7">
        <v>22</v>
      </c>
      <c r="G502" s="7" t="b">
        <v>0</v>
      </c>
      <c r="H502" s="7">
        <f t="shared" si="7"/>
        <v>6</v>
      </c>
      <c r="I502" s="7">
        <v>1</v>
      </c>
      <c r="J502" s="10">
        <v>0.06</v>
      </c>
      <c r="K502" s="1"/>
      <c r="L502" s="1"/>
      <c r="M502" s="1"/>
      <c r="N502" s="1"/>
      <c r="O502" s="1"/>
      <c r="P502" s="1"/>
      <c r="Q502" s="1"/>
      <c r="R502" s="1"/>
      <c r="S502" s="1"/>
      <c r="T502" s="1"/>
      <c r="U502" s="1"/>
      <c r="V502" s="1"/>
      <c r="W502" s="1"/>
      <c r="X502" s="1"/>
      <c r="Y502" s="1"/>
    </row>
    <row r="503" spans="1:25" ht="15" thickBot="1" x14ac:dyDescent="0.35">
      <c r="A503" s="9">
        <v>502</v>
      </c>
      <c r="B503" s="8">
        <v>40565</v>
      </c>
      <c r="C503" s="7">
        <v>1</v>
      </c>
      <c r="D503" s="7">
        <v>0</v>
      </c>
      <c r="E503" s="7">
        <v>1</v>
      </c>
      <c r="F503" s="7">
        <v>23</v>
      </c>
      <c r="G503" s="7" t="b">
        <v>0</v>
      </c>
      <c r="H503" s="7">
        <f t="shared" si="7"/>
        <v>6</v>
      </c>
      <c r="I503" s="7">
        <v>1</v>
      </c>
      <c r="J503" s="10">
        <v>0.04</v>
      </c>
      <c r="K503" s="1"/>
      <c r="L503" s="1"/>
      <c r="M503" s="1"/>
      <c r="N503" s="1"/>
      <c r="O503" s="1"/>
      <c r="P503" s="1"/>
      <c r="Q503" s="1"/>
      <c r="R503" s="1"/>
      <c r="S503" s="1"/>
      <c r="T503" s="1"/>
      <c r="U503" s="1"/>
      <c r="V503" s="1"/>
      <c r="W503" s="1"/>
      <c r="X503" s="1"/>
      <c r="Y503" s="1"/>
    </row>
    <row r="504" spans="1:25" ht="15" thickBot="1" x14ac:dyDescent="0.35">
      <c r="A504" s="9">
        <v>503</v>
      </c>
      <c r="B504" s="8">
        <v>40566</v>
      </c>
      <c r="C504" s="7">
        <v>1</v>
      </c>
      <c r="D504" s="7">
        <v>0</v>
      </c>
      <c r="E504" s="7">
        <v>1</v>
      </c>
      <c r="F504" s="7">
        <v>0</v>
      </c>
      <c r="G504" s="7" t="b">
        <v>0</v>
      </c>
      <c r="H504" s="7">
        <f t="shared" si="7"/>
        <v>7</v>
      </c>
      <c r="I504" s="7">
        <v>1</v>
      </c>
      <c r="J504" s="10">
        <v>0.04</v>
      </c>
      <c r="K504" s="1"/>
      <c r="L504" s="1"/>
      <c r="M504" s="1"/>
      <c r="N504" s="1"/>
      <c r="O504" s="1"/>
      <c r="P504" s="1"/>
      <c r="Q504" s="1"/>
      <c r="R504" s="1"/>
      <c r="S504" s="1"/>
      <c r="T504" s="1"/>
      <c r="U504" s="1"/>
      <c r="V504" s="1"/>
      <c r="W504" s="1"/>
      <c r="X504" s="1"/>
      <c r="Y504" s="1"/>
    </row>
    <row r="505" spans="1:25" ht="15" thickBot="1" x14ac:dyDescent="0.35">
      <c r="A505" s="9">
        <v>504</v>
      </c>
      <c r="B505" s="8">
        <v>40566</v>
      </c>
      <c r="C505" s="7">
        <v>1</v>
      </c>
      <c r="D505" s="7">
        <v>0</v>
      </c>
      <c r="E505" s="7">
        <v>1</v>
      </c>
      <c r="F505" s="7">
        <v>1</v>
      </c>
      <c r="G505" s="7" t="b">
        <v>0</v>
      </c>
      <c r="H505" s="7">
        <f t="shared" si="7"/>
        <v>7</v>
      </c>
      <c r="I505" s="7">
        <v>1</v>
      </c>
      <c r="J505" s="10">
        <v>0.04</v>
      </c>
      <c r="K505" s="1"/>
      <c r="L505" s="1"/>
      <c r="M505" s="1"/>
      <c r="N505" s="1"/>
      <c r="O505" s="1"/>
      <c r="P505" s="1"/>
      <c r="Q505" s="1"/>
      <c r="R505" s="1"/>
      <c r="S505" s="1"/>
      <c r="T505" s="1"/>
      <c r="U505" s="1"/>
      <c r="V505" s="1"/>
      <c r="W505" s="1"/>
      <c r="X505" s="1"/>
      <c r="Y505" s="1"/>
    </row>
    <row r="506" spans="1:25" ht="15" thickBot="1" x14ac:dyDescent="0.35">
      <c r="A506" s="9">
        <v>505</v>
      </c>
      <c r="B506" s="8">
        <v>40566</v>
      </c>
      <c r="C506" s="7">
        <v>1</v>
      </c>
      <c r="D506" s="7">
        <v>0</v>
      </c>
      <c r="E506" s="7">
        <v>1</v>
      </c>
      <c r="F506" s="7">
        <v>2</v>
      </c>
      <c r="G506" s="7" t="b">
        <v>0</v>
      </c>
      <c r="H506" s="7">
        <f t="shared" si="7"/>
        <v>7</v>
      </c>
      <c r="I506" s="7">
        <v>1</v>
      </c>
      <c r="J506" s="10">
        <v>0.02</v>
      </c>
      <c r="K506" s="1"/>
      <c r="L506" s="1"/>
      <c r="M506" s="1"/>
      <c r="N506" s="1"/>
      <c r="O506" s="1"/>
      <c r="P506" s="1"/>
      <c r="Q506" s="1"/>
      <c r="R506" s="1"/>
      <c r="S506" s="1"/>
      <c r="T506" s="1"/>
      <c r="U506" s="1"/>
      <c r="V506" s="1"/>
      <c r="W506" s="1"/>
      <c r="X506" s="1"/>
      <c r="Y506" s="1"/>
    </row>
    <row r="507" spans="1:25" ht="15" thickBot="1" x14ac:dyDescent="0.35">
      <c r="A507" s="9">
        <v>506</v>
      </c>
      <c r="B507" s="8">
        <v>40566</v>
      </c>
      <c r="C507" s="7">
        <v>1</v>
      </c>
      <c r="D507" s="7">
        <v>0</v>
      </c>
      <c r="E507" s="7">
        <v>1</v>
      </c>
      <c r="F507" s="7">
        <v>3</v>
      </c>
      <c r="G507" s="7" t="b">
        <v>0</v>
      </c>
      <c r="H507" s="7">
        <f t="shared" si="7"/>
        <v>7</v>
      </c>
      <c r="I507" s="7">
        <v>1</v>
      </c>
      <c r="J507" s="10">
        <v>0.02</v>
      </c>
      <c r="K507" s="1"/>
      <c r="L507" s="1"/>
      <c r="M507" s="1"/>
      <c r="N507" s="1"/>
      <c r="O507" s="1"/>
      <c r="P507" s="1"/>
      <c r="Q507" s="1"/>
      <c r="R507" s="1"/>
      <c r="S507" s="1"/>
      <c r="T507" s="1"/>
      <c r="U507" s="1"/>
      <c r="V507" s="1"/>
      <c r="W507" s="1"/>
      <c r="X507" s="1"/>
      <c r="Y507" s="1"/>
    </row>
    <row r="508" spans="1:25" ht="15" thickBot="1" x14ac:dyDescent="0.35">
      <c r="A508" s="9">
        <v>507</v>
      </c>
      <c r="B508" s="8">
        <v>40566</v>
      </c>
      <c r="C508" s="7">
        <v>1</v>
      </c>
      <c r="D508" s="7">
        <v>0</v>
      </c>
      <c r="E508" s="7">
        <v>1</v>
      </c>
      <c r="F508" s="7">
        <v>5</v>
      </c>
      <c r="G508" s="7" t="b">
        <v>0</v>
      </c>
      <c r="H508" s="7">
        <f t="shared" si="7"/>
        <v>7</v>
      </c>
      <c r="I508" s="7">
        <v>2</v>
      </c>
      <c r="J508" s="10">
        <v>0.04</v>
      </c>
      <c r="K508" s="1"/>
      <c r="L508" s="1"/>
      <c r="M508" s="1"/>
      <c r="N508" s="1"/>
      <c r="O508" s="1"/>
      <c r="P508" s="1"/>
      <c r="Q508" s="1"/>
      <c r="R508" s="1"/>
      <c r="S508" s="1"/>
      <c r="T508" s="1"/>
      <c r="U508" s="1"/>
      <c r="V508" s="1"/>
      <c r="W508" s="1"/>
      <c r="X508" s="1"/>
      <c r="Y508" s="1"/>
    </row>
    <row r="509" spans="1:25" ht="15" thickBot="1" x14ac:dyDescent="0.35">
      <c r="A509" s="9">
        <v>508</v>
      </c>
      <c r="B509" s="8">
        <v>40566</v>
      </c>
      <c r="C509" s="7">
        <v>1</v>
      </c>
      <c r="D509" s="7">
        <v>0</v>
      </c>
      <c r="E509" s="7">
        <v>1</v>
      </c>
      <c r="F509" s="7">
        <v>6</v>
      </c>
      <c r="G509" s="7" t="b">
        <v>0</v>
      </c>
      <c r="H509" s="7">
        <f t="shared" si="7"/>
        <v>7</v>
      </c>
      <c r="I509" s="7">
        <v>2</v>
      </c>
      <c r="J509" s="10">
        <v>0.04</v>
      </c>
      <c r="K509" s="1"/>
      <c r="L509" s="1"/>
      <c r="M509" s="1"/>
      <c r="N509" s="1"/>
      <c r="O509" s="1"/>
      <c r="P509" s="1"/>
      <c r="Q509" s="1"/>
      <c r="R509" s="1"/>
      <c r="S509" s="1"/>
      <c r="T509" s="1"/>
      <c r="U509" s="1"/>
      <c r="V509" s="1"/>
      <c r="W509" s="1"/>
      <c r="X509" s="1"/>
      <c r="Y509" s="1"/>
    </row>
    <row r="510" spans="1:25" ht="15" thickBot="1" x14ac:dyDescent="0.35">
      <c r="A510" s="9">
        <v>509</v>
      </c>
      <c r="B510" s="8">
        <v>40566</v>
      </c>
      <c r="C510" s="7">
        <v>1</v>
      </c>
      <c r="D510" s="7">
        <v>0</v>
      </c>
      <c r="E510" s="7">
        <v>1</v>
      </c>
      <c r="F510" s="7">
        <v>7</v>
      </c>
      <c r="G510" s="7" t="b">
        <v>0</v>
      </c>
      <c r="H510" s="7">
        <f t="shared" si="7"/>
        <v>7</v>
      </c>
      <c r="I510" s="7">
        <v>1</v>
      </c>
      <c r="J510" s="10">
        <v>0.08</v>
      </c>
      <c r="K510" s="1"/>
      <c r="L510" s="1"/>
      <c r="M510" s="1"/>
      <c r="N510" s="1"/>
      <c r="O510" s="1"/>
      <c r="P510" s="1"/>
      <c r="Q510" s="1"/>
      <c r="R510" s="1"/>
      <c r="S510" s="1"/>
      <c r="T510" s="1"/>
      <c r="U510" s="1"/>
      <c r="V510" s="1"/>
      <c r="W510" s="1"/>
      <c r="X510" s="1"/>
      <c r="Y510" s="1"/>
    </row>
    <row r="511" spans="1:25" ht="15" thickBot="1" x14ac:dyDescent="0.35">
      <c r="A511" s="9">
        <v>510</v>
      </c>
      <c r="B511" s="8">
        <v>40566</v>
      </c>
      <c r="C511" s="7">
        <v>1</v>
      </c>
      <c r="D511" s="7">
        <v>0</v>
      </c>
      <c r="E511" s="7">
        <v>1</v>
      </c>
      <c r="F511" s="7">
        <v>8</v>
      </c>
      <c r="G511" s="7" t="b">
        <v>0</v>
      </c>
      <c r="H511" s="7">
        <f t="shared" si="7"/>
        <v>7</v>
      </c>
      <c r="I511" s="7">
        <v>1</v>
      </c>
      <c r="J511" s="10">
        <v>0.06</v>
      </c>
      <c r="K511" s="1"/>
      <c r="L511" s="1"/>
      <c r="M511" s="1"/>
      <c r="N511" s="1"/>
      <c r="O511" s="1"/>
      <c r="P511" s="1"/>
      <c r="Q511" s="1"/>
      <c r="R511" s="1"/>
      <c r="S511" s="1"/>
      <c r="T511" s="1"/>
      <c r="U511" s="1"/>
      <c r="V511" s="1"/>
      <c r="W511" s="1"/>
      <c r="X511" s="1"/>
      <c r="Y511" s="1"/>
    </row>
    <row r="512" spans="1:25" ht="15" thickBot="1" x14ac:dyDescent="0.35">
      <c r="A512" s="9">
        <v>511</v>
      </c>
      <c r="B512" s="8">
        <v>40566</v>
      </c>
      <c r="C512" s="7">
        <v>1</v>
      </c>
      <c r="D512" s="7">
        <v>0</v>
      </c>
      <c r="E512" s="7">
        <v>1</v>
      </c>
      <c r="F512" s="7">
        <v>9</v>
      </c>
      <c r="G512" s="7" t="b">
        <v>0</v>
      </c>
      <c r="H512" s="7">
        <f t="shared" si="7"/>
        <v>7</v>
      </c>
      <c r="I512" s="7">
        <v>1</v>
      </c>
      <c r="J512" s="10">
        <v>0.1</v>
      </c>
      <c r="K512" s="1"/>
      <c r="L512" s="1"/>
      <c r="M512" s="1"/>
      <c r="N512" s="1"/>
      <c r="O512" s="1"/>
      <c r="P512" s="1"/>
      <c r="Q512" s="1"/>
      <c r="R512" s="1"/>
      <c r="S512" s="1"/>
      <c r="T512" s="1"/>
      <c r="U512" s="1"/>
      <c r="V512" s="1"/>
      <c r="W512" s="1"/>
      <c r="X512" s="1"/>
      <c r="Y512" s="1"/>
    </row>
    <row r="513" spans="1:25" ht="15" thickBot="1" x14ac:dyDescent="0.35">
      <c r="A513" s="9">
        <v>512</v>
      </c>
      <c r="B513" s="8">
        <v>40566</v>
      </c>
      <c r="C513" s="7">
        <v>1</v>
      </c>
      <c r="D513" s="7">
        <v>0</v>
      </c>
      <c r="E513" s="7">
        <v>1</v>
      </c>
      <c r="F513" s="7">
        <v>10</v>
      </c>
      <c r="G513" s="7" t="b">
        <v>0</v>
      </c>
      <c r="H513" s="7">
        <f t="shared" si="7"/>
        <v>7</v>
      </c>
      <c r="I513" s="7">
        <v>1</v>
      </c>
      <c r="J513" s="10">
        <v>0.14000000000000001</v>
      </c>
      <c r="K513" s="1"/>
      <c r="L513" s="1"/>
      <c r="M513" s="1"/>
      <c r="N513" s="1"/>
      <c r="O513" s="1"/>
      <c r="P513" s="1"/>
      <c r="Q513" s="1"/>
      <c r="R513" s="1"/>
      <c r="S513" s="1"/>
      <c r="T513" s="1"/>
      <c r="U513" s="1"/>
      <c r="V513" s="1"/>
      <c r="W513" s="1"/>
      <c r="X513" s="1"/>
      <c r="Y513" s="1"/>
    </row>
    <row r="514" spans="1:25" ht="15" thickBot="1" x14ac:dyDescent="0.35">
      <c r="A514" s="9">
        <v>513</v>
      </c>
      <c r="B514" s="8">
        <v>40566</v>
      </c>
      <c r="C514" s="7">
        <v>1</v>
      </c>
      <c r="D514" s="7">
        <v>0</v>
      </c>
      <c r="E514" s="7">
        <v>1</v>
      </c>
      <c r="F514" s="7">
        <v>11</v>
      </c>
      <c r="G514" s="7" t="b">
        <v>0</v>
      </c>
      <c r="H514" s="7">
        <f t="shared" si="7"/>
        <v>7</v>
      </c>
      <c r="I514" s="7">
        <v>1</v>
      </c>
      <c r="J514" s="10">
        <v>0.14000000000000001</v>
      </c>
      <c r="K514" s="1"/>
      <c r="L514" s="1"/>
      <c r="M514" s="1"/>
      <c r="N514" s="1"/>
      <c r="O514" s="1"/>
      <c r="P514" s="1"/>
      <c r="Q514" s="1"/>
      <c r="R514" s="1"/>
      <c r="S514" s="1"/>
      <c r="T514" s="1"/>
      <c r="U514" s="1"/>
      <c r="V514" s="1"/>
      <c r="W514" s="1"/>
      <c r="X514" s="1"/>
      <c r="Y514" s="1"/>
    </row>
    <row r="515" spans="1:25" ht="15" thickBot="1" x14ac:dyDescent="0.35">
      <c r="A515" s="9">
        <v>514</v>
      </c>
      <c r="B515" s="8">
        <v>40566</v>
      </c>
      <c r="C515" s="7">
        <v>1</v>
      </c>
      <c r="D515" s="7">
        <v>0</v>
      </c>
      <c r="E515" s="7">
        <v>1</v>
      </c>
      <c r="F515" s="7">
        <v>12</v>
      </c>
      <c r="G515" s="7" t="b">
        <v>0</v>
      </c>
      <c r="H515" s="7">
        <f t="shared" ref="H515:H578" si="8">WEEKDAY($B515,2)</f>
        <v>7</v>
      </c>
      <c r="I515" s="7">
        <v>1</v>
      </c>
      <c r="J515" s="10">
        <v>0.16</v>
      </c>
      <c r="K515" s="1"/>
      <c r="L515" s="1"/>
      <c r="M515" s="1"/>
      <c r="N515" s="1"/>
      <c r="O515" s="1"/>
      <c r="P515" s="1"/>
      <c r="Q515" s="1"/>
      <c r="R515" s="1"/>
      <c r="S515" s="1"/>
      <c r="T515" s="1"/>
      <c r="U515" s="1"/>
      <c r="V515" s="1"/>
      <c r="W515" s="1"/>
      <c r="X515" s="1"/>
      <c r="Y515" s="1"/>
    </row>
    <row r="516" spans="1:25" ht="15" thickBot="1" x14ac:dyDescent="0.35">
      <c r="A516" s="9">
        <v>515</v>
      </c>
      <c r="B516" s="8">
        <v>40566</v>
      </c>
      <c r="C516" s="7">
        <v>1</v>
      </c>
      <c r="D516" s="7">
        <v>0</v>
      </c>
      <c r="E516" s="7">
        <v>1</v>
      </c>
      <c r="F516" s="7">
        <v>13</v>
      </c>
      <c r="G516" s="7" t="b">
        <v>0</v>
      </c>
      <c r="H516" s="7">
        <f t="shared" si="8"/>
        <v>7</v>
      </c>
      <c r="I516" s="7">
        <v>1</v>
      </c>
      <c r="J516" s="10">
        <v>0.14000000000000001</v>
      </c>
      <c r="K516" s="1"/>
      <c r="L516" s="1"/>
      <c r="M516" s="1"/>
      <c r="N516" s="1"/>
      <c r="O516" s="1"/>
      <c r="P516" s="1"/>
      <c r="Q516" s="1"/>
      <c r="R516" s="1"/>
      <c r="S516" s="1"/>
      <c r="T516" s="1"/>
      <c r="U516" s="1"/>
      <c r="V516" s="1"/>
      <c r="W516" s="1"/>
      <c r="X516" s="1"/>
      <c r="Y516" s="1"/>
    </row>
    <row r="517" spans="1:25" ht="15" thickBot="1" x14ac:dyDescent="0.35">
      <c r="A517" s="9">
        <v>516</v>
      </c>
      <c r="B517" s="8">
        <v>40566</v>
      </c>
      <c r="C517" s="7">
        <v>1</v>
      </c>
      <c r="D517" s="7">
        <v>0</v>
      </c>
      <c r="E517" s="7">
        <v>1</v>
      </c>
      <c r="F517" s="7">
        <v>14</v>
      </c>
      <c r="G517" s="7" t="b">
        <v>0</v>
      </c>
      <c r="H517" s="7">
        <f t="shared" si="8"/>
        <v>7</v>
      </c>
      <c r="I517" s="7">
        <v>1</v>
      </c>
      <c r="J517" s="10">
        <v>0.16</v>
      </c>
      <c r="K517" s="1"/>
      <c r="L517" s="1"/>
      <c r="M517" s="1"/>
      <c r="N517" s="1"/>
      <c r="O517" s="1"/>
      <c r="P517" s="1"/>
      <c r="Q517" s="1"/>
      <c r="R517" s="1"/>
      <c r="S517" s="1"/>
      <c r="T517" s="1"/>
      <c r="U517" s="1"/>
      <c r="V517" s="1"/>
      <c r="W517" s="1"/>
      <c r="X517" s="1"/>
      <c r="Y517" s="1"/>
    </row>
    <row r="518" spans="1:25" ht="15" thickBot="1" x14ac:dyDescent="0.35">
      <c r="A518" s="9">
        <v>517</v>
      </c>
      <c r="B518" s="8">
        <v>40566</v>
      </c>
      <c r="C518" s="7">
        <v>1</v>
      </c>
      <c r="D518" s="7">
        <v>0</v>
      </c>
      <c r="E518" s="7">
        <v>1</v>
      </c>
      <c r="F518" s="7">
        <v>15</v>
      </c>
      <c r="G518" s="7" t="b">
        <v>0</v>
      </c>
      <c r="H518" s="7">
        <f t="shared" si="8"/>
        <v>7</v>
      </c>
      <c r="I518" s="7">
        <v>1</v>
      </c>
      <c r="J518" s="10">
        <v>0.16</v>
      </c>
      <c r="K518" s="1"/>
      <c r="L518" s="1"/>
      <c r="M518" s="1"/>
      <c r="N518" s="1"/>
      <c r="O518" s="1"/>
      <c r="P518" s="1"/>
      <c r="Q518" s="1"/>
      <c r="R518" s="1"/>
      <c r="S518" s="1"/>
      <c r="T518" s="1"/>
      <c r="U518" s="1"/>
      <c r="V518" s="1"/>
      <c r="W518" s="1"/>
      <c r="X518" s="1"/>
      <c r="Y518" s="1"/>
    </row>
    <row r="519" spans="1:25" ht="15" thickBot="1" x14ac:dyDescent="0.35">
      <c r="A519" s="9">
        <v>518</v>
      </c>
      <c r="B519" s="8">
        <v>40566</v>
      </c>
      <c r="C519" s="7">
        <v>1</v>
      </c>
      <c r="D519" s="7">
        <v>0</v>
      </c>
      <c r="E519" s="7">
        <v>1</v>
      </c>
      <c r="F519" s="7">
        <v>16</v>
      </c>
      <c r="G519" s="7" t="b">
        <v>0</v>
      </c>
      <c r="H519" s="7">
        <f t="shared" si="8"/>
        <v>7</v>
      </c>
      <c r="I519" s="7">
        <v>1</v>
      </c>
      <c r="J519" s="10">
        <v>0.16</v>
      </c>
      <c r="K519" s="1"/>
      <c r="L519" s="1"/>
      <c r="M519" s="1"/>
      <c r="N519" s="1"/>
      <c r="O519" s="1"/>
      <c r="P519" s="1"/>
      <c r="Q519" s="1"/>
      <c r="R519" s="1"/>
      <c r="S519" s="1"/>
      <c r="T519" s="1"/>
      <c r="U519" s="1"/>
      <c r="V519" s="1"/>
      <c r="W519" s="1"/>
      <c r="X519" s="1"/>
      <c r="Y519" s="1"/>
    </row>
    <row r="520" spans="1:25" ht="15" thickBot="1" x14ac:dyDescent="0.35">
      <c r="A520" s="9">
        <v>519</v>
      </c>
      <c r="B520" s="8">
        <v>40566</v>
      </c>
      <c r="C520" s="7">
        <v>1</v>
      </c>
      <c r="D520" s="7">
        <v>0</v>
      </c>
      <c r="E520" s="7">
        <v>1</v>
      </c>
      <c r="F520" s="7">
        <v>17</v>
      </c>
      <c r="G520" s="7" t="b">
        <v>0</v>
      </c>
      <c r="H520" s="7">
        <f t="shared" si="8"/>
        <v>7</v>
      </c>
      <c r="I520" s="7">
        <v>1</v>
      </c>
      <c r="J520" s="10">
        <v>0.14000000000000001</v>
      </c>
      <c r="K520" s="1"/>
      <c r="L520" s="1"/>
      <c r="M520" s="1"/>
      <c r="N520" s="1"/>
      <c r="O520" s="1"/>
      <c r="P520" s="1"/>
      <c r="Q520" s="1"/>
      <c r="R520" s="1"/>
      <c r="S520" s="1"/>
      <c r="T520" s="1"/>
      <c r="U520" s="1"/>
      <c r="V520" s="1"/>
      <c r="W520" s="1"/>
      <c r="X520" s="1"/>
      <c r="Y520" s="1"/>
    </row>
    <row r="521" spans="1:25" ht="15" thickBot="1" x14ac:dyDescent="0.35">
      <c r="A521" s="9">
        <v>520</v>
      </c>
      <c r="B521" s="8">
        <v>40566</v>
      </c>
      <c r="C521" s="7">
        <v>1</v>
      </c>
      <c r="D521" s="7">
        <v>0</v>
      </c>
      <c r="E521" s="7">
        <v>1</v>
      </c>
      <c r="F521" s="7">
        <v>18</v>
      </c>
      <c r="G521" s="7" t="b">
        <v>0</v>
      </c>
      <c r="H521" s="7">
        <f t="shared" si="8"/>
        <v>7</v>
      </c>
      <c r="I521" s="7">
        <v>1</v>
      </c>
      <c r="J521" s="10">
        <v>0.12</v>
      </c>
      <c r="K521" s="1"/>
      <c r="L521" s="1"/>
      <c r="M521" s="1"/>
      <c r="N521" s="1"/>
      <c r="O521" s="1"/>
      <c r="P521" s="1"/>
      <c r="Q521" s="1"/>
      <c r="R521" s="1"/>
      <c r="S521" s="1"/>
      <c r="T521" s="1"/>
      <c r="U521" s="1"/>
      <c r="V521" s="1"/>
      <c r="W521" s="1"/>
      <c r="X521" s="1"/>
      <c r="Y521" s="1"/>
    </row>
    <row r="522" spans="1:25" ht="15" thickBot="1" x14ac:dyDescent="0.35">
      <c r="A522" s="9">
        <v>521</v>
      </c>
      <c r="B522" s="8">
        <v>40566</v>
      </c>
      <c r="C522" s="7">
        <v>1</v>
      </c>
      <c r="D522" s="7">
        <v>0</v>
      </c>
      <c r="E522" s="7">
        <v>1</v>
      </c>
      <c r="F522" s="7">
        <v>19</v>
      </c>
      <c r="G522" s="7" t="b">
        <v>0</v>
      </c>
      <c r="H522" s="7">
        <f t="shared" si="8"/>
        <v>7</v>
      </c>
      <c r="I522" s="7">
        <v>1</v>
      </c>
      <c r="J522" s="10">
        <v>0.12</v>
      </c>
      <c r="K522" s="1"/>
      <c r="L522" s="1"/>
      <c r="M522" s="1"/>
      <c r="N522" s="1"/>
      <c r="O522" s="1"/>
      <c r="P522" s="1"/>
      <c r="Q522" s="1"/>
      <c r="R522" s="1"/>
      <c r="S522" s="1"/>
      <c r="T522" s="1"/>
      <c r="U522" s="1"/>
      <c r="V522" s="1"/>
      <c r="W522" s="1"/>
      <c r="X522" s="1"/>
      <c r="Y522" s="1"/>
    </row>
    <row r="523" spans="1:25" ht="15" thickBot="1" x14ac:dyDescent="0.35">
      <c r="A523" s="9">
        <v>522</v>
      </c>
      <c r="B523" s="8">
        <v>40566</v>
      </c>
      <c r="C523" s="7">
        <v>1</v>
      </c>
      <c r="D523" s="7">
        <v>0</v>
      </c>
      <c r="E523" s="7">
        <v>1</v>
      </c>
      <c r="F523" s="7">
        <v>20</v>
      </c>
      <c r="G523" s="7" t="b">
        <v>0</v>
      </c>
      <c r="H523" s="7">
        <f t="shared" si="8"/>
        <v>7</v>
      </c>
      <c r="I523" s="7">
        <v>1</v>
      </c>
      <c r="J523" s="10">
        <v>0.1</v>
      </c>
      <c r="K523" s="1"/>
      <c r="L523" s="1"/>
      <c r="M523" s="1"/>
      <c r="N523" s="1"/>
      <c r="O523" s="1"/>
      <c r="P523" s="1"/>
      <c r="Q523" s="1"/>
      <c r="R523" s="1"/>
      <c r="S523" s="1"/>
      <c r="T523" s="1"/>
      <c r="U523" s="1"/>
      <c r="V523" s="1"/>
      <c r="W523" s="1"/>
      <c r="X523" s="1"/>
      <c r="Y523" s="1"/>
    </row>
    <row r="524" spans="1:25" ht="15" thickBot="1" x14ac:dyDescent="0.35">
      <c r="A524" s="9">
        <v>523</v>
      </c>
      <c r="B524" s="8">
        <v>40566</v>
      </c>
      <c r="C524" s="7">
        <v>1</v>
      </c>
      <c r="D524" s="7">
        <v>0</v>
      </c>
      <c r="E524" s="7">
        <v>1</v>
      </c>
      <c r="F524" s="7">
        <v>21</v>
      </c>
      <c r="G524" s="7" t="b">
        <v>0</v>
      </c>
      <c r="H524" s="7">
        <f t="shared" si="8"/>
        <v>7</v>
      </c>
      <c r="I524" s="7">
        <v>1</v>
      </c>
      <c r="J524" s="10">
        <v>0.1</v>
      </c>
      <c r="K524" s="1"/>
      <c r="L524" s="1"/>
      <c r="M524" s="1"/>
      <c r="N524" s="1"/>
      <c r="O524" s="1"/>
      <c r="P524" s="1"/>
      <c r="Q524" s="1"/>
      <c r="R524" s="1"/>
      <c r="S524" s="1"/>
      <c r="T524" s="1"/>
      <c r="U524" s="1"/>
      <c r="V524" s="1"/>
      <c r="W524" s="1"/>
      <c r="X524" s="1"/>
      <c r="Y524" s="1"/>
    </row>
    <row r="525" spans="1:25" ht="15" thickBot="1" x14ac:dyDescent="0.35">
      <c r="A525" s="9">
        <v>524</v>
      </c>
      <c r="B525" s="8">
        <v>40566</v>
      </c>
      <c r="C525" s="7">
        <v>1</v>
      </c>
      <c r="D525" s="7">
        <v>0</v>
      </c>
      <c r="E525" s="7">
        <v>1</v>
      </c>
      <c r="F525" s="7">
        <v>22</v>
      </c>
      <c r="G525" s="7" t="b">
        <v>0</v>
      </c>
      <c r="H525" s="7">
        <f t="shared" si="8"/>
        <v>7</v>
      </c>
      <c r="I525" s="7">
        <v>1</v>
      </c>
      <c r="J525" s="10">
        <v>0.08</v>
      </c>
      <c r="K525" s="1"/>
      <c r="L525" s="1"/>
      <c r="M525" s="1"/>
      <c r="N525" s="1"/>
      <c r="O525" s="1"/>
      <c r="P525" s="1"/>
      <c r="Q525" s="1"/>
      <c r="R525" s="1"/>
      <c r="S525" s="1"/>
      <c r="T525" s="1"/>
      <c r="U525" s="1"/>
      <c r="V525" s="1"/>
      <c r="W525" s="1"/>
      <c r="X525" s="1"/>
      <c r="Y525" s="1"/>
    </row>
    <row r="526" spans="1:25" ht="15" thickBot="1" x14ac:dyDescent="0.35">
      <c r="A526" s="9">
        <v>525</v>
      </c>
      <c r="B526" s="8">
        <v>40566</v>
      </c>
      <c r="C526" s="7">
        <v>1</v>
      </c>
      <c r="D526" s="7">
        <v>0</v>
      </c>
      <c r="E526" s="7">
        <v>1</v>
      </c>
      <c r="F526" s="7">
        <v>23</v>
      </c>
      <c r="G526" s="7" t="b">
        <v>0</v>
      </c>
      <c r="H526" s="7">
        <f t="shared" si="8"/>
        <v>7</v>
      </c>
      <c r="I526" s="7">
        <v>1</v>
      </c>
      <c r="J526" s="10">
        <v>0.06</v>
      </c>
      <c r="K526" s="1"/>
      <c r="L526" s="1"/>
      <c r="M526" s="1"/>
      <c r="N526" s="1"/>
      <c r="O526" s="1"/>
      <c r="P526" s="1"/>
      <c r="Q526" s="1"/>
      <c r="R526" s="1"/>
      <c r="S526" s="1"/>
      <c r="T526" s="1"/>
      <c r="U526" s="1"/>
      <c r="V526" s="1"/>
      <c r="W526" s="1"/>
      <c r="X526" s="1"/>
      <c r="Y526" s="1"/>
    </row>
    <row r="527" spans="1:25" ht="15" thickBot="1" x14ac:dyDescent="0.35">
      <c r="A527" s="9">
        <v>526</v>
      </c>
      <c r="B527" s="8">
        <v>40567</v>
      </c>
      <c r="C527" s="7">
        <v>1</v>
      </c>
      <c r="D527" s="7">
        <v>0</v>
      </c>
      <c r="E527" s="7">
        <v>1</v>
      </c>
      <c r="F527" s="7">
        <v>0</v>
      </c>
      <c r="G527" s="7" t="b">
        <v>0</v>
      </c>
      <c r="H527" s="7">
        <f t="shared" si="8"/>
        <v>1</v>
      </c>
      <c r="I527" s="7">
        <v>1</v>
      </c>
      <c r="J527" s="10">
        <v>0.06</v>
      </c>
      <c r="K527" s="1"/>
      <c r="L527" s="1"/>
      <c r="M527" s="1"/>
      <c r="N527" s="1"/>
      <c r="O527" s="1"/>
      <c r="P527" s="1"/>
      <c r="Q527" s="1"/>
      <c r="R527" s="1"/>
      <c r="S527" s="1"/>
      <c r="T527" s="1"/>
      <c r="U527" s="1"/>
      <c r="V527" s="1"/>
      <c r="W527" s="1"/>
      <c r="X527" s="1"/>
      <c r="Y527" s="1"/>
    </row>
    <row r="528" spans="1:25" ht="15" thickBot="1" x14ac:dyDescent="0.35">
      <c r="A528" s="9">
        <v>527</v>
      </c>
      <c r="B528" s="8">
        <v>40567</v>
      </c>
      <c r="C528" s="7">
        <v>1</v>
      </c>
      <c r="D528" s="7">
        <v>0</v>
      </c>
      <c r="E528" s="7">
        <v>1</v>
      </c>
      <c r="F528" s="7">
        <v>1</v>
      </c>
      <c r="G528" s="7" t="b">
        <v>0</v>
      </c>
      <c r="H528" s="7">
        <f t="shared" si="8"/>
        <v>1</v>
      </c>
      <c r="I528" s="7">
        <v>1</v>
      </c>
      <c r="J528" s="10">
        <v>0.04</v>
      </c>
      <c r="K528" s="1"/>
      <c r="L528" s="1"/>
      <c r="M528" s="1"/>
      <c r="N528" s="1"/>
      <c r="O528" s="1"/>
      <c r="P528" s="1"/>
      <c r="Q528" s="1"/>
      <c r="R528" s="1"/>
      <c r="S528" s="1"/>
      <c r="T528" s="1"/>
      <c r="U528" s="1"/>
      <c r="V528" s="1"/>
      <c r="W528" s="1"/>
      <c r="X528" s="1"/>
      <c r="Y528" s="1"/>
    </row>
    <row r="529" spans="1:25" ht="15" thickBot="1" x14ac:dyDescent="0.35">
      <c r="A529" s="9">
        <v>528</v>
      </c>
      <c r="B529" s="8">
        <v>40567</v>
      </c>
      <c r="C529" s="7">
        <v>1</v>
      </c>
      <c r="D529" s="7">
        <v>0</v>
      </c>
      <c r="E529" s="7">
        <v>1</v>
      </c>
      <c r="F529" s="7">
        <v>3</v>
      </c>
      <c r="G529" s="7" t="b">
        <v>0</v>
      </c>
      <c r="H529" s="7">
        <f t="shared" si="8"/>
        <v>1</v>
      </c>
      <c r="I529" s="7">
        <v>1</v>
      </c>
      <c r="J529" s="10">
        <v>0.04</v>
      </c>
      <c r="K529" s="1"/>
      <c r="L529" s="1"/>
      <c r="M529" s="1"/>
      <c r="N529" s="1"/>
      <c r="O529" s="1"/>
      <c r="P529" s="1"/>
      <c r="Q529" s="1"/>
      <c r="R529" s="1"/>
      <c r="S529" s="1"/>
      <c r="T529" s="1"/>
      <c r="U529" s="1"/>
      <c r="V529" s="1"/>
      <c r="W529" s="1"/>
      <c r="X529" s="1"/>
      <c r="Y529" s="1"/>
    </row>
    <row r="530" spans="1:25" ht="15" thickBot="1" x14ac:dyDescent="0.35">
      <c r="A530" s="9">
        <v>529</v>
      </c>
      <c r="B530" s="8">
        <v>40567</v>
      </c>
      <c r="C530" s="7">
        <v>1</v>
      </c>
      <c r="D530" s="7">
        <v>0</v>
      </c>
      <c r="E530" s="7">
        <v>1</v>
      </c>
      <c r="F530" s="7">
        <v>4</v>
      </c>
      <c r="G530" s="7" t="b">
        <v>0</v>
      </c>
      <c r="H530" s="7">
        <f t="shared" si="8"/>
        <v>1</v>
      </c>
      <c r="I530" s="7">
        <v>1</v>
      </c>
      <c r="J530" s="10">
        <v>0.02</v>
      </c>
      <c r="K530" s="1"/>
      <c r="L530" s="1"/>
      <c r="M530" s="1"/>
      <c r="N530" s="1"/>
      <c r="O530" s="1"/>
      <c r="P530" s="1"/>
      <c r="Q530" s="1"/>
      <c r="R530" s="1"/>
      <c r="S530" s="1"/>
      <c r="T530" s="1"/>
      <c r="U530" s="1"/>
      <c r="V530" s="1"/>
      <c r="W530" s="1"/>
      <c r="X530" s="1"/>
      <c r="Y530" s="1"/>
    </row>
    <row r="531" spans="1:25" ht="15" thickBot="1" x14ac:dyDescent="0.35">
      <c r="A531" s="9">
        <v>530</v>
      </c>
      <c r="B531" s="8">
        <v>40567</v>
      </c>
      <c r="C531" s="7">
        <v>1</v>
      </c>
      <c r="D531" s="7">
        <v>0</v>
      </c>
      <c r="E531" s="7">
        <v>1</v>
      </c>
      <c r="F531" s="7">
        <v>5</v>
      </c>
      <c r="G531" s="7" t="b">
        <v>0</v>
      </c>
      <c r="H531" s="7">
        <f t="shared" si="8"/>
        <v>1</v>
      </c>
      <c r="I531" s="7">
        <v>1</v>
      </c>
      <c r="J531" s="10">
        <v>0.02</v>
      </c>
      <c r="K531" s="1"/>
      <c r="L531" s="1"/>
      <c r="M531" s="1"/>
      <c r="N531" s="1"/>
      <c r="O531" s="1"/>
      <c r="P531" s="1"/>
      <c r="Q531" s="1"/>
      <c r="R531" s="1"/>
      <c r="S531" s="1"/>
      <c r="T531" s="1"/>
      <c r="U531" s="1"/>
      <c r="V531" s="1"/>
      <c r="W531" s="1"/>
      <c r="X531" s="1"/>
      <c r="Y531" s="1"/>
    </row>
    <row r="532" spans="1:25" ht="15" thickBot="1" x14ac:dyDescent="0.35">
      <c r="A532" s="9">
        <v>531</v>
      </c>
      <c r="B532" s="8">
        <v>40567</v>
      </c>
      <c r="C532" s="7">
        <v>1</v>
      </c>
      <c r="D532" s="7">
        <v>0</v>
      </c>
      <c r="E532" s="7">
        <v>1</v>
      </c>
      <c r="F532" s="7">
        <v>6</v>
      </c>
      <c r="G532" s="7" t="b">
        <v>0</v>
      </c>
      <c r="H532" s="7">
        <f t="shared" si="8"/>
        <v>1</v>
      </c>
      <c r="I532" s="7">
        <v>1</v>
      </c>
      <c r="J532" s="10">
        <v>0.02</v>
      </c>
      <c r="K532" s="1"/>
      <c r="L532" s="1"/>
      <c r="M532" s="1"/>
      <c r="N532" s="1"/>
      <c r="O532" s="1"/>
      <c r="P532" s="1"/>
      <c r="Q532" s="1"/>
      <c r="R532" s="1"/>
      <c r="S532" s="1"/>
      <c r="T532" s="1"/>
      <c r="U532" s="1"/>
      <c r="V532" s="1"/>
      <c r="W532" s="1"/>
      <c r="X532" s="1"/>
      <c r="Y532" s="1"/>
    </row>
    <row r="533" spans="1:25" ht="15" thickBot="1" x14ac:dyDescent="0.35">
      <c r="A533" s="9">
        <v>532</v>
      </c>
      <c r="B533" s="8">
        <v>40567</v>
      </c>
      <c r="C533" s="7">
        <v>1</v>
      </c>
      <c r="D533" s="7">
        <v>0</v>
      </c>
      <c r="E533" s="7">
        <v>1</v>
      </c>
      <c r="F533" s="7">
        <v>7</v>
      </c>
      <c r="G533" s="7" t="b">
        <v>0</v>
      </c>
      <c r="H533" s="7">
        <f t="shared" si="8"/>
        <v>1</v>
      </c>
      <c r="I533" s="7">
        <v>1</v>
      </c>
      <c r="J533" s="10">
        <v>0.02</v>
      </c>
      <c r="K533" s="1"/>
      <c r="L533" s="1"/>
      <c r="M533" s="1"/>
      <c r="N533" s="1"/>
      <c r="O533" s="1"/>
      <c r="P533" s="1"/>
      <c r="Q533" s="1"/>
      <c r="R533" s="1"/>
      <c r="S533" s="1"/>
      <c r="T533" s="1"/>
      <c r="U533" s="1"/>
      <c r="V533" s="1"/>
      <c r="W533" s="1"/>
      <c r="X533" s="1"/>
      <c r="Y533" s="1"/>
    </row>
    <row r="534" spans="1:25" ht="15" thickBot="1" x14ac:dyDescent="0.35">
      <c r="A534" s="9">
        <v>533</v>
      </c>
      <c r="B534" s="8">
        <v>40567</v>
      </c>
      <c r="C534" s="7">
        <v>1</v>
      </c>
      <c r="D534" s="7">
        <v>0</v>
      </c>
      <c r="E534" s="7">
        <v>1</v>
      </c>
      <c r="F534" s="7">
        <v>8</v>
      </c>
      <c r="G534" s="7" t="b">
        <v>0</v>
      </c>
      <c r="H534" s="7">
        <f t="shared" si="8"/>
        <v>1</v>
      </c>
      <c r="I534" s="7">
        <v>1</v>
      </c>
      <c r="J534" s="10">
        <v>0.04</v>
      </c>
      <c r="K534" s="1"/>
      <c r="L534" s="1"/>
      <c r="M534" s="1"/>
      <c r="N534" s="1"/>
      <c r="O534" s="1"/>
      <c r="P534" s="1"/>
      <c r="Q534" s="1"/>
      <c r="R534" s="1"/>
      <c r="S534" s="1"/>
      <c r="T534" s="1"/>
      <c r="U534" s="1"/>
      <c r="V534" s="1"/>
      <c r="W534" s="1"/>
      <c r="X534" s="1"/>
      <c r="Y534" s="1"/>
    </row>
    <row r="535" spans="1:25" ht="15" thickBot="1" x14ac:dyDescent="0.35">
      <c r="A535" s="9">
        <v>534</v>
      </c>
      <c r="B535" s="8">
        <v>40567</v>
      </c>
      <c r="C535" s="7">
        <v>1</v>
      </c>
      <c r="D535" s="7">
        <v>0</v>
      </c>
      <c r="E535" s="7">
        <v>1</v>
      </c>
      <c r="F535" s="7">
        <v>9</v>
      </c>
      <c r="G535" s="7" t="b">
        <v>0</v>
      </c>
      <c r="H535" s="7">
        <f t="shared" si="8"/>
        <v>1</v>
      </c>
      <c r="I535" s="7">
        <v>1</v>
      </c>
      <c r="J535" s="10">
        <v>0.06</v>
      </c>
      <c r="K535" s="1"/>
      <c r="L535" s="1"/>
      <c r="M535" s="1"/>
      <c r="N535" s="1"/>
      <c r="O535" s="1"/>
      <c r="P535" s="1"/>
      <c r="Q535" s="1"/>
      <c r="R535" s="1"/>
      <c r="S535" s="1"/>
      <c r="T535" s="1"/>
      <c r="U535" s="1"/>
      <c r="V535" s="1"/>
      <c r="W535" s="1"/>
      <c r="X535" s="1"/>
      <c r="Y535" s="1"/>
    </row>
    <row r="536" spans="1:25" ht="15" thickBot="1" x14ac:dyDescent="0.35">
      <c r="A536" s="9">
        <v>535</v>
      </c>
      <c r="B536" s="8">
        <v>40567</v>
      </c>
      <c r="C536" s="7">
        <v>1</v>
      </c>
      <c r="D536" s="7">
        <v>0</v>
      </c>
      <c r="E536" s="7">
        <v>1</v>
      </c>
      <c r="F536" s="7">
        <v>10</v>
      </c>
      <c r="G536" s="7" t="b">
        <v>0</v>
      </c>
      <c r="H536" s="7">
        <f t="shared" si="8"/>
        <v>1</v>
      </c>
      <c r="I536" s="7">
        <v>1</v>
      </c>
      <c r="J536" s="10">
        <v>0.1</v>
      </c>
      <c r="K536" s="1"/>
      <c r="L536" s="1"/>
      <c r="M536" s="1"/>
      <c r="N536" s="1"/>
      <c r="O536" s="1"/>
      <c r="P536" s="1"/>
      <c r="Q536" s="1"/>
      <c r="R536" s="1"/>
      <c r="S536" s="1"/>
      <c r="T536" s="1"/>
      <c r="U536" s="1"/>
      <c r="V536" s="1"/>
      <c r="W536" s="1"/>
      <c r="X536" s="1"/>
      <c r="Y536" s="1"/>
    </row>
    <row r="537" spans="1:25" ht="15" thickBot="1" x14ac:dyDescent="0.35">
      <c r="A537" s="9">
        <v>536</v>
      </c>
      <c r="B537" s="8">
        <v>40567</v>
      </c>
      <c r="C537" s="7">
        <v>1</v>
      </c>
      <c r="D537" s="7">
        <v>0</v>
      </c>
      <c r="E537" s="7">
        <v>1</v>
      </c>
      <c r="F537" s="7">
        <v>11</v>
      </c>
      <c r="G537" s="7" t="b">
        <v>0</v>
      </c>
      <c r="H537" s="7">
        <f t="shared" si="8"/>
        <v>1</v>
      </c>
      <c r="I537" s="7">
        <v>1</v>
      </c>
      <c r="J537" s="10">
        <v>0.1</v>
      </c>
      <c r="K537" s="1"/>
      <c r="L537" s="1"/>
      <c r="M537" s="1"/>
      <c r="N537" s="1"/>
      <c r="O537" s="1"/>
      <c r="P537" s="1"/>
      <c r="Q537" s="1"/>
      <c r="R537" s="1"/>
      <c r="S537" s="1"/>
      <c r="T537" s="1"/>
      <c r="U537" s="1"/>
      <c r="V537" s="1"/>
      <c r="W537" s="1"/>
      <c r="X537" s="1"/>
      <c r="Y537" s="1"/>
    </row>
    <row r="538" spans="1:25" ht="15" thickBot="1" x14ac:dyDescent="0.35">
      <c r="A538" s="9">
        <v>537</v>
      </c>
      <c r="B538" s="8">
        <v>40567</v>
      </c>
      <c r="C538" s="7">
        <v>1</v>
      </c>
      <c r="D538" s="7">
        <v>0</v>
      </c>
      <c r="E538" s="7">
        <v>1</v>
      </c>
      <c r="F538" s="7">
        <v>12</v>
      </c>
      <c r="G538" s="7" t="b">
        <v>0</v>
      </c>
      <c r="H538" s="7">
        <f t="shared" si="8"/>
        <v>1</v>
      </c>
      <c r="I538" s="7">
        <v>2</v>
      </c>
      <c r="J538" s="10">
        <v>0.12</v>
      </c>
      <c r="K538" s="1"/>
      <c r="L538" s="1"/>
      <c r="M538" s="1"/>
      <c r="N538" s="1"/>
      <c r="O538" s="1"/>
      <c r="P538" s="1"/>
      <c r="Q538" s="1"/>
      <c r="R538" s="1"/>
      <c r="S538" s="1"/>
      <c r="T538" s="1"/>
      <c r="U538" s="1"/>
      <c r="V538" s="1"/>
      <c r="W538" s="1"/>
      <c r="X538" s="1"/>
      <c r="Y538" s="1"/>
    </row>
    <row r="539" spans="1:25" ht="15" thickBot="1" x14ac:dyDescent="0.35">
      <c r="A539" s="9">
        <v>538</v>
      </c>
      <c r="B539" s="8">
        <v>40567</v>
      </c>
      <c r="C539" s="7">
        <v>1</v>
      </c>
      <c r="D539" s="7">
        <v>0</v>
      </c>
      <c r="E539" s="7">
        <v>1</v>
      </c>
      <c r="F539" s="7">
        <v>13</v>
      </c>
      <c r="G539" s="7" t="b">
        <v>0</v>
      </c>
      <c r="H539" s="7">
        <f t="shared" si="8"/>
        <v>1</v>
      </c>
      <c r="I539" s="7">
        <v>2</v>
      </c>
      <c r="J539" s="10">
        <v>0.14000000000000001</v>
      </c>
      <c r="K539" s="1"/>
      <c r="L539" s="1"/>
      <c r="M539" s="1"/>
      <c r="N539" s="1"/>
      <c r="O539" s="1"/>
      <c r="P539" s="1"/>
      <c r="Q539" s="1"/>
      <c r="R539" s="1"/>
      <c r="S539" s="1"/>
      <c r="T539" s="1"/>
      <c r="U539" s="1"/>
      <c r="V539" s="1"/>
      <c r="W539" s="1"/>
      <c r="X539" s="1"/>
      <c r="Y539" s="1"/>
    </row>
    <row r="540" spans="1:25" ht="15" thickBot="1" x14ac:dyDescent="0.35">
      <c r="A540" s="9">
        <v>539</v>
      </c>
      <c r="B540" s="8">
        <v>40567</v>
      </c>
      <c r="C540" s="7">
        <v>1</v>
      </c>
      <c r="D540" s="7">
        <v>0</v>
      </c>
      <c r="E540" s="7">
        <v>1</v>
      </c>
      <c r="F540" s="7">
        <v>14</v>
      </c>
      <c r="G540" s="7" t="b">
        <v>0</v>
      </c>
      <c r="H540" s="7">
        <f t="shared" si="8"/>
        <v>1</v>
      </c>
      <c r="I540" s="7">
        <v>2</v>
      </c>
      <c r="J540" s="10">
        <v>0.14000000000000001</v>
      </c>
      <c r="K540" s="1"/>
      <c r="L540" s="1"/>
      <c r="M540" s="1"/>
      <c r="N540" s="1"/>
      <c r="O540" s="1"/>
      <c r="P540" s="1"/>
      <c r="Q540" s="1"/>
      <c r="R540" s="1"/>
      <c r="S540" s="1"/>
      <c r="T540" s="1"/>
      <c r="U540" s="1"/>
      <c r="V540" s="1"/>
      <c r="W540" s="1"/>
      <c r="X540" s="1"/>
      <c r="Y540" s="1"/>
    </row>
    <row r="541" spans="1:25" ht="15" thickBot="1" x14ac:dyDescent="0.35">
      <c r="A541" s="9">
        <v>540</v>
      </c>
      <c r="B541" s="8">
        <v>40567</v>
      </c>
      <c r="C541" s="7">
        <v>1</v>
      </c>
      <c r="D541" s="7">
        <v>0</v>
      </c>
      <c r="E541" s="7">
        <v>1</v>
      </c>
      <c r="F541" s="7">
        <v>15</v>
      </c>
      <c r="G541" s="7" t="b">
        <v>0</v>
      </c>
      <c r="H541" s="7">
        <f t="shared" si="8"/>
        <v>1</v>
      </c>
      <c r="I541" s="7">
        <v>1</v>
      </c>
      <c r="J541" s="10">
        <v>0.16</v>
      </c>
      <c r="K541" s="1"/>
      <c r="L541" s="1"/>
      <c r="M541" s="1"/>
      <c r="N541" s="1"/>
      <c r="O541" s="1"/>
      <c r="P541" s="1"/>
      <c r="Q541" s="1"/>
      <c r="R541" s="1"/>
      <c r="S541" s="1"/>
      <c r="T541" s="1"/>
      <c r="U541" s="1"/>
      <c r="V541" s="1"/>
      <c r="W541" s="1"/>
      <c r="X541" s="1"/>
      <c r="Y541" s="1"/>
    </row>
    <row r="542" spans="1:25" ht="15" thickBot="1" x14ac:dyDescent="0.35">
      <c r="A542" s="9">
        <v>541</v>
      </c>
      <c r="B542" s="8">
        <v>40567</v>
      </c>
      <c r="C542" s="7">
        <v>1</v>
      </c>
      <c r="D542" s="7">
        <v>0</v>
      </c>
      <c r="E542" s="7">
        <v>1</v>
      </c>
      <c r="F542" s="7">
        <v>16</v>
      </c>
      <c r="G542" s="7" t="b">
        <v>0</v>
      </c>
      <c r="H542" s="7">
        <f t="shared" si="8"/>
        <v>1</v>
      </c>
      <c r="I542" s="7">
        <v>1</v>
      </c>
      <c r="J542" s="10">
        <v>0.16</v>
      </c>
      <c r="K542" s="1"/>
      <c r="L542" s="1"/>
      <c r="M542" s="1"/>
      <c r="N542" s="1"/>
      <c r="O542" s="1"/>
      <c r="P542" s="1"/>
      <c r="Q542" s="1"/>
      <c r="R542" s="1"/>
      <c r="S542" s="1"/>
      <c r="T542" s="1"/>
      <c r="U542" s="1"/>
      <c r="V542" s="1"/>
      <c r="W542" s="1"/>
      <c r="X542" s="1"/>
      <c r="Y542" s="1"/>
    </row>
    <row r="543" spans="1:25" ht="15" thickBot="1" x14ac:dyDescent="0.35">
      <c r="A543" s="9">
        <v>542</v>
      </c>
      <c r="B543" s="8">
        <v>40567</v>
      </c>
      <c r="C543" s="7">
        <v>1</v>
      </c>
      <c r="D543" s="7">
        <v>0</v>
      </c>
      <c r="E543" s="7">
        <v>1</v>
      </c>
      <c r="F543" s="7">
        <v>17</v>
      </c>
      <c r="G543" s="7" t="b">
        <v>0</v>
      </c>
      <c r="H543" s="7">
        <f t="shared" si="8"/>
        <v>1</v>
      </c>
      <c r="I543" s="7">
        <v>1</v>
      </c>
      <c r="J543" s="10">
        <v>0.14000000000000001</v>
      </c>
      <c r="K543" s="1"/>
      <c r="L543" s="1"/>
      <c r="M543" s="1"/>
      <c r="N543" s="1"/>
      <c r="O543" s="1"/>
      <c r="P543" s="1"/>
      <c r="Q543" s="1"/>
      <c r="R543" s="1"/>
      <c r="S543" s="1"/>
      <c r="T543" s="1"/>
      <c r="U543" s="1"/>
      <c r="V543" s="1"/>
      <c r="W543" s="1"/>
      <c r="X543" s="1"/>
      <c r="Y543" s="1"/>
    </row>
    <row r="544" spans="1:25" ht="15" thickBot="1" x14ac:dyDescent="0.35">
      <c r="A544" s="9">
        <v>543</v>
      </c>
      <c r="B544" s="8">
        <v>40567</v>
      </c>
      <c r="C544" s="7">
        <v>1</v>
      </c>
      <c r="D544" s="7">
        <v>0</v>
      </c>
      <c r="E544" s="7">
        <v>1</v>
      </c>
      <c r="F544" s="7">
        <v>18</v>
      </c>
      <c r="G544" s="7" t="b">
        <v>0</v>
      </c>
      <c r="H544" s="7">
        <f t="shared" si="8"/>
        <v>1</v>
      </c>
      <c r="I544" s="7">
        <v>1</v>
      </c>
      <c r="J544" s="10">
        <v>0.14000000000000001</v>
      </c>
      <c r="K544" s="1"/>
      <c r="L544" s="1"/>
      <c r="M544" s="1"/>
      <c r="N544" s="1"/>
      <c r="O544" s="1"/>
      <c r="P544" s="1"/>
      <c r="Q544" s="1"/>
      <c r="R544" s="1"/>
      <c r="S544" s="1"/>
      <c r="T544" s="1"/>
      <c r="U544" s="1"/>
      <c r="V544" s="1"/>
      <c r="W544" s="1"/>
      <c r="X544" s="1"/>
      <c r="Y544" s="1"/>
    </row>
    <row r="545" spans="1:25" ht="15" thickBot="1" x14ac:dyDescent="0.35">
      <c r="A545" s="9">
        <v>544</v>
      </c>
      <c r="B545" s="8">
        <v>40567</v>
      </c>
      <c r="C545" s="7">
        <v>1</v>
      </c>
      <c r="D545" s="7">
        <v>0</v>
      </c>
      <c r="E545" s="7">
        <v>1</v>
      </c>
      <c r="F545" s="7">
        <v>19</v>
      </c>
      <c r="G545" s="7" t="b">
        <v>0</v>
      </c>
      <c r="H545" s="7">
        <f t="shared" si="8"/>
        <v>1</v>
      </c>
      <c r="I545" s="7">
        <v>1</v>
      </c>
      <c r="J545" s="10">
        <v>0.14000000000000001</v>
      </c>
      <c r="K545" s="1"/>
      <c r="L545" s="1"/>
      <c r="M545" s="1"/>
      <c r="N545" s="1"/>
      <c r="O545" s="1"/>
      <c r="P545" s="1"/>
      <c r="Q545" s="1"/>
      <c r="R545" s="1"/>
      <c r="S545" s="1"/>
      <c r="T545" s="1"/>
      <c r="U545" s="1"/>
      <c r="V545" s="1"/>
      <c r="W545" s="1"/>
      <c r="X545" s="1"/>
      <c r="Y545" s="1"/>
    </row>
    <row r="546" spans="1:25" ht="15" thickBot="1" x14ac:dyDescent="0.35">
      <c r="A546" s="9">
        <v>545</v>
      </c>
      <c r="B546" s="8">
        <v>40567</v>
      </c>
      <c r="C546" s="7">
        <v>1</v>
      </c>
      <c r="D546" s="7">
        <v>0</v>
      </c>
      <c r="E546" s="7">
        <v>1</v>
      </c>
      <c r="F546" s="7">
        <v>20</v>
      </c>
      <c r="G546" s="7" t="b">
        <v>0</v>
      </c>
      <c r="H546" s="7">
        <f t="shared" si="8"/>
        <v>1</v>
      </c>
      <c r="I546" s="7">
        <v>1</v>
      </c>
      <c r="J546" s="10">
        <v>0.14000000000000001</v>
      </c>
      <c r="K546" s="1"/>
      <c r="L546" s="1"/>
      <c r="M546" s="1"/>
      <c r="N546" s="1"/>
      <c r="O546" s="1"/>
      <c r="P546" s="1"/>
      <c r="Q546" s="1"/>
      <c r="R546" s="1"/>
      <c r="S546" s="1"/>
      <c r="T546" s="1"/>
      <c r="U546" s="1"/>
      <c r="V546" s="1"/>
      <c r="W546" s="1"/>
      <c r="X546" s="1"/>
      <c r="Y546" s="1"/>
    </row>
    <row r="547" spans="1:25" ht="15" thickBot="1" x14ac:dyDescent="0.35">
      <c r="A547" s="9">
        <v>546</v>
      </c>
      <c r="B547" s="8">
        <v>40567</v>
      </c>
      <c r="C547" s="7">
        <v>1</v>
      </c>
      <c r="D547" s="7">
        <v>0</v>
      </c>
      <c r="E547" s="7">
        <v>1</v>
      </c>
      <c r="F547" s="7">
        <v>21</v>
      </c>
      <c r="G547" s="7" t="b">
        <v>0</v>
      </c>
      <c r="H547" s="7">
        <f t="shared" si="8"/>
        <v>1</v>
      </c>
      <c r="I547" s="7">
        <v>1</v>
      </c>
      <c r="J547" s="10">
        <v>0.14000000000000001</v>
      </c>
      <c r="K547" s="1"/>
      <c r="L547" s="1"/>
      <c r="M547" s="1"/>
      <c r="N547" s="1"/>
      <c r="O547" s="1"/>
      <c r="P547" s="1"/>
      <c r="Q547" s="1"/>
      <c r="R547" s="1"/>
      <c r="S547" s="1"/>
      <c r="T547" s="1"/>
      <c r="U547" s="1"/>
      <c r="V547" s="1"/>
      <c r="W547" s="1"/>
      <c r="X547" s="1"/>
      <c r="Y547" s="1"/>
    </row>
    <row r="548" spans="1:25" ht="15" thickBot="1" x14ac:dyDescent="0.35">
      <c r="A548" s="9">
        <v>547</v>
      </c>
      <c r="B548" s="8">
        <v>40567</v>
      </c>
      <c r="C548" s="7">
        <v>1</v>
      </c>
      <c r="D548" s="7">
        <v>0</v>
      </c>
      <c r="E548" s="7">
        <v>1</v>
      </c>
      <c r="F548" s="7">
        <v>22</v>
      </c>
      <c r="G548" s="7" t="b">
        <v>0</v>
      </c>
      <c r="H548" s="7">
        <f t="shared" si="8"/>
        <v>1</v>
      </c>
      <c r="I548" s="7">
        <v>2</v>
      </c>
      <c r="J548" s="10">
        <v>0.14000000000000001</v>
      </c>
      <c r="K548" s="1"/>
      <c r="L548" s="1"/>
      <c r="M548" s="1"/>
      <c r="N548" s="1"/>
      <c r="O548" s="1"/>
      <c r="P548" s="1"/>
      <c r="Q548" s="1"/>
      <c r="R548" s="1"/>
      <c r="S548" s="1"/>
      <c r="T548" s="1"/>
      <c r="U548" s="1"/>
      <c r="V548" s="1"/>
      <c r="W548" s="1"/>
      <c r="X548" s="1"/>
      <c r="Y548" s="1"/>
    </row>
    <row r="549" spans="1:25" ht="15" thickBot="1" x14ac:dyDescent="0.35">
      <c r="A549" s="9">
        <v>548</v>
      </c>
      <c r="B549" s="8">
        <v>40567</v>
      </c>
      <c r="C549" s="7">
        <v>1</v>
      </c>
      <c r="D549" s="7">
        <v>0</v>
      </c>
      <c r="E549" s="7">
        <v>1</v>
      </c>
      <c r="F549" s="7">
        <v>23</v>
      </c>
      <c r="G549" s="7" t="b">
        <v>0</v>
      </c>
      <c r="H549" s="7">
        <f t="shared" si="8"/>
        <v>1</v>
      </c>
      <c r="I549" s="7">
        <v>2</v>
      </c>
      <c r="J549" s="10">
        <v>0.16</v>
      </c>
      <c r="K549" s="1"/>
      <c r="L549" s="1"/>
      <c r="M549" s="1"/>
      <c r="N549" s="1"/>
      <c r="O549" s="1"/>
      <c r="P549" s="1"/>
      <c r="Q549" s="1"/>
      <c r="R549" s="1"/>
      <c r="S549" s="1"/>
      <c r="T549" s="1"/>
      <c r="U549" s="1"/>
      <c r="V549" s="1"/>
      <c r="W549" s="1"/>
      <c r="X549" s="1"/>
      <c r="Y549" s="1"/>
    </row>
    <row r="550" spans="1:25" ht="15" thickBot="1" x14ac:dyDescent="0.35">
      <c r="A550" s="9">
        <v>549</v>
      </c>
      <c r="B550" s="8">
        <v>40568</v>
      </c>
      <c r="C550" s="7">
        <v>1</v>
      </c>
      <c r="D550" s="7">
        <v>0</v>
      </c>
      <c r="E550" s="7">
        <v>1</v>
      </c>
      <c r="F550" s="7">
        <v>0</v>
      </c>
      <c r="G550" s="7" t="b">
        <v>0</v>
      </c>
      <c r="H550" s="7">
        <f t="shared" si="8"/>
        <v>2</v>
      </c>
      <c r="I550" s="7">
        <v>2</v>
      </c>
      <c r="J550" s="10">
        <v>0.16</v>
      </c>
      <c r="K550" s="1"/>
      <c r="L550" s="1"/>
      <c r="M550" s="1"/>
      <c r="N550" s="1"/>
      <c r="O550" s="1"/>
      <c r="P550" s="1"/>
      <c r="Q550" s="1"/>
      <c r="R550" s="1"/>
      <c r="S550" s="1"/>
      <c r="T550" s="1"/>
      <c r="U550" s="1"/>
      <c r="V550" s="1"/>
      <c r="W550" s="1"/>
      <c r="X550" s="1"/>
      <c r="Y550" s="1"/>
    </row>
    <row r="551" spans="1:25" ht="15" thickBot="1" x14ac:dyDescent="0.35">
      <c r="A551" s="9">
        <v>550</v>
      </c>
      <c r="B551" s="8">
        <v>40568</v>
      </c>
      <c r="C551" s="7">
        <v>1</v>
      </c>
      <c r="D551" s="7">
        <v>0</v>
      </c>
      <c r="E551" s="7">
        <v>1</v>
      </c>
      <c r="F551" s="7">
        <v>1</v>
      </c>
      <c r="G551" s="7" t="b">
        <v>0</v>
      </c>
      <c r="H551" s="7">
        <f t="shared" si="8"/>
        <v>2</v>
      </c>
      <c r="I551" s="7">
        <v>2</v>
      </c>
      <c r="J551" s="10">
        <v>0.16</v>
      </c>
      <c r="K551" s="1"/>
      <c r="L551" s="1"/>
      <c r="M551" s="1"/>
      <c r="N551" s="1"/>
      <c r="O551" s="1"/>
      <c r="P551" s="1"/>
      <c r="Q551" s="1"/>
      <c r="R551" s="1"/>
      <c r="S551" s="1"/>
      <c r="T551" s="1"/>
      <c r="U551" s="1"/>
      <c r="V551" s="1"/>
      <c r="W551" s="1"/>
      <c r="X551" s="1"/>
      <c r="Y551" s="1"/>
    </row>
    <row r="552" spans="1:25" ht="15" thickBot="1" x14ac:dyDescent="0.35">
      <c r="A552" s="9">
        <v>551</v>
      </c>
      <c r="B552" s="8">
        <v>40568</v>
      </c>
      <c r="C552" s="7">
        <v>1</v>
      </c>
      <c r="D552" s="7">
        <v>0</v>
      </c>
      <c r="E552" s="7">
        <v>1</v>
      </c>
      <c r="F552" s="7">
        <v>2</v>
      </c>
      <c r="G552" s="7" t="b">
        <v>0</v>
      </c>
      <c r="H552" s="7">
        <f t="shared" si="8"/>
        <v>2</v>
      </c>
      <c r="I552" s="7">
        <v>1</v>
      </c>
      <c r="J552" s="10">
        <v>0.16</v>
      </c>
      <c r="K552" s="1"/>
      <c r="L552" s="1"/>
      <c r="M552" s="1"/>
      <c r="N552" s="1"/>
      <c r="O552" s="1"/>
      <c r="P552" s="1"/>
      <c r="Q552" s="1"/>
      <c r="R552" s="1"/>
      <c r="S552" s="1"/>
      <c r="T552" s="1"/>
      <c r="U552" s="1"/>
      <c r="V552" s="1"/>
      <c r="W552" s="1"/>
      <c r="X552" s="1"/>
      <c r="Y552" s="1"/>
    </row>
    <row r="553" spans="1:25" ht="15" thickBot="1" x14ac:dyDescent="0.35">
      <c r="A553" s="9">
        <v>552</v>
      </c>
      <c r="B553" s="8">
        <v>40568</v>
      </c>
      <c r="C553" s="7">
        <v>1</v>
      </c>
      <c r="D553" s="7">
        <v>0</v>
      </c>
      <c r="E553" s="7">
        <v>1</v>
      </c>
      <c r="F553" s="7">
        <v>4</v>
      </c>
      <c r="G553" s="7" t="b">
        <v>0</v>
      </c>
      <c r="H553" s="7">
        <f t="shared" si="8"/>
        <v>2</v>
      </c>
      <c r="I553" s="7">
        <v>1</v>
      </c>
      <c r="J553" s="10">
        <v>0.14000000000000001</v>
      </c>
      <c r="K553" s="1"/>
      <c r="L553" s="1"/>
      <c r="M553" s="1"/>
      <c r="N553" s="1"/>
      <c r="O553" s="1"/>
      <c r="P553" s="1"/>
      <c r="Q553" s="1"/>
      <c r="R553" s="1"/>
      <c r="S553" s="1"/>
      <c r="T553" s="1"/>
      <c r="U553" s="1"/>
      <c r="V553" s="1"/>
      <c r="W553" s="1"/>
      <c r="X553" s="1"/>
      <c r="Y553" s="1"/>
    </row>
    <row r="554" spans="1:25" ht="15" thickBot="1" x14ac:dyDescent="0.35">
      <c r="A554" s="9">
        <v>553</v>
      </c>
      <c r="B554" s="8">
        <v>40568</v>
      </c>
      <c r="C554" s="7">
        <v>1</v>
      </c>
      <c r="D554" s="7">
        <v>0</v>
      </c>
      <c r="E554" s="7">
        <v>1</v>
      </c>
      <c r="F554" s="7">
        <v>5</v>
      </c>
      <c r="G554" s="7" t="b">
        <v>0</v>
      </c>
      <c r="H554" s="7">
        <f t="shared" si="8"/>
        <v>2</v>
      </c>
      <c r="I554" s="7">
        <v>1</v>
      </c>
      <c r="J554" s="10">
        <v>0.14000000000000001</v>
      </c>
      <c r="K554" s="1"/>
      <c r="L554" s="1"/>
      <c r="M554" s="1"/>
      <c r="N554" s="1"/>
      <c r="O554" s="1"/>
      <c r="P554" s="1"/>
      <c r="Q554" s="1"/>
      <c r="R554" s="1"/>
      <c r="S554" s="1"/>
      <c r="T554" s="1"/>
      <c r="U554" s="1"/>
      <c r="V554" s="1"/>
      <c r="W554" s="1"/>
      <c r="X554" s="1"/>
      <c r="Y554" s="1"/>
    </row>
    <row r="555" spans="1:25" ht="15" thickBot="1" x14ac:dyDescent="0.35">
      <c r="A555" s="9">
        <v>554</v>
      </c>
      <c r="B555" s="8">
        <v>40568</v>
      </c>
      <c r="C555" s="7">
        <v>1</v>
      </c>
      <c r="D555" s="7">
        <v>0</v>
      </c>
      <c r="E555" s="7">
        <v>1</v>
      </c>
      <c r="F555" s="7">
        <v>6</v>
      </c>
      <c r="G555" s="7" t="b">
        <v>0</v>
      </c>
      <c r="H555" s="7">
        <f t="shared" si="8"/>
        <v>2</v>
      </c>
      <c r="I555" s="7">
        <v>1</v>
      </c>
      <c r="J555" s="10">
        <v>0.16</v>
      </c>
      <c r="K555" s="1"/>
      <c r="L555" s="1"/>
      <c r="M555" s="1"/>
      <c r="N555" s="1"/>
      <c r="O555" s="1"/>
      <c r="P555" s="1"/>
      <c r="Q555" s="1"/>
      <c r="R555" s="1"/>
      <c r="S555" s="1"/>
      <c r="T555" s="1"/>
      <c r="U555" s="1"/>
      <c r="V555" s="1"/>
      <c r="W555" s="1"/>
      <c r="X555" s="1"/>
      <c r="Y555" s="1"/>
    </row>
    <row r="556" spans="1:25" ht="15" thickBot="1" x14ac:dyDescent="0.35">
      <c r="A556" s="9">
        <v>555</v>
      </c>
      <c r="B556" s="8">
        <v>40568</v>
      </c>
      <c r="C556" s="7">
        <v>1</v>
      </c>
      <c r="D556" s="7">
        <v>0</v>
      </c>
      <c r="E556" s="7">
        <v>1</v>
      </c>
      <c r="F556" s="7">
        <v>7</v>
      </c>
      <c r="G556" s="7" t="b">
        <v>0</v>
      </c>
      <c r="H556" s="7">
        <f t="shared" si="8"/>
        <v>2</v>
      </c>
      <c r="I556" s="7">
        <v>1</v>
      </c>
      <c r="J556" s="10">
        <v>0.16</v>
      </c>
      <c r="K556" s="1"/>
      <c r="L556" s="1"/>
      <c r="M556" s="1"/>
      <c r="N556" s="1"/>
      <c r="O556" s="1"/>
      <c r="P556" s="1"/>
      <c r="Q556" s="1"/>
      <c r="R556" s="1"/>
      <c r="S556" s="1"/>
      <c r="T556" s="1"/>
      <c r="U556" s="1"/>
      <c r="V556" s="1"/>
      <c r="W556" s="1"/>
      <c r="X556" s="1"/>
      <c r="Y556" s="1"/>
    </row>
    <row r="557" spans="1:25" ht="15" thickBot="1" x14ac:dyDescent="0.35">
      <c r="A557" s="9">
        <v>556</v>
      </c>
      <c r="B557" s="8">
        <v>40568</v>
      </c>
      <c r="C557" s="7">
        <v>1</v>
      </c>
      <c r="D557" s="7">
        <v>0</v>
      </c>
      <c r="E557" s="7">
        <v>1</v>
      </c>
      <c r="F557" s="7">
        <v>8</v>
      </c>
      <c r="G557" s="7" t="b">
        <v>0</v>
      </c>
      <c r="H557" s="7">
        <f t="shared" si="8"/>
        <v>2</v>
      </c>
      <c r="I557" s="7">
        <v>2</v>
      </c>
      <c r="J557" s="10">
        <v>0.16</v>
      </c>
      <c r="K557" s="1"/>
      <c r="L557" s="1"/>
      <c r="M557" s="1"/>
      <c r="N557" s="1"/>
      <c r="O557" s="1"/>
      <c r="P557" s="1"/>
      <c r="Q557" s="1"/>
      <c r="R557" s="1"/>
      <c r="S557" s="1"/>
      <c r="T557" s="1"/>
      <c r="U557" s="1"/>
      <c r="V557" s="1"/>
      <c r="W557" s="1"/>
      <c r="X557" s="1"/>
      <c r="Y557" s="1"/>
    </row>
    <row r="558" spans="1:25" ht="15" thickBot="1" x14ac:dyDescent="0.35">
      <c r="A558" s="9">
        <v>557</v>
      </c>
      <c r="B558" s="8">
        <v>40568</v>
      </c>
      <c r="C558" s="7">
        <v>1</v>
      </c>
      <c r="D558" s="7">
        <v>0</v>
      </c>
      <c r="E558" s="7">
        <v>1</v>
      </c>
      <c r="F558" s="7">
        <v>9</v>
      </c>
      <c r="G558" s="7" t="b">
        <v>0</v>
      </c>
      <c r="H558" s="7">
        <f t="shared" si="8"/>
        <v>2</v>
      </c>
      <c r="I558" s="7">
        <v>2</v>
      </c>
      <c r="J558" s="10">
        <v>0.2</v>
      </c>
      <c r="K558" s="1"/>
      <c r="L558" s="1"/>
      <c r="M558" s="1"/>
      <c r="N558" s="1"/>
      <c r="O558" s="1"/>
      <c r="P558" s="1"/>
      <c r="Q558" s="1"/>
      <c r="R558" s="1"/>
      <c r="S558" s="1"/>
      <c r="T558" s="1"/>
      <c r="U558" s="1"/>
      <c r="V558" s="1"/>
      <c r="W558" s="1"/>
      <c r="X558" s="1"/>
      <c r="Y558" s="1"/>
    </row>
    <row r="559" spans="1:25" ht="15" thickBot="1" x14ac:dyDescent="0.35">
      <c r="A559" s="9">
        <v>558</v>
      </c>
      <c r="B559" s="8">
        <v>40568</v>
      </c>
      <c r="C559" s="7">
        <v>1</v>
      </c>
      <c r="D559" s="7">
        <v>0</v>
      </c>
      <c r="E559" s="7">
        <v>1</v>
      </c>
      <c r="F559" s="7">
        <v>10</v>
      </c>
      <c r="G559" s="7" t="b">
        <v>0</v>
      </c>
      <c r="H559" s="7">
        <f t="shared" si="8"/>
        <v>2</v>
      </c>
      <c r="I559" s="7">
        <v>2</v>
      </c>
      <c r="J559" s="10">
        <v>0.22</v>
      </c>
      <c r="K559" s="1"/>
      <c r="L559" s="1"/>
      <c r="M559" s="1"/>
      <c r="N559" s="1"/>
      <c r="O559" s="1"/>
      <c r="P559" s="1"/>
      <c r="Q559" s="1"/>
      <c r="R559" s="1"/>
      <c r="S559" s="1"/>
      <c r="T559" s="1"/>
      <c r="U559" s="1"/>
      <c r="V559" s="1"/>
      <c r="W559" s="1"/>
      <c r="X559" s="1"/>
      <c r="Y559" s="1"/>
    </row>
    <row r="560" spans="1:25" ht="15" thickBot="1" x14ac:dyDescent="0.35">
      <c r="A560" s="9">
        <v>559</v>
      </c>
      <c r="B560" s="8">
        <v>40568</v>
      </c>
      <c r="C560" s="7">
        <v>1</v>
      </c>
      <c r="D560" s="7">
        <v>0</v>
      </c>
      <c r="E560" s="7">
        <v>1</v>
      </c>
      <c r="F560" s="7">
        <v>11</v>
      </c>
      <c r="G560" s="7" t="b">
        <v>0</v>
      </c>
      <c r="H560" s="7">
        <f t="shared" si="8"/>
        <v>2</v>
      </c>
      <c r="I560" s="7">
        <v>2</v>
      </c>
      <c r="J560" s="10">
        <v>0.24</v>
      </c>
      <c r="K560" s="1"/>
      <c r="L560" s="1"/>
      <c r="M560" s="1"/>
      <c r="N560" s="1"/>
      <c r="O560" s="1"/>
      <c r="P560" s="1"/>
      <c r="Q560" s="1"/>
      <c r="R560" s="1"/>
      <c r="S560" s="1"/>
      <c r="T560" s="1"/>
      <c r="U560" s="1"/>
      <c r="V560" s="1"/>
      <c r="W560" s="1"/>
      <c r="X560" s="1"/>
      <c r="Y560" s="1"/>
    </row>
    <row r="561" spans="1:25" ht="15" thickBot="1" x14ac:dyDescent="0.35">
      <c r="A561" s="9">
        <v>560</v>
      </c>
      <c r="B561" s="8">
        <v>40568</v>
      </c>
      <c r="C561" s="7">
        <v>1</v>
      </c>
      <c r="D561" s="7">
        <v>0</v>
      </c>
      <c r="E561" s="7">
        <v>1</v>
      </c>
      <c r="F561" s="7">
        <v>12</v>
      </c>
      <c r="G561" s="7" t="b">
        <v>0</v>
      </c>
      <c r="H561" s="7">
        <f t="shared" si="8"/>
        <v>2</v>
      </c>
      <c r="I561" s="7">
        <v>2</v>
      </c>
      <c r="J561" s="10">
        <v>0.26</v>
      </c>
      <c r="K561" s="1"/>
      <c r="L561" s="1"/>
      <c r="M561" s="1"/>
      <c r="N561" s="1"/>
      <c r="O561" s="1"/>
      <c r="P561" s="1"/>
      <c r="Q561" s="1"/>
      <c r="R561" s="1"/>
      <c r="S561" s="1"/>
      <c r="T561" s="1"/>
      <c r="U561" s="1"/>
      <c r="V561" s="1"/>
      <c r="W561" s="1"/>
      <c r="X561" s="1"/>
      <c r="Y561" s="1"/>
    </row>
    <row r="562" spans="1:25" ht="15" thickBot="1" x14ac:dyDescent="0.35">
      <c r="A562" s="9">
        <v>561</v>
      </c>
      <c r="B562" s="8">
        <v>40568</v>
      </c>
      <c r="C562" s="7">
        <v>1</v>
      </c>
      <c r="D562" s="7">
        <v>0</v>
      </c>
      <c r="E562" s="7">
        <v>1</v>
      </c>
      <c r="F562" s="7">
        <v>13</v>
      </c>
      <c r="G562" s="7" t="b">
        <v>0</v>
      </c>
      <c r="H562" s="7">
        <f t="shared" si="8"/>
        <v>2</v>
      </c>
      <c r="I562" s="7">
        <v>2</v>
      </c>
      <c r="J562" s="10">
        <v>0.26</v>
      </c>
      <c r="K562" s="1"/>
      <c r="L562" s="1"/>
      <c r="M562" s="1"/>
      <c r="N562" s="1"/>
      <c r="O562" s="1"/>
      <c r="P562" s="1"/>
      <c r="Q562" s="1"/>
      <c r="R562" s="1"/>
      <c r="S562" s="1"/>
      <c r="T562" s="1"/>
      <c r="U562" s="1"/>
      <c r="V562" s="1"/>
      <c r="W562" s="1"/>
      <c r="X562" s="1"/>
      <c r="Y562" s="1"/>
    </row>
    <row r="563" spans="1:25" ht="15" thickBot="1" x14ac:dyDescent="0.35">
      <c r="A563" s="9">
        <v>562</v>
      </c>
      <c r="B563" s="8">
        <v>40568</v>
      </c>
      <c r="C563" s="7">
        <v>1</v>
      </c>
      <c r="D563" s="7">
        <v>0</v>
      </c>
      <c r="E563" s="7">
        <v>1</v>
      </c>
      <c r="F563" s="7">
        <v>14</v>
      </c>
      <c r="G563" s="7" t="b">
        <v>0</v>
      </c>
      <c r="H563" s="7">
        <f t="shared" si="8"/>
        <v>2</v>
      </c>
      <c r="I563" s="7">
        <v>2</v>
      </c>
      <c r="J563" s="10">
        <v>0.3</v>
      </c>
      <c r="K563" s="1"/>
      <c r="L563" s="1"/>
      <c r="M563" s="1"/>
      <c r="N563" s="1"/>
      <c r="O563" s="1"/>
      <c r="P563" s="1"/>
      <c r="Q563" s="1"/>
      <c r="R563" s="1"/>
      <c r="S563" s="1"/>
      <c r="T563" s="1"/>
      <c r="U563" s="1"/>
      <c r="V563" s="1"/>
      <c r="W563" s="1"/>
      <c r="X563" s="1"/>
      <c r="Y563" s="1"/>
    </row>
    <row r="564" spans="1:25" ht="15" thickBot="1" x14ac:dyDescent="0.35">
      <c r="A564" s="9">
        <v>563</v>
      </c>
      <c r="B564" s="8">
        <v>40568</v>
      </c>
      <c r="C564" s="7">
        <v>1</v>
      </c>
      <c r="D564" s="7">
        <v>0</v>
      </c>
      <c r="E564" s="7">
        <v>1</v>
      </c>
      <c r="F564" s="7">
        <v>15</v>
      </c>
      <c r="G564" s="7" t="b">
        <v>0</v>
      </c>
      <c r="H564" s="7">
        <f t="shared" si="8"/>
        <v>2</v>
      </c>
      <c r="I564" s="7">
        <v>2</v>
      </c>
      <c r="J564" s="10">
        <v>0.32</v>
      </c>
      <c r="K564" s="1"/>
      <c r="L564" s="1"/>
      <c r="M564" s="1"/>
      <c r="N564" s="1"/>
      <c r="O564" s="1"/>
      <c r="P564" s="1"/>
      <c r="Q564" s="1"/>
      <c r="R564" s="1"/>
      <c r="S564" s="1"/>
      <c r="T564" s="1"/>
      <c r="U564" s="1"/>
      <c r="V564" s="1"/>
      <c r="W564" s="1"/>
      <c r="X564" s="1"/>
      <c r="Y564" s="1"/>
    </row>
    <row r="565" spans="1:25" ht="15" thickBot="1" x14ac:dyDescent="0.35">
      <c r="A565" s="9">
        <v>564</v>
      </c>
      <c r="B565" s="8">
        <v>40568</v>
      </c>
      <c r="C565" s="7">
        <v>1</v>
      </c>
      <c r="D565" s="7">
        <v>0</v>
      </c>
      <c r="E565" s="7">
        <v>1</v>
      </c>
      <c r="F565" s="7">
        <v>16</v>
      </c>
      <c r="G565" s="7" t="b">
        <v>0</v>
      </c>
      <c r="H565" s="7">
        <f t="shared" si="8"/>
        <v>2</v>
      </c>
      <c r="I565" s="7">
        <v>2</v>
      </c>
      <c r="J565" s="10">
        <v>0.32</v>
      </c>
      <c r="K565" s="1"/>
      <c r="L565" s="1"/>
      <c r="M565" s="1"/>
      <c r="N565" s="1"/>
      <c r="O565" s="1"/>
      <c r="P565" s="1"/>
      <c r="Q565" s="1"/>
      <c r="R565" s="1"/>
      <c r="S565" s="1"/>
      <c r="T565" s="1"/>
      <c r="U565" s="1"/>
      <c r="V565" s="1"/>
      <c r="W565" s="1"/>
      <c r="X565" s="1"/>
      <c r="Y565" s="1"/>
    </row>
    <row r="566" spans="1:25" ht="15" thickBot="1" x14ac:dyDescent="0.35">
      <c r="A566" s="9">
        <v>565</v>
      </c>
      <c r="B566" s="8">
        <v>40568</v>
      </c>
      <c r="C566" s="7">
        <v>1</v>
      </c>
      <c r="D566" s="7">
        <v>0</v>
      </c>
      <c r="E566" s="7">
        <v>1</v>
      </c>
      <c r="F566" s="7">
        <v>17</v>
      </c>
      <c r="G566" s="7" t="b">
        <v>0</v>
      </c>
      <c r="H566" s="7">
        <f t="shared" si="8"/>
        <v>2</v>
      </c>
      <c r="I566" s="7">
        <v>1</v>
      </c>
      <c r="J566" s="10">
        <v>0.3</v>
      </c>
      <c r="K566" s="1"/>
      <c r="L566" s="1"/>
      <c r="M566" s="1"/>
      <c r="N566" s="1"/>
      <c r="O566" s="1"/>
      <c r="P566" s="1"/>
      <c r="Q566" s="1"/>
      <c r="R566" s="1"/>
      <c r="S566" s="1"/>
      <c r="T566" s="1"/>
      <c r="U566" s="1"/>
      <c r="V566" s="1"/>
      <c r="W566" s="1"/>
      <c r="X566" s="1"/>
      <c r="Y566" s="1"/>
    </row>
    <row r="567" spans="1:25" ht="15" thickBot="1" x14ac:dyDescent="0.35">
      <c r="A567" s="9">
        <v>566</v>
      </c>
      <c r="B567" s="8">
        <v>40568</v>
      </c>
      <c r="C567" s="7">
        <v>1</v>
      </c>
      <c r="D567" s="7">
        <v>0</v>
      </c>
      <c r="E567" s="7">
        <v>1</v>
      </c>
      <c r="F567" s="7">
        <v>18</v>
      </c>
      <c r="G567" s="7" t="b">
        <v>0</v>
      </c>
      <c r="H567" s="7">
        <f t="shared" si="8"/>
        <v>2</v>
      </c>
      <c r="I567" s="7">
        <v>2</v>
      </c>
      <c r="J567" s="10">
        <v>0.3</v>
      </c>
      <c r="K567" s="1"/>
      <c r="L567" s="1"/>
      <c r="M567" s="1"/>
      <c r="N567" s="1"/>
      <c r="O567" s="1"/>
      <c r="P567" s="1"/>
      <c r="Q567" s="1"/>
      <c r="R567" s="1"/>
      <c r="S567" s="1"/>
      <c r="T567" s="1"/>
      <c r="U567" s="1"/>
      <c r="V567" s="1"/>
      <c r="W567" s="1"/>
      <c r="X567" s="1"/>
      <c r="Y567" s="1"/>
    </row>
    <row r="568" spans="1:25" ht="15" thickBot="1" x14ac:dyDescent="0.35">
      <c r="A568" s="9">
        <v>567</v>
      </c>
      <c r="B568" s="8">
        <v>40568</v>
      </c>
      <c r="C568" s="7">
        <v>1</v>
      </c>
      <c r="D568" s="7">
        <v>0</v>
      </c>
      <c r="E568" s="7">
        <v>1</v>
      </c>
      <c r="F568" s="7">
        <v>19</v>
      </c>
      <c r="G568" s="7" t="b">
        <v>0</v>
      </c>
      <c r="H568" s="7">
        <f t="shared" si="8"/>
        <v>2</v>
      </c>
      <c r="I568" s="7">
        <v>2</v>
      </c>
      <c r="J568" s="10">
        <v>0.26</v>
      </c>
      <c r="K568" s="1"/>
      <c r="L568" s="1"/>
      <c r="M568" s="1"/>
      <c r="N568" s="1"/>
      <c r="O568" s="1"/>
      <c r="P568" s="1"/>
      <c r="Q568" s="1"/>
      <c r="R568" s="1"/>
      <c r="S568" s="1"/>
      <c r="T568" s="1"/>
      <c r="U568" s="1"/>
      <c r="V568" s="1"/>
      <c r="W568" s="1"/>
      <c r="X568" s="1"/>
      <c r="Y568" s="1"/>
    </row>
    <row r="569" spans="1:25" ht="15" thickBot="1" x14ac:dyDescent="0.35">
      <c r="A569" s="9">
        <v>568</v>
      </c>
      <c r="B569" s="8">
        <v>40568</v>
      </c>
      <c r="C569" s="7">
        <v>1</v>
      </c>
      <c r="D569" s="7">
        <v>0</v>
      </c>
      <c r="E569" s="7">
        <v>1</v>
      </c>
      <c r="F569" s="7">
        <v>20</v>
      </c>
      <c r="G569" s="7" t="b">
        <v>0</v>
      </c>
      <c r="H569" s="7">
        <f t="shared" si="8"/>
        <v>2</v>
      </c>
      <c r="I569" s="7">
        <v>1</v>
      </c>
      <c r="J569" s="10">
        <v>0.24</v>
      </c>
      <c r="K569" s="1"/>
      <c r="L569" s="1"/>
      <c r="M569" s="1"/>
      <c r="N569" s="1"/>
      <c r="O569" s="1"/>
      <c r="P569" s="1"/>
      <c r="Q569" s="1"/>
      <c r="R569" s="1"/>
      <c r="S569" s="1"/>
      <c r="T569" s="1"/>
      <c r="U569" s="1"/>
      <c r="V569" s="1"/>
      <c r="W569" s="1"/>
      <c r="X569" s="1"/>
      <c r="Y569" s="1"/>
    </row>
    <row r="570" spans="1:25" ht="15" thickBot="1" x14ac:dyDescent="0.35">
      <c r="A570" s="9">
        <v>569</v>
      </c>
      <c r="B570" s="8">
        <v>40568</v>
      </c>
      <c r="C570" s="7">
        <v>1</v>
      </c>
      <c r="D570" s="7">
        <v>0</v>
      </c>
      <c r="E570" s="7">
        <v>1</v>
      </c>
      <c r="F570" s="7">
        <v>21</v>
      </c>
      <c r="G570" s="7" t="b">
        <v>0</v>
      </c>
      <c r="H570" s="7">
        <f t="shared" si="8"/>
        <v>2</v>
      </c>
      <c r="I570" s="7">
        <v>1</v>
      </c>
      <c r="J570" s="10">
        <v>0.24</v>
      </c>
      <c r="K570" s="1"/>
      <c r="L570" s="1"/>
      <c r="M570" s="1"/>
      <c r="N570" s="1"/>
      <c r="O570" s="1"/>
      <c r="P570" s="1"/>
      <c r="Q570" s="1"/>
      <c r="R570" s="1"/>
      <c r="S570" s="1"/>
      <c r="T570" s="1"/>
      <c r="U570" s="1"/>
      <c r="V570" s="1"/>
      <c r="W570" s="1"/>
      <c r="X570" s="1"/>
      <c r="Y570" s="1"/>
    </row>
    <row r="571" spans="1:25" ht="15" thickBot="1" x14ac:dyDescent="0.35">
      <c r="A571" s="9">
        <v>570</v>
      </c>
      <c r="B571" s="8">
        <v>40568</v>
      </c>
      <c r="C571" s="7">
        <v>1</v>
      </c>
      <c r="D571" s="7">
        <v>0</v>
      </c>
      <c r="E571" s="7">
        <v>1</v>
      </c>
      <c r="F571" s="7">
        <v>22</v>
      </c>
      <c r="G571" s="7" t="b">
        <v>0</v>
      </c>
      <c r="H571" s="7">
        <f t="shared" si="8"/>
        <v>2</v>
      </c>
      <c r="I571" s="7">
        <v>1</v>
      </c>
      <c r="J571" s="10">
        <v>0.22</v>
      </c>
      <c r="K571" s="1"/>
      <c r="L571" s="1"/>
      <c r="M571" s="1"/>
      <c r="N571" s="1"/>
      <c r="O571" s="1"/>
      <c r="P571" s="1"/>
      <c r="Q571" s="1"/>
      <c r="R571" s="1"/>
      <c r="S571" s="1"/>
      <c r="T571" s="1"/>
      <c r="U571" s="1"/>
      <c r="V571" s="1"/>
      <c r="W571" s="1"/>
      <c r="X571" s="1"/>
      <c r="Y571" s="1"/>
    </row>
    <row r="572" spans="1:25" ht="15" thickBot="1" x14ac:dyDescent="0.35">
      <c r="A572" s="9">
        <v>571</v>
      </c>
      <c r="B572" s="8">
        <v>40568</v>
      </c>
      <c r="C572" s="7">
        <v>1</v>
      </c>
      <c r="D572" s="7">
        <v>0</v>
      </c>
      <c r="E572" s="7">
        <v>1</v>
      </c>
      <c r="F572" s="7">
        <v>23</v>
      </c>
      <c r="G572" s="7" t="b">
        <v>0</v>
      </c>
      <c r="H572" s="7">
        <f t="shared" si="8"/>
        <v>2</v>
      </c>
      <c r="I572" s="7">
        <v>2</v>
      </c>
      <c r="J572" s="10">
        <v>0.22</v>
      </c>
      <c r="K572" s="1"/>
      <c r="L572" s="1"/>
      <c r="M572" s="1"/>
      <c r="N572" s="1"/>
      <c r="O572" s="1"/>
      <c r="P572" s="1"/>
      <c r="Q572" s="1"/>
      <c r="R572" s="1"/>
      <c r="S572" s="1"/>
      <c r="T572" s="1"/>
      <c r="U572" s="1"/>
      <c r="V572" s="1"/>
      <c r="W572" s="1"/>
      <c r="X572" s="1"/>
      <c r="Y572" s="1"/>
    </row>
    <row r="573" spans="1:25" ht="15" thickBot="1" x14ac:dyDescent="0.35">
      <c r="A573" s="9">
        <v>572</v>
      </c>
      <c r="B573" s="8">
        <v>40569</v>
      </c>
      <c r="C573" s="7">
        <v>1</v>
      </c>
      <c r="D573" s="7">
        <v>0</v>
      </c>
      <c r="E573" s="7">
        <v>1</v>
      </c>
      <c r="F573" s="7">
        <v>0</v>
      </c>
      <c r="G573" s="7" t="b">
        <v>0</v>
      </c>
      <c r="H573" s="7">
        <f t="shared" si="8"/>
        <v>3</v>
      </c>
      <c r="I573" s="7">
        <v>2</v>
      </c>
      <c r="J573" s="10">
        <v>0.22</v>
      </c>
      <c r="K573" s="1"/>
      <c r="L573" s="1"/>
      <c r="M573" s="1"/>
      <c r="N573" s="1"/>
      <c r="O573" s="1"/>
      <c r="P573" s="1"/>
      <c r="Q573" s="1"/>
      <c r="R573" s="1"/>
      <c r="S573" s="1"/>
      <c r="T573" s="1"/>
      <c r="U573" s="1"/>
      <c r="V573" s="1"/>
      <c r="W573" s="1"/>
      <c r="X573" s="1"/>
      <c r="Y573" s="1"/>
    </row>
    <row r="574" spans="1:25" ht="15" thickBot="1" x14ac:dyDescent="0.35">
      <c r="A574" s="9">
        <v>573</v>
      </c>
      <c r="B574" s="8">
        <v>40569</v>
      </c>
      <c r="C574" s="7">
        <v>1</v>
      </c>
      <c r="D574" s="7">
        <v>0</v>
      </c>
      <c r="E574" s="7">
        <v>1</v>
      </c>
      <c r="F574" s="7">
        <v>1</v>
      </c>
      <c r="G574" s="7" t="b">
        <v>0</v>
      </c>
      <c r="H574" s="7">
        <f t="shared" si="8"/>
        <v>3</v>
      </c>
      <c r="I574" s="7">
        <v>2</v>
      </c>
      <c r="J574" s="10">
        <v>0.24</v>
      </c>
      <c r="K574" s="1"/>
      <c r="L574" s="1"/>
      <c r="M574" s="1"/>
      <c r="N574" s="1"/>
      <c r="O574" s="1"/>
      <c r="P574" s="1"/>
      <c r="Q574" s="1"/>
      <c r="R574" s="1"/>
      <c r="S574" s="1"/>
      <c r="T574" s="1"/>
      <c r="U574" s="1"/>
      <c r="V574" s="1"/>
      <c r="W574" s="1"/>
      <c r="X574" s="1"/>
      <c r="Y574" s="1"/>
    </row>
    <row r="575" spans="1:25" ht="15" thickBot="1" x14ac:dyDescent="0.35">
      <c r="A575" s="9">
        <v>574</v>
      </c>
      <c r="B575" s="8">
        <v>40569</v>
      </c>
      <c r="C575" s="7">
        <v>1</v>
      </c>
      <c r="D575" s="7">
        <v>0</v>
      </c>
      <c r="E575" s="7">
        <v>1</v>
      </c>
      <c r="F575" s="7">
        <v>2</v>
      </c>
      <c r="G575" s="7" t="b">
        <v>0</v>
      </c>
      <c r="H575" s="7">
        <f t="shared" si="8"/>
        <v>3</v>
      </c>
      <c r="I575" s="7">
        <v>3</v>
      </c>
      <c r="J575" s="10">
        <v>0.22</v>
      </c>
      <c r="K575" s="1"/>
      <c r="L575" s="1"/>
      <c r="M575" s="1"/>
      <c r="N575" s="1"/>
      <c r="O575" s="1"/>
      <c r="P575" s="1"/>
      <c r="Q575" s="1"/>
      <c r="R575" s="1"/>
      <c r="S575" s="1"/>
      <c r="T575" s="1"/>
      <c r="U575" s="1"/>
      <c r="V575" s="1"/>
      <c r="W575" s="1"/>
      <c r="X575" s="1"/>
      <c r="Y575" s="1"/>
    </row>
    <row r="576" spans="1:25" ht="15" thickBot="1" x14ac:dyDescent="0.35">
      <c r="A576" s="9">
        <v>575</v>
      </c>
      <c r="B576" s="8">
        <v>40569</v>
      </c>
      <c r="C576" s="7">
        <v>1</v>
      </c>
      <c r="D576" s="7">
        <v>0</v>
      </c>
      <c r="E576" s="7">
        <v>1</v>
      </c>
      <c r="F576" s="7">
        <v>5</v>
      </c>
      <c r="G576" s="7" t="b">
        <v>0</v>
      </c>
      <c r="H576" s="7">
        <f t="shared" si="8"/>
        <v>3</v>
      </c>
      <c r="I576" s="7">
        <v>3</v>
      </c>
      <c r="J576" s="10">
        <v>0.2</v>
      </c>
      <c r="K576" s="1"/>
      <c r="L576" s="1"/>
      <c r="M576" s="1"/>
      <c r="N576" s="1"/>
      <c r="O576" s="1"/>
      <c r="P576" s="1"/>
      <c r="Q576" s="1"/>
      <c r="R576" s="1"/>
      <c r="S576" s="1"/>
      <c r="T576" s="1"/>
      <c r="U576" s="1"/>
      <c r="V576" s="1"/>
      <c r="W576" s="1"/>
      <c r="X576" s="1"/>
      <c r="Y576" s="1"/>
    </row>
    <row r="577" spans="1:25" ht="15" thickBot="1" x14ac:dyDescent="0.35">
      <c r="A577" s="9">
        <v>576</v>
      </c>
      <c r="B577" s="8">
        <v>40569</v>
      </c>
      <c r="C577" s="7">
        <v>1</v>
      </c>
      <c r="D577" s="7">
        <v>0</v>
      </c>
      <c r="E577" s="7">
        <v>1</v>
      </c>
      <c r="F577" s="7">
        <v>6</v>
      </c>
      <c r="G577" s="7" t="b">
        <v>0</v>
      </c>
      <c r="H577" s="7">
        <f t="shared" si="8"/>
        <v>3</v>
      </c>
      <c r="I577" s="7">
        <v>3</v>
      </c>
      <c r="J577" s="10">
        <v>0.2</v>
      </c>
      <c r="K577" s="1"/>
      <c r="L577" s="1"/>
      <c r="M577" s="1"/>
      <c r="N577" s="1"/>
      <c r="O577" s="1"/>
      <c r="P577" s="1"/>
      <c r="Q577" s="1"/>
      <c r="R577" s="1"/>
      <c r="S577" s="1"/>
      <c r="T577" s="1"/>
      <c r="U577" s="1"/>
      <c r="V577" s="1"/>
      <c r="W577" s="1"/>
      <c r="X577" s="1"/>
      <c r="Y577" s="1"/>
    </row>
    <row r="578" spans="1:25" ht="15" thickBot="1" x14ac:dyDescent="0.35">
      <c r="A578" s="9">
        <v>577</v>
      </c>
      <c r="B578" s="8">
        <v>40569</v>
      </c>
      <c r="C578" s="7">
        <v>1</v>
      </c>
      <c r="D578" s="7">
        <v>0</v>
      </c>
      <c r="E578" s="7">
        <v>1</v>
      </c>
      <c r="F578" s="7">
        <v>7</v>
      </c>
      <c r="G578" s="7" t="b">
        <v>0</v>
      </c>
      <c r="H578" s="7">
        <f t="shared" si="8"/>
        <v>3</v>
      </c>
      <c r="I578" s="7">
        <v>3</v>
      </c>
      <c r="J578" s="10">
        <v>0.22</v>
      </c>
      <c r="K578" s="1"/>
      <c r="L578" s="1"/>
      <c r="M578" s="1"/>
      <c r="N578" s="1"/>
      <c r="O578" s="1"/>
      <c r="P578" s="1"/>
      <c r="Q578" s="1"/>
      <c r="R578" s="1"/>
      <c r="S578" s="1"/>
      <c r="T578" s="1"/>
      <c r="U578" s="1"/>
      <c r="V578" s="1"/>
      <c r="W578" s="1"/>
      <c r="X578" s="1"/>
      <c r="Y578" s="1"/>
    </row>
    <row r="579" spans="1:25" ht="15" thickBot="1" x14ac:dyDescent="0.35">
      <c r="A579" s="9">
        <v>578</v>
      </c>
      <c r="B579" s="8">
        <v>40569</v>
      </c>
      <c r="C579" s="7">
        <v>1</v>
      </c>
      <c r="D579" s="7">
        <v>0</v>
      </c>
      <c r="E579" s="7">
        <v>1</v>
      </c>
      <c r="F579" s="7">
        <v>8</v>
      </c>
      <c r="G579" s="7" t="b">
        <v>0</v>
      </c>
      <c r="H579" s="7">
        <f t="shared" ref="H579:H611" si="9">WEEKDAY($B579,2)</f>
        <v>3</v>
      </c>
      <c r="I579" s="7">
        <v>3</v>
      </c>
      <c r="J579" s="10">
        <v>0.22</v>
      </c>
      <c r="K579" s="1"/>
      <c r="L579" s="1"/>
      <c r="M579" s="1"/>
      <c r="N579" s="1"/>
      <c r="O579" s="1"/>
      <c r="P579" s="1"/>
      <c r="Q579" s="1"/>
      <c r="R579" s="1"/>
      <c r="S579" s="1"/>
      <c r="T579" s="1"/>
      <c r="U579" s="1"/>
      <c r="V579" s="1"/>
      <c r="W579" s="1"/>
      <c r="X579" s="1"/>
      <c r="Y579" s="1"/>
    </row>
    <row r="580" spans="1:25" ht="15" thickBot="1" x14ac:dyDescent="0.35">
      <c r="A580" s="9">
        <v>579</v>
      </c>
      <c r="B580" s="8">
        <v>40569</v>
      </c>
      <c r="C580" s="7">
        <v>1</v>
      </c>
      <c r="D580" s="7">
        <v>0</v>
      </c>
      <c r="E580" s="7">
        <v>1</v>
      </c>
      <c r="F580" s="7">
        <v>9</v>
      </c>
      <c r="G580" s="7" t="b">
        <v>0</v>
      </c>
      <c r="H580" s="7">
        <f t="shared" si="9"/>
        <v>3</v>
      </c>
      <c r="I580" s="7">
        <v>3</v>
      </c>
      <c r="J580" s="10">
        <v>0.22</v>
      </c>
      <c r="K580" s="1"/>
      <c r="L580" s="1"/>
      <c r="M580" s="1"/>
      <c r="N580" s="1"/>
      <c r="O580" s="1"/>
      <c r="P580" s="1"/>
      <c r="Q580" s="1"/>
      <c r="R580" s="1"/>
      <c r="S580" s="1"/>
      <c r="T580" s="1"/>
      <c r="U580" s="1"/>
      <c r="V580" s="1"/>
      <c r="W580" s="1"/>
      <c r="X580" s="1"/>
      <c r="Y580" s="1"/>
    </row>
    <row r="581" spans="1:25" ht="15" thickBot="1" x14ac:dyDescent="0.35">
      <c r="A581" s="9">
        <v>580</v>
      </c>
      <c r="B581" s="8">
        <v>40569</v>
      </c>
      <c r="C581" s="7">
        <v>1</v>
      </c>
      <c r="D581" s="7">
        <v>0</v>
      </c>
      <c r="E581" s="7">
        <v>1</v>
      </c>
      <c r="F581" s="7">
        <v>10</v>
      </c>
      <c r="G581" s="7" t="b">
        <v>0</v>
      </c>
      <c r="H581" s="7">
        <f t="shared" si="9"/>
        <v>3</v>
      </c>
      <c r="I581" s="7">
        <v>3</v>
      </c>
      <c r="J581" s="10">
        <v>0.22</v>
      </c>
      <c r="K581" s="1"/>
      <c r="L581" s="1"/>
      <c r="M581" s="1"/>
      <c r="N581" s="1"/>
      <c r="O581" s="1"/>
      <c r="P581" s="1"/>
      <c r="Q581" s="1"/>
      <c r="R581" s="1"/>
      <c r="S581" s="1"/>
      <c r="T581" s="1"/>
      <c r="U581" s="1"/>
      <c r="V581" s="1"/>
      <c r="W581" s="1"/>
      <c r="X581" s="1"/>
      <c r="Y581" s="1"/>
    </row>
    <row r="582" spans="1:25" ht="15" thickBot="1" x14ac:dyDescent="0.35">
      <c r="A582" s="9">
        <v>581</v>
      </c>
      <c r="B582" s="8">
        <v>40569</v>
      </c>
      <c r="C582" s="7">
        <v>1</v>
      </c>
      <c r="D582" s="7">
        <v>0</v>
      </c>
      <c r="E582" s="7">
        <v>1</v>
      </c>
      <c r="F582" s="7">
        <v>11</v>
      </c>
      <c r="G582" s="7" t="b">
        <v>0</v>
      </c>
      <c r="H582" s="7">
        <f t="shared" si="9"/>
        <v>3</v>
      </c>
      <c r="I582" s="7">
        <v>3</v>
      </c>
      <c r="J582" s="10">
        <v>0.22</v>
      </c>
      <c r="K582" s="1"/>
      <c r="L582" s="1"/>
      <c r="M582" s="1"/>
      <c r="N582" s="1"/>
      <c r="O582" s="1"/>
      <c r="P582" s="1"/>
      <c r="Q582" s="1"/>
      <c r="R582" s="1"/>
      <c r="S582" s="1"/>
      <c r="T582" s="1"/>
      <c r="U582" s="1"/>
      <c r="V582" s="1"/>
      <c r="W582" s="1"/>
      <c r="X582" s="1"/>
      <c r="Y582" s="1"/>
    </row>
    <row r="583" spans="1:25" ht="15" thickBot="1" x14ac:dyDescent="0.35">
      <c r="A583" s="9">
        <v>582</v>
      </c>
      <c r="B583" s="8">
        <v>40569</v>
      </c>
      <c r="C583" s="7">
        <v>1</v>
      </c>
      <c r="D583" s="7">
        <v>0</v>
      </c>
      <c r="E583" s="7">
        <v>1</v>
      </c>
      <c r="F583" s="7">
        <v>12</v>
      </c>
      <c r="G583" s="7" t="b">
        <v>0</v>
      </c>
      <c r="H583" s="7">
        <f t="shared" si="9"/>
        <v>3</v>
      </c>
      <c r="I583" s="7">
        <v>3</v>
      </c>
      <c r="J583" s="10">
        <v>0.22</v>
      </c>
      <c r="K583" s="1"/>
      <c r="L583" s="1"/>
      <c r="M583" s="1"/>
      <c r="N583" s="1"/>
      <c r="O583" s="1"/>
      <c r="P583" s="1"/>
      <c r="Q583" s="1"/>
      <c r="R583" s="1"/>
      <c r="S583" s="1"/>
      <c r="T583" s="1"/>
      <c r="U583" s="1"/>
      <c r="V583" s="1"/>
      <c r="W583" s="1"/>
      <c r="X583" s="1"/>
      <c r="Y583" s="1"/>
    </row>
    <row r="584" spans="1:25" ht="15" thickBot="1" x14ac:dyDescent="0.35">
      <c r="A584" s="9">
        <v>583</v>
      </c>
      <c r="B584" s="8">
        <v>40569</v>
      </c>
      <c r="C584" s="7">
        <v>1</v>
      </c>
      <c r="D584" s="7">
        <v>0</v>
      </c>
      <c r="E584" s="7">
        <v>1</v>
      </c>
      <c r="F584" s="7">
        <v>13</v>
      </c>
      <c r="G584" s="7" t="b">
        <v>0</v>
      </c>
      <c r="H584" s="7">
        <f t="shared" si="9"/>
        <v>3</v>
      </c>
      <c r="I584" s="7">
        <v>3</v>
      </c>
      <c r="J584" s="10">
        <v>0.22</v>
      </c>
      <c r="K584" s="1"/>
      <c r="L584" s="1"/>
      <c r="M584" s="1"/>
      <c r="N584" s="1"/>
      <c r="O584" s="1"/>
      <c r="P584" s="1"/>
      <c r="Q584" s="1"/>
      <c r="R584" s="1"/>
      <c r="S584" s="1"/>
      <c r="T584" s="1"/>
      <c r="U584" s="1"/>
      <c r="V584" s="1"/>
      <c r="W584" s="1"/>
      <c r="X584" s="1"/>
      <c r="Y584" s="1"/>
    </row>
    <row r="585" spans="1:25" ht="15" thickBot="1" x14ac:dyDescent="0.35">
      <c r="A585" s="9">
        <v>584</v>
      </c>
      <c r="B585" s="8">
        <v>40569</v>
      </c>
      <c r="C585" s="7">
        <v>1</v>
      </c>
      <c r="D585" s="7">
        <v>0</v>
      </c>
      <c r="E585" s="7">
        <v>1</v>
      </c>
      <c r="F585" s="7">
        <v>14</v>
      </c>
      <c r="G585" s="7" t="b">
        <v>0</v>
      </c>
      <c r="H585" s="7">
        <f t="shared" si="9"/>
        <v>3</v>
      </c>
      <c r="I585" s="7">
        <v>3</v>
      </c>
      <c r="J585" s="10">
        <v>0.22</v>
      </c>
      <c r="K585" s="1"/>
      <c r="L585" s="1"/>
      <c r="M585" s="1"/>
      <c r="N585" s="1"/>
      <c r="O585" s="1"/>
      <c r="P585" s="1"/>
      <c r="Q585" s="1"/>
      <c r="R585" s="1"/>
      <c r="S585" s="1"/>
      <c r="T585" s="1"/>
      <c r="U585" s="1"/>
      <c r="V585" s="1"/>
      <c r="W585" s="1"/>
      <c r="X585" s="1"/>
      <c r="Y585" s="1"/>
    </row>
    <row r="586" spans="1:25" ht="15" thickBot="1" x14ac:dyDescent="0.35">
      <c r="A586" s="9">
        <v>585</v>
      </c>
      <c r="B586" s="8">
        <v>40569</v>
      </c>
      <c r="C586" s="7">
        <v>1</v>
      </c>
      <c r="D586" s="7">
        <v>0</v>
      </c>
      <c r="E586" s="7">
        <v>1</v>
      </c>
      <c r="F586" s="7">
        <v>15</v>
      </c>
      <c r="G586" s="7" t="b">
        <v>0</v>
      </c>
      <c r="H586" s="7">
        <f t="shared" si="9"/>
        <v>3</v>
      </c>
      <c r="I586" s="7">
        <v>3</v>
      </c>
      <c r="J586" s="10">
        <v>0.22</v>
      </c>
      <c r="K586" s="1"/>
      <c r="L586" s="1"/>
      <c r="M586" s="1"/>
      <c r="N586" s="1"/>
      <c r="O586" s="1"/>
      <c r="P586" s="1"/>
      <c r="Q586" s="1"/>
      <c r="R586" s="1"/>
      <c r="S586" s="1"/>
      <c r="T586" s="1"/>
      <c r="U586" s="1"/>
      <c r="V586" s="1"/>
      <c r="W586" s="1"/>
      <c r="X586" s="1"/>
      <c r="Y586" s="1"/>
    </row>
    <row r="587" spans="1:25" ht="15" thickBot="1" x14ac:dyDescent="0.35">
      <c r="A587" s="9">
        <v>586</v>
      </c>
      <c r="B587" s="8">
        <v>40569</v>
      </c>
      <c r="C587" s="7">
        <v>1</v>
      </c>
      <c r="D587" s="7">
        <v>0</v>
      </c>
      <c r="E587" s="7">
        <v>1</v>
      </c>
      <c r="F587" s="7">
        <v>16</v>
      </c>
      <c r="G587" s="7" t="b">
        <v>0</v>
      </c>
      <c r="H587" s="7">
        <f t="shared" si="9"/>
        <v>3</v>
      </c>
      <c r="I587" s="7">
        <v>4</v>
      </c>
      <c r="J587" s="10">
        <v>0.22</v>
      </c>
      <c r="K587" s="1"/>
      <c r="L587" s="1"/>
      <c r="M587" s="1"/>
      <c r="N587" s="1"/>
      <c r="O587" s="1"/>
      <c r="P587" s="1"/>
      <c r="Q587" s="1"/>
      <c r="R587" s="1"/>
      <c r="S587" s="1"/>
      <c r="T587" s="1"/>
      <c r="U587" s="1"/>
      <c r="V587" s="1"/>
      <c r="W587" s="1"/>
      <c r="X587" s="1"/>
      <c r="Y587" s="1"/>
    </row>
    <row r="588" spans="1:25" ht="15" thickBot="1" x14ac:dyDescent="0.35">
      <c r="A588" s="9">
        <v>587</v>
      </c>
      <c r="B588" s="8">
        <v>40569</v>
      </c>
      <c r="C588" s="7">
        <v>1</v>
      </c>
      <c r="D588" s="7">
        <v>0</v>
      </c>
      <c r="E588" s="7">
        <v>1</v>
      </c>
      <c r="F588" s="7">
        <v>17</v>
      </c>
      <c r="G588" s="7" t="b">
        <v>0</v>
      </c>
      <c r="H588" s="7">
        <f t="shared" si="9"/>
        <v>3</v>
      </c>
      <c r="I588" s="7">
        <v>3</v>
      </c>
      <c r="J588" s="10">
        <v>0.2</v>
      </c>
      <c r="K588" s="1"/>
      <c r="L588" s="1"/>
      <c r="M588" s="1"/>
      <c r="N588" s="1"/>
      <c r="O588" s="1"/>
      <c r="P588" s="1"/>
      <c r="Q588" s="1"/>
      <c r="R588" s="1"/>
      <c r="S588" s="1"/>
      <c r="T588" s="1"/>
      <c r="U588" s="1"/>
      <c r="V588" s="1"/>
      <c r="W588" s="1"/>
      <c r="X588" s="1"/>
      <c r="Y588" s="1"/>
    </row>
    <row r="589" spans="1:25" ht="15" thickBot="1" x14ac:dyDescent="0.35">
      <c r="A589" s="9">
        <v>588</v>
      </c>
      <c r="B589" s="8">
        <v>40569</v>
      </c>
      <c r="C589" s="7">
        <v>1</v>
      </c>
      <c r="D589" s="7">
        <v>0</v>
      </c>
      <c r="E589" s="7">
        <v>1</v>
      </c>
      <c r="F589" s="7">
        <v>16</v>
      </c>
      <c r="G589" s="7" t="b">
        <v>0</v>
      </c>
      <c r="H589" s="7">
        <f t="shared" si="9"/>
        <v>3</v>
      </c>
      <c r="I589" s="7">
        <v>1</v>
      </c>
      <c r="J589" s="10">
        <v>0.22</v>
      </c>
      <c r="K589" s="1"/>
      <c r="L589" s="1"/>
      <c r="M589" s="1"/>
      <c r="N589" s="1"/>
      <c r="O589" s="1"/>
      <c r="P589" s="1"/>
      <c r="Q589" s="1"/>
      <c r="R589" s="1"/>
      <c r="S589" s="1"/>
      <c r="T589" s="1"/>
      <c r="U589" s="1"/>
      <c r="V589" s="1"/>
      <c r="W589" s="1"/>
      <c r="X589" s="1"/>
      <c r="Y589" s="1"/>
    </row>
    <row r="590" spans="1:25" ht="15" thickBot="1" x14ac:dyDescent="0.35">
      <c r="A590" s="9">
        <v>589</v>
      </c>
      <c r="B590" s="8">
        <v>40569</v>
      </c>
      <c r="C590" s="7">
        <v>1</v>
      </c>
      <c r="D590" s="7">
        <v>0</v>
      </c>
      <c r="E590" s="7">
        <v>1</v>
      </c>
      <c r="F590" s="7">
        <v>17</v>
      </c>
      <c r="G590" s="7" t="b">
        <v>0</v>
      </c>
      <c r="H590" s="7">
        <f t="shared" si="9"/>
        <v>3</v>
      </c>
      <c r="I590" s="7">
        <v>1</v>
      </c>
      <c r="J590" s="10">
        <v>0.22</v>
      </c>
      <c r="K590" s="1"/>
      <c r="L590" s="1"/>
      <c r="M590" s="1"/>
      <c r="N590" s="1"/>
      <c r="O590" s="1"/>
      <c r="P590" s="1"/>
      <c r="Q590" s="1"/>
      <c r="R590" s="1"/>
      <c r="S590" s="1"/>
      <c r="T590" s="1"/>
      <c r="U590" s="1"/>
      <c r="V590" s="1"/>
      <c r="W590" s="1"/>
      <c r="X590" s="1"/>
      <c r="Y590" s="1"/>
    </row>
    <row r="591" spans="1:25" ht="15" thickBot="1" x14ac:dyDescent="0.35">
      <c r="A591" s="9">
        <v>590</v>
      </c>
      <c r="B591" s="8">
        <v>40569</v>
      </c>
      <c r="C591" s="7">
        <v>1</v>
      </c>
      <c r="D591" s="7">
        <v>0</v>
      </c>
      <c r="E591" s="7">
        <v>1</v>
      </c>
      <c r="F591" s="7">
        <v>18</v>
      </c>
      <c r="G591" s="7" t="b">
        <v>0</v>
      </c>
      <c r="H591" s="7">
        <f t="shared" si="9"/>
        <v>3</v>
      </c>
      <c r="I591" s="7">
        <v>1</v>
      </c>
      <c r="J591" s="10">
        <v>0.2</v>
      </c>
      <c r="K591" s="1"/>
      <c r="L591" s="1"/>
      <c r="M591" s="1"/>
      <c r="N591" s="1"/>
      <c r="O591" s="1"/>
      <c r="P591" s="1"/>
      <c r="Q591" s="1"/>
      <c r="R591" s="1"/>
      <c r="S591" s="1"/>
      <c r="T591" s="1"/>
      <c r="U591" s="1"/>
      <c r="V591" s="1"/>
      <c r="W591" s="1"/>
      <c r="X591" s="1"/>
      <c r="Y591" s="1"/>
    </row>
    <row r="592" spans="1:25" ht="15" thickBot="1" x14ac:dyDescent="0.35">
      <c r="A592" s="9">
        <v>591</v>
      </c>
      <c r="B592" s="8">
        <v>40569</v>
      </c>
      <c r="C592" s="7">
        <v>1</v>
      </c>
      <c r="D592" s="7">
        <v>0</v>
      </c>
      <c r="E592" s="7">
        <v>1</v>
      </c>
      <c r="F592" s="7">
        <v>19</v>
      </c>
      <c r="G592" s="7" t="b">
        <v>0</v>
      </c>
      <c r="H592" s="7">
        <f t="shared" si="9"/>
        <v>3</v>
      </c>
      <c r="I592" s="7">
        <v>1</v>
      </c>
      <c r="J592" s="10">
        <v>0.2</v>
      </c>
      <c r="K592" s="1"/>
      <c r="L592" s="1"/>
      <c r="M592" s="1"/>
      <c r="N592" s="1"/>
      <c r="O592" s="1"/>
      <c r="P592" s="1"/>
      <c r="Q592" s="1"/>
      <c r="R592" s="1"/>
      <c r="S592" s="1"/>
      <c r="T592" s="1"/>
      <c r="U592" s="1"/>
      <c r="V592" s="1"/>
      <c r="W592" s="1"/>
      <c r="X592" s="1"/>
      <c r="Y592" s="1"/>
    </row>
    <row r="593" spans="1:25" ht="15" thickBot="1" x14ac:dyDescent="0.35">
      <c r="A593" s="9">
        <v>592</v>
      </c>
      <c r="B593" s="8">
        <v>40569</v>
      </c>
      <c r="C593" s="7">
        <v>1</v>
      </c>
      <c r="D593" s="7">
        <v>0</v>
      </c>
      <c r="E593" s="7">
        <v>1</v>
      </c>
      <c r="F593" s="7">
        <v>20</v>
      </c>
      <c r="G593" s="7" t="b">
        <v>0</v>
      </c>
      <c r="H593" s="7">
        <f t="shared" si="9"/>
        <v>3</v>
      </c>
      <c r="I593" s="7">
        <v>1</v>
      </c>
      <c r="J593" s="10">
        <v>0.18</v>
      </c>
      <c r="K593" s="1"/>
      <c r="L593" s="1"/>
      <c r="M593" s="1"/>
      <c r="N593" s="1"/>
      <c r="O593" s="1"/>
      <c r="P593" s="1"/>
      <c r="Q593" s="1"/>
      <c r="R593" s="1"/>
      <c r="S593" s="1"/>
      <c r="T593" s="1"/>
      <c r="U593" s="1"/>
      <c r="V593" s="1"/>
      <c r="W593" s="1"/>
      <c r="X593" s="1"/>
      <c r="Y593" s="1"/>
    </row>
    <row r="594" spans="1:25" ht="15" thickBot="1" x14ac:dyDescent="0.35">
      <c r="A594" s="9">
        <v>593</v>
      </c>
      <c r="B594" s="8">
        <v>40569</v>
      </c>
      <c r="C594" s="7">
        <v>1</v>
      </c>
      <c r="D594" s="7">
        <v>0</v>
      </c>
      <c r="E594" s="7">
        <v>1</v>
      </c>
      <c r="F594" s="7">
        <v>21</v>
      </c>
      <c r="G594" s="7" t="b">
        <v>0</v>
      </c>
      <c r="H594" s="7">
        <f t="shared" si="9"/>
        <v>3</v>
      </c>
      <c r="I594" s="7">
        <v>1</v>
      </c>
      <c r="J594" s="10">
        <v>0.18</v>
      </c>
      <c r="K594" s="1"/>
      <c r="L594" s="1"/>
      <c r="M594" s="1"/>
      <c r="N594" s="1"/>
      <c r="O594" s="1"/>
      <c r="P594" s="1"/>
      <c r="Q594" s="1"/>
      <c r="R594" s="1"/>
      <c r="S594" s="1"/>
      <c r="T594" s="1"/>
      <c r="U594" s="1"/>
      <c r="V594" s="1"/>
      <c r="W594" s="1"/>
      <c r="X594" s="1"/>
      <c r="Y594" s="1"/>
    </row>
    <row r="595" spans="1:25" ht="15" thickBot="1" x14ac:dyDescent="0.35">
      <c r="A595" s="9">
        <v>594</v>
      </c>
      <c r="B595" s="8">
        <v>40569</v>
      </c>
      <c r="C595" s="7">
        <v>1</v>
      </c>
      <c r="D595" s="7">
        <v>0</v>
      </c>
      <c r="E595" s="7">
        <v>1</v>
      </c>
      <c r="F595" s="7">
        <v>22</v>
      </c>
      <c r="G595" s="7" t="b">
        <v>0</v>
      </c>
      <c r="H595" s="7">
        <f t="shared" si="9"/>
        <v>3</v>
      </c>
      <c r="I595" s="7">
        <v>1</v>
      </c>
      <c r="J595" s="10">
        <v>0.18</v>
      </c>
      <c r="K595" s="1"/>
      <c r="L595" s="1"/>
      <c r="M595" s="1"/>
      <c r="N595" s="1"/>
      <c r="O595" s="1"/>
      <c r="P595" s="1"/>
      <c r="Q595" s="1"/>
      <c r="R595" s="1"/>
      <c r="S595" s="1"/>
      <c r="T595" s="1"/>
      <c r="U595" s="1"/>
      <c r="V595" s="1"/>
      <c r="W595" s="1"/>
      <c r="X595" s="1"/>
      <c r="Y595" s="1"/>
    </row>
    <row r="596" spans="1:25" ht="15" thickBot="1" x14ac:dyDescent="0.35">
      <c r="A596" s="9">
        <v>595</v>
      </c>
      <c r="B596" s="8">
        <v>40569</v>
      </c>
      <c r="C596" s="7">
        <v>1</v>
      </c>
      <c r="D596" s="7">
        <v>0</v>
      </c>
      <c r="E596" s="7">
        <v>1</v>
      </c>
      <c r="F596" s="7">
        <v>23</v>
      </c>
      <c r="G596" s="7" t="b">
        <v>0</v>
      </c>
      <c r="H596" s="7">
        <f t="shared" si="9"/>
        <v>3</v>
      </c>
      <c r="I596" s="7">
        <v>1</v>
      </c>
      <c r="J596" s="10">
        <v>0.18</v>
      </c>
      <c r="K596" s="1"/>
      <c r="L596" s="1"/>
      <c r="M596" s="1"/>
      <c r="N596" s="1"/>
      <c r="O596" s="1"/>
      <c r="P596" s="1"/>
      <c r="Q596" s="1"/>
      <c r="R596" s="1"/>
      <c r="S596" s="1"/>
      <c r="T596" s="1"/>
      <c r="U596" s="1"/>
      <c r="V596" s="1"/>
      <c r="W596" s="1"/>
      <c r="X596" s="1"/>
      <c r="Y596" s="1"/>
    </row>
    <row r="597" spans="1:25" ht="15" thickBot="1" x14ac:dyDescent="0.35">
      <c r="A597" s="9">
        <v>596</v>
      </c>
      <c r="B597" s="8">
        <v>40570</v>
      </c>
      <c r="C597" s="7">
        <v>1</v>
      </c>
      <c r="D597" s="7">
        <v>0</v>
      </c>
      <c r="E597" s="7">
        <v>1</v>
      </c>
      <c r="F597" s="7">
        <v>0</v>
      </c>
      <c r="G597" s="7" t="b">
        <v>0</v>
      </c>
      <c r="H597" s="7">
        <f t="shared" si="9"/>
        <v>4</v>
      </c>
      <c r="I597" s="7">
        <v>2</v>
      </c>
      <c r="J597" s="10">
        <v>0.2</v>
      </c>
      <c r="K597" s="1"/>
      <c r="L597" s="1"/>
      <c r="M597" s="1"/>
      <c r="N597" s="1"/>
      <c r="O597" s="1"/>
      <c r="P597" s="1"/>
      <c r="Q597" s="1"/>
      <c r="R597" s="1"/>
      <c r="S597" s="1"/>
      <c r="T597" s="1"/>
      <c r="U597" s="1"/>
      <c r="V597" s="1"/>
      <c r="W597" s="1"/>
      <c r="X597" s="1"/>
      <c r="Y597" s="1"/>
    </row>
    <row r="598" spans="1:25" ht="15" thickBot="1" x14ac:dyDescent="0.35">
      <c r="A598" s="9">
        <v>597</v>
      </c>
      <c r="B598" s="8">
        <v>40570</v>
      </c>
      <c r="C598" s="7">
        <v>1</v>
      </c>
      <c r="D598" s="7">
        <v>0</v>
      </c>
      <c r="E598" s="7">
        <v>1</v>
      </c>
      <c r="F598" s="7">
        <v>1</v>
      </c>
      <c r="G598" s="7" t="b">
        <v>0</v>
      </c>
      <c r="H598" s="7">
        <f t="shared" si="9"/>
        <v>4</v>
      </c>
      <c r="I598" s="7">
        <v>2</v>
      </c>
      <c r="J598" s="10">
        <v>0.2</v>
      </c>
      <c r="K598" s="1"/>
      <c r="L598" s="1"/>
      <c r="M598" s="1"/>
      <c r="N598" s="1"/>
      <c r="O598" s="1"/>
      <c r="P598" s="1"/>
      <c r="Q598" s="1"/>
      <c r="R598" s="1"/>
      <c r="S598" s="1"/>
      <c r="T598" s="1"/>
      <c r="U598" s="1"/>
      <c r="V598" s="1"/>
      <c r="W598" s="1"/>
      <c r="X598" s="1"/>
      <c r="Y598" s="1"/>
    </row>
    <row r="599" spans="1:25" ht="15" thickBot="1" x14ac:dyDescent="0.35">
      <c r="A599" s="9">
        <v>598</v>
      </c>
      <c r="B599" s="8">
        <v>40570</v>
      </c>
      <c r="C599" s="7">
        <v>1</v>
      </c>
      <c r="D599" s="7">
        <v>0</v>
      </c>
      <c r="E599" s="7">
        <v>1</v>
      </c>
      <c r="F599" s="7">
        <v>2</v>
      </c>
      <c r="G599" s="7" t="b">
        <v>0</v>
      </c>
      <c r="H599" s="7">
        <f t="shared" si="9"/>
        <v>4</v>
      </c>
      <c r="I599" s="7">
        <v>2</v>
      </c>
      <c r="J599" s="10">
        <v>0.2</v>
      </c>
      <c r="K599" s="1"/>
      <c r="L599" s="1"/>
      <c r="M599" s="1"/>
      <c r="N599" s="1"/>
      <c r="O599" s="1"/>
      <c r="P599" s="1"/>
      <c r="Q599" s="1"/>
      <c r="R599" s="1"/>
      <c r="S599" s="1"/>
      <c r="T599" s="1"/>
      <c r="U599" s="1"/>
      <c r="V599" s="1"/>
      <c r="W599" s="1"/>
      <c r="X599" s="1"/>
      <c r="Y599" s="1"/>
    </row>
    <row r="600" spans="1:25" ht="15" thickBot="1" x14ac:dyDescent="0.35">
      <c r="A600" s="9">
        <v>599</v>
      </c>
      <c r="B600" s="8">
        <v>40570</v>
      </c>
      <c r="C600" s="7">
        <v>1</v>
      </c>
      <c r="D600" s="7">
        <v>0</v>
      </c>
      <c r="E600" s="7">
        <v>1</v>
      </c>
      <c r="F600" s="7">
        <v>3</v>
      </c>
      <c r="G600" s="7" t="b">
        <v>0</v>
      </c>
      <c r="H600" s="7">
        <f t="shared" si="9"/>
        <v>4</v>
      </c>
      <c r="I600" s="7">
        <v>2</v>
      </c>
      <c r="J600" s="10">
        <v>0.2</v>
      </c>
      <c r="K600" s="1"/>
      <c r="L600" s="1"/>
      <c r="M600" s="1"/>
      <c r="N600" s="1"/>
      <c r="O600" s="1"/>
      <c r="P600" s="1"/>
      <c r="Q600" s="1"/>
      <c r="R600" s="1"/>
      <c r="S600" s="1"/>
      <c r="T600" s="1"/>
      <c r="U600" s="1"/>
      <c r="V600" s="1"/>
      <c r="W600" s="1"/>
      <c r="X600" s="1"/>
      <c r="Y600" s="1"/>
    </row>
    <row r="601" spans="1:25" ht="15" thickBot="1" x14ac:dyDescent="0.35">
      <c r="A601" s="9">
        <v>600</v>
      </c>
      <c r="B601" s="8">
        <v>40570</v>
      </c>
      <c r="C601" s="7">
        <v>1</v>
      </c>
      <c r="D601" s="7">
        <v>0</v>
      </c>
      <c r="E601" s="7">
        <v>1</v>
      </c>
      <c r="F601" s="7">
        <v>5</v>
      </c>
      <c r="G601" s="7" t="b">
        <v>0</v>
      </c>
      <c r="H601" s="7">
        <f t="shared" si="9"/>
        <v>4</v>
      </c>
      <c r="I601" s="7">
        <v>2</v>
      </c>
      <c r="J601" s="10">
        <v>0.18</v>
      </c>
      <c r="K601" s="1"/>
      <c r="L601" s="1"/>
      <c r="M601" s="1"/>
      <c r="N601" s="1"/>
      <c r="O601" s="1"/>
      <c r="P601" s="1"/>
      <c r="Q601" s="1"/>
      <c r="R601" s="1"/>
      <c r="S601" s="1"/>
      <c r="T601" s="1"/>
      <c r="U601" s="1"/>
      <c r="V601" s="1"/>
      <c r="W601" s="1"/>
      <c r="X601" s="1"/>
      <c r="Y601" s="1"/>
    </row>
    <row r="602" spans="1:25" ht="15" thickBot="1" x14ac:dyDescent="0.35">
      <c r="A602" s="9">
        <v>601</v>
      </c>
      <c r="B602" s="8">
        <v>40570</v>
      </c>
      <c r="C602" s="7">
        <v>1</v>
      </c>
      <c r="D602" s="7">
        <v>0</v>
      </c>
      <c r="E602" s="7">
        <v>1</v>
      </c>
      <c r="F602" s="7">
        <v>6</v>
      </c>
      <c r="G602" s="7" t="b">
        <v>0</v>
      </c>
      <c r="H602" s="7">
        <f t="shared" si="9"/>
        <v>4</v>
      </c>
      <c r="I602" s="7">
        <v>2</v>
      </c>
      <c r="J602" s="10">
        <v>0.18</v>
      </c>
      <c r="K602" s="1"/>
      <c r="L602" s="1"/>
      <c r="M602" s="1"/>
      <c r="N602" s="1"/>
      <c r="O602" s="1"/>
      <c r="P602" s="1"/>
      <c r="Q602" s="1"/>
      <c r="R602" s="1"/>
      <c r="S602" s="1"/>
      <c r="T602" s="1"/>
      <c r="U602" s="1"/>
      <c r="V602" s="1"/>
      <c r="W602" s="1"/>
      <c r="X602" s="1"/>
      <c r="Y602" s="1"/>
    </row>
    <row r="603" spans="1:25" ht="15" thickBot="1" x14ac:dyDescent="0.35">
      <c r="A603" s="9">
        <v>602</v>
      </c>
      <c r="B603" s="8">
        <v>40570</v>
      </c>
      <c r="C603" s="7">
        <v>1</v>
      </c>
      <c r="D603" s="7">
        <v>0</v>
      </c>
      <c r="E603" s="7">
        <v>1</v>
      </c>
      <c r="F603" s="7">
        <v>7</v>
      </c>
      <c r="G603" s="7" t="b">
        <v>0</v>
      </c>
      <c r="H603" s="7">
        <f t="shared" si="9"/>
        <v>4</v>
      </c>
      <c r="I603" s="7">
        <v>2</v>
      </c>
      <c r="J603" s="10">
        <v>0.16</v>
      </c>
      <c r="K603" s="1"/>
      <c r="L603" s="1"/>
      <c r="M603" s="1"/>
      <c r="N603" s="1"/>
      <c r="O603" s="1"/>
      <c r="P603" s="1"/>
      <c r="Q603" s="1"/>
      <c r="R603" s="1"/>
      <c r="S603" s="1"/>
      <c r="T603" s="1"/>
      <c r="U603" s="1"/>
      <c r="V603" s="1"/>
      <c r="W603" s="1"/>
      <c r="X603" s="1"/>
      <c r="Y603" s="1"/>
    </row>
    <row r="604" spans="1:25" ht="15" thickBot="1" x14ac:dyDescent="0.35">
      <c r="A604" s="9">
        <v>603</v>
      </c>
      <c r="B604" s="8">
        <v>40570</v>
      </c>
      <c r="C604" s="7">
        <v>1</v>
      </c>
      <c r="D604" s="7">
        <v>0</v>
      </c>
      <c r="E604" s="7">
        <v>1</v>
      </c>
      <c r="F604" s="7">
        <v>8</v>
      </c>
      <c r="G604" s="7" t="b">
        <v>0</v>
      </c>
      <c r="H604" s="7">
        <f t="shared" si="9"/>
        <v>4</v>
      </c>
      <c r="I604" s="7">
        <v>2</v>
      </c>
      <c r="J604" s="10">
        <v>0.16</v>
      </c>
      <c r="K604" s="1"/>
      <c r="L604" s="1"/>
      <c r="M604" s="1"/>
      <c r="N604" s="1"/>
      <c r="O604" s="1"/>
      <c r="P604" s="1"/>
      <c r="Q604" s="1"/>
      <c r="R604" s="1"/>
      <c r="S604" s="1"/>
      <c r="T604" s="1"/>
      <c r="U604" s="1"/>
      <c r="V604" s="1"/>
      <c r="W604" s="1"/>
      <c r="X604" s="1"/>
      <c r="Y604" s="1"/>
    </row>
    <row r="605" spans="1:25" ht="15" thickBot="1" x14ac:dyDescent="0.35">
      <c r="A605" s="9">
        <v>604</v>
      </c>
      <c r="B605" s="8">
        <v>40570</v>
      </c>
      <c r="C605" s="7">
        <v>1</v>
      </c>
      <c r="D605" s="7">
        <v>0</v>
      </c>
      <c r="E605" s="7">
        <v>1</v>
      </c>
      <c r="F605" s="7">
        <v>9</v>
      </c>
      <c r="G605" s="7" t="b">
        <v>0</v>
      </c>
      <c r="H605" s="7">
        <f t="shared" si="9"/>
        <v>4</v>
      </c>
      <c r="I605" s="7">
        <v>3</v>
      </c>
      <c r="J605" s="10">
        <v>0.18</v>
      </c>
      <c r="K605" s="1"/>
      <c r="L605" s="1"/>
      <c r="M605" s="1"/>
      <c r="N605" s="1"/>
      <c r="O605" s="1"/>
      <c r="P605" s="1"/>
      <c r="Q605" s="1"/>
      <c r="R605" s="1"/>
      <c r="S605" s="1"/>
      <c r="T605" s="1"/>
      <c r="U605" s="1"/>
      <c r="V605" s="1"/>
      <c r="W605" s="1"/>
      <c r="X605" s="1"/>
      <c r="Y605" s="1"/>
    </row>
    <row r="606" spans="1:25" ht="15" thickBot="1" x14ac:dyDescent="0.35">
      <c r="A606" s="9">
        <v>605</v>
      </c>
      <c r="B606" s="8">
        <v>40570</v>
      </c>
      <c r="C606" s="7">
        <v>1</v>
      </c>
      <c r="D606" s="7">
        <v>0</v>
      </c>
      <c r="E606" s="7">
        <v>1</v>
      </c>
      <c r="F606" s="7">
        <v>10</v>
      </c>
      <c r="G606" s="7" t="b">
        <v>0</v>
      </c>
      <c r="H606" s="7">
        <f t="shared" si="9"/>
        <v>4</v>
      </c>
      <c r="I606" s="7">
        <v>3</v>
      </c>
      <c r="J606" s="10">
        <v>0.18</v>
      </c>
      <c r="K606" s="1"/>
      <c r="L606" s="1"/>
      <c r="M606" s="1"/>
      <c r="N606" s="1"/>
      <c r="O606" s="1"/>
      <c r="P606" s="1"/>
      <c r="Q606" s="1"/>
      <c r="R606" s="1"/>
      <c r="S606" s="1"/>
      <c r="T606" s="1"/>
      <c r="U606" s="1"/>
      <c r="V606" s="1"/>
      <c r="W606" s="1"/>
      <c r="X606" s="1"/>
      <c r="Y606" s="1"/>
    </row>
    <row r="607" spans="1:25" ht="15" thickBot="1" x14ac:dyDescent="0.35">
      <c r="A607" s="9">
        <v>606</v>
      </c>
      <c r="B607" s="8">
        <v>40570</v>
      </c>
      <c r="C607" s="7">
        <v>1</v>
      </c>
      <c r="D607" s="7">
        <v>0</v>
      </c>
      <c r="E607" s="7">
        <v>1</v>
      </c>
      <c r="F607" s="7">
        <v>11</v>
      </c>
      <c r="G607" s="7" t="b">
        <v>0</v>
      </c>
      <c r="H607" s="7">
        <f t="shared" si="9"/>
        <v>4</v>
      </c>
      <c r="I607" s="7">
        <v>3</v>
      </c>
      <c r="J607" s="10">
        <v>0.18</v>
      </c>
      <c r="K607" s="1"/>
      <c r="L607" s="1"/>
      <c r="M607" s="1"/>
      <c r="N607" s="1"/>
      <c r="O607" s="1"/>
      <c r="P607" s="1"/>
      <c r="Q607" s="1"/>
      <c r="R607" s="1"/>
      <c r="S607" s="1"/>
      <c r="T607" s="1"/>
      <c r="U607" s="1"/>
      <c r="V607" s="1"/>
      <c r="W607" s="1"/>
      <c r="X607" s="1"/>
      <c r="Y607" s="1"/>
    </row>
    <row r="608" spans="1:25" ht="15" thickBot="1" x14ac:dyDescent="0.35">
      <c r="A608" s="9">
        <v>607</v>
      </c>
      <c r="B608" s="8">
        <v>40570</v>
      </c>
      <c r="C608" s="7">
        <v>1</v>
      </c>
      <c r="D608" s="7">
        <v>0</v>
      </c>
      <c r="E608" s="7">
        <v>1</v>
      </c>
      <c r="F608" s="7">
        <v>12</v>
      </c>
      <c r="G608" s="7" t="b">
        <v>0</v>
      </c>
      <c r="H608" s="7">
        <f t="shared" si="9"/>
        <v>4</v>
      </c>
      <c r="I608" s="7">
        <v>3</v>
      </c>
      <c r="J608" s="10">
        <v>0.18</v>
      </c>
      <c r="K608" s="1"/>
      <c r="L608" s="1"/>
      <c r="M608" s="1"/>
      <c r="N608" s="1"/>
      <c r="O608" s="1"/>
      <c r="P608" s="1"/>
      <c r="Q608" s="1"/>
      <c r="R608" s="1"/>
      <c r="S608" s="1"/>
      <c r="T608" s="1"/>
      <c r="U608" s="1"/>
      <c r="V608" s="1"/>
      <c r="W608" s="1"/>
      <c r="X608" s="1"/>
      <c r="Y608" s="1"/>
    </row>
    <row r="609" spans="1:25" ht="15" thickBot="1" x14ac:dyDescent="0.35">
      <c r="A609" s="9">
        <v>608</v>
      </c>
      <c r="B609" s="8">
        <v>40570</v>
      </c>
      <c r="C609" s="7">
        <v>1</v>
      </c>
      <c r="D609" s="7">
        <v>0</v>
      </c>
      <c r="E609" s="7">
        <v>1</v>
      </c>
      <c r="F609" s="7">
        <v>13</v>
      </c>
      <c r="G609" s="7" t="b">
        <v>0</v>
      </c>
      <c r="H609" s="7">
        <f t="shared" si="9"/>
        <v>4</v>
      </c>
      <c r="I609" s="7">
        <v>3</v>
      </c>
      <c r="J609" s="10">
        <v>0.18</v>
      </c>
      <c r="K609" s="1"/>
      <c r="L609" s="1"/>
      <c r="M609" s="1"/>
      <c r="N609" s="1"/>
      <c r="O609" s="1"/>
      <c r="P609" s="1"/>
      <c r="Q609" s="1"/>
      <c r="R609" s="1"/>
      <c r="S609" s="1"/>
      <c r="T609" s="1"/>
      <c r="U609" s="1"/>
      <c r="V609" s="1"/>
      <c r="W609" s="1"/>
      <c r="X609" s="1"/>
      <c r="Y609" s="1"/>
    </row>
    <row r="610" spans="1:25" ht="15" thickBot="1" x14ac:dyDescent="0.35">
      <c r="A610" s="9">
        <v>609</v>
      </c>
      <c r="B610" s="8">
        <v>40570</v>
      </c>
      <c r="C610" s="7">
        <v>1</v>
      </c>
      <c r="D610" s="7">
        <v>0</v>
      </c>
      <c r="E610" s="7">
        <v>1</v>
      </c>
      <c r="F610" s="7">
        <v>14</v>
      </c>
      <c r="G610" s="7" t="b">
        <v>0</v>
      </c>
      <c r="H610" s="7">
        <f t="shared" si="9"/>
        <v>4</v>
      </c>
      <c r="I610" s="7">
        <v>3</v>
      </c>
      <c r="J610" s="10">
        <v>0.22</v>
      </c>
      <c r="K610" s="1"/>
      <c r="L610" s="1"/>
      <c r="M610" s="1"/>
      <c r="N610" s="1"/>
      <c r="O610" s="1"/>
      <c r="P610" s="1"/>
      <c r="Q610" s="1"/>
      <c r="R610" s="1"/>
      <c r="S610" s="1"/>
      <c r="T610" s="1"/>
      <c r="U610" s="1"/>
      <c r="V610" s="1"/>
      <c r="W610" s="1"/>
      <c r="X610" s="1"/>
      <c r="Y610" s="1"/>
    </row>
    <row r="611" spans="1:25" ht="15" thickBot="1" x14ac:dyDescent="0.35">
      <c r="A611" s="14">
        <v>610</v>
      </c>
      <c r="B611" s="15">
        <v>40570</v>
      </c>
      <c r="C611" s="16">
        <v>1</v>
      </c>
      <c r="D611" s="16">
        <v>0</v>
      </c>
      <c r="E611" s="16">
        <v>1</v>
      </c>
      <c r="F611" s="16">
        <v>15</v>
      </c>
      <c r="G611" s="16" t="b">
        <v>0</v>
      </c>
      <c r="H611" s="16">
        <f t="shared" si="9"/>
        <v>4</v>
      </c>
      <c r="I611" s="16">
        <v>2</v>
      </c>
      <c r="J611" s="17">
        <v>0.2</v>
      </c>
      <c r="K611" s="1"/>
      <c r="L611" s="1"/>
      <c r="M611" s="1"/>
      <c r="N611" s="1"/>
      <c r="O611" s="1"/>
      <c r="P611" s="1"/>
      <c r="Q611" s="1"/>
      <c r="R611" s="1"/>
      <c r="S611" s="1"/>
      <c r="T611" s="1"/>
      <c r="U611" s="1"/>
      <c r="V611" s="1"/>
      <c r="W611" s="1"/>
      <c r="X611" s="1"/>
      <c r="Y611" s="1"/>
    </row>
    <row r="612" spans="1:25" ht="15" thickBot="1" x14ac:dyDescent="0.35">
      <c r="A612" s="6"/>
      <c r="B612" s="6"/>
      <c r="C612" s="6"/>
      <c r="D612" s="6"/>
      <c r="E612" s="6"/>
      <c r="F612" s="6"/>
      <c r="G612" s="6"/>
      <c r="H612" s="6"/>
      <c r="I612" s="6"/>
      <c r="J612" s="6"/>
      <c r="K612" s="1"/>
      <c r="L612" s="1"/>
      <c r="M612" s="1"/>
      <c r="N612" s="1"/>
      <c r="O612" s="1"/>
      <c r="P612" s="1"/>
      <c r="Q612" s="1"/>
      <c r="R612" s="1"/>
      <c r="S612" s="1"/>
      <c r="T612" s="1"/>
      <c r="U612" s="1"/>
      <c r="V612" s="1"/>
      <c r="W612" s="1"/>
      <c r="X612" s="1"/>
      <c r="Y612" s="1"/>
    </row>
    <row r="613" spans="1:25"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 right="0.7" top="0.75" bottom="0.75" header="0.3" footer="0.3"/>
  <headerFooter>
    <oddFooter>&amp;L_x000D_&amp;1#&amp;"Calibri"&amp;8&amp;K000000 Sensitivity: LNT Construction Internal Use</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1A72-6A97-4166-9AD8-82ECDA4D1DFE}">
  <dimension ref="A1:Y1000"/>
  <sheetViews>
    <sheetView workbookViewId="0">
      <selection activeCell="C17" sqref="C17"/>
    </sheetView>
  </sheetViews>
  <sheetFormatPr defaultRowHeight="14.4" x14ac:dyDescent="0.3"/>
  <cols>
    <col min="1" max="2" width="13" customWidth="1"/>
    <col min="3" max="3" width="18.21875" customWidth="1"/>
    <col min="4" max="4" width="15.109375" customWidth="1"/>
    <col min="5" max="5" width="12.5546875" bestFit="1" customWidth="1"/>
    <col min="6" max="6" width="8.5546875" bestFit="1" customWidth="1"/>
    <col min="7" max="7" width="12" customWidth="1"/>
    <col min="8" max="8" width="5.88671875" bestFit="1" customWidth="1"/>
    <col min="9" max="9" width="18.21875" style="39" customWidth="1"/>
    <col min="10" max="10" width="11.33203125" bestFit="1" customWidth="1"/>
    <col min="11" max="11" width="25.33203125" customWidth="1"/>
    <col min="12" max="12" width="21.77734375" customWidth="1"/>
  </cols>
  <sheetData>
    <row r="1" spans="1:25" ht="15" thickBot="1" x14ac:dyDescent="0.35">
      <c r="A1" s="28" t="s">
        <v>11</v>
      </c>
      <c r="B1" s="29" t="s">
        <v>23</v>
      </c>
      <c r="C1" s="29" t="s">
        <v>33</v>
      </c>
      <c r="D1" s="29" t="s">
        <v>34</v>
      </c>
      <c r="E1" s="29" t="s">
        <v>35</v>
      </c>
      <c r="F1" s="29" t="s">
        <v>36</v>
      </c>
      <c r="G1" s="29" t="s">
        <v>37</v>
      </c>
      <c r="H1" s="30" t="s">
        <v>38</v>
      </c>
      <c r="I1" s="35" t="s">
        <v>39</v>
      </c>
      <c r="J1" s="36" t="s">
        <v>40</v>
      </c>
      <c r="K1" s="37" t="s">
        <v>41</v>
      </c>
      <c r="L1" s="35" t="s">
        <v>42</v>
      </c>
      <c r="M1" s="18"/>
      <c r="N1" s="5"/>
      <c r="O1" s="5"/>
      <c r="P1" s="5"/>
      <c r="Q1" s="5"/>
      <c r="R1" s="5"/>
      <c r="S1" s="5"/>
      <c r="T1" s="5"/>
      <c r="U1" s="5"/>
      <c r="V1" s="5"/>
      <c r="W1" s="5"/>
      <c r="X1" s="5"/>
      <c r="Y1" s="5"/>
    </row>
    <row r="2" spans="1:25" ht="15" thickBot="1" x14ac:dyDescent="0.35">
      <c r="A2" s="27">
        <v>0</v>
      </c>
      <c r="B2" s="21">
        <v>1</v>
      </c>
      <c r="C2" s="22">
        <v>0.28789999999999999</v>
      </c>
      <c r="D2" s="21">
        <v>0.81</v>
      </c>
      <c r="E2" s="22">
        <v>0.20485098360655737</v>
      </c>
      <c r="F2" s="21">
        <v>3</v>
      </c>
      <c r="G2" s="21">
        <v>13</v>
      </c>
      <c r="H2" s="23">
        <v>16</v>
      </c>
      <c r="I2" s="23">
        <v>0.28789999999999999</v>
      </c>
      <c r="J2" s="77">
        <f>AVERAGE(E2:E611)</f>
        <v>0.22567190325181377</v>
      </c>
      <c r="K2" s="33">
        <f>AVERAGE(C2:C611)</f>
        <v>0.19993489148580984</v>
      </c>
      <c r="L2" s="34">
        <v>0.20485098360655701</v>
      </c>
      <c r="M2" s="18"/>
      <c r="N2" s="5"/>
      <c r="O2" s="5"/>
      <c r="P2" s="5"/>
      <c r="Q2" s="5"/>
      <c r="R2" s="5"/>
      <c r="S2" s="5"/>
      <c r="T2" s="5"/>
      <c r="U2" s="5"/>
      <c r="V2" s="5"/>
      <c r="W2" s="5"/>
      <c r="X2" s="5"/>
      <c r="Y2" s="5"/>
    </row>
    <row r="3" spans="1:25" ht="15" thickBot="1" x14ac:dyDescent="0.35">
      <c r="A3" s="27">
        <v>1</v>
      </c>
      <c r="B3" s="21">
        <v>2</v>
      </c>
      <c r="C3" s="22">
        <v>0.2727</v>
      </c>
      <c r="D3" s="21">
        <v>0.8</v>
      </c>
      <c r="E3" s="22">
        <v>0.20485098360655737</v>
      </c>
      <c r="F3" s="21">
        <v>8</v>
      </c>
      <c r="G3" s="21">
        <v>32</v>
      </c>
      <c r="H3" s="23">
        <v>40</v>
      </c>
      <c r="I3" s="23">
        <v>0.2727</v>
      </c>
      <c r="J3" s="26"/>
      <c r="K3" s="19"/>
      <c r="L3" s="19"/>
      <c r="M3" s="5"/>
      <c r="N3" s="5"/>
      <c r="O3" s="5"/>
      <c r="P3" s="5"/>
      <c r="Q3" s="5"/>
      <c r="R3" s="5"/>
      <c r="S3" s="5"/>
      <c r="T3" s="5"/>
      <c r="U3" s="5"/>
      <c r="V3" s="5"/>
      <c r="W3" s="5"/>
      <c r="X3" s="5"/>
      <c r="Y3" s="5"/>
    </row>
    <row r="4" spans="1:25" ht="15" thickBot="1" x14ac:dyDescent="0.35">
      <c r="A4" s="27">
        <v>2</v>
      </c>
      <c r="B4" s="21">
        <v>3</v>
      </c>
      <c r="C4" s="22">
        <v>0.2727</v>
      </c>
      <c r="D4" s="21">
        <v>0.8</v>
      </c>
      <c r="E4" s="22">
        <v>0.20485098360655737</v>
      </c>
      <c r="F4" s="21">
        <v>5</v>
      </c>
      <c r="G4" s="21">
        <v>27</v>
      </c>
      <c r="H4" s="23">
        <v>32</v>
      </c>
      <c r="I4" s="23">
        <v>0.2727</v>
      </c>
      <c r="J4" s="18"/>
      <c r="K4" s="5"/>
      <c r="L4" s="5"/>
      <c r="M4" s="5"/>
      <c r="N4" s="5"/>
      <c r="O4" s="5"/>
      <c r="P4" s="5"/>
      <c r="Q4" s="5"/>
      <c r="R4" s="5"/>
      <c r="S4" s="5"/>
      <c r="T4" s="5"/>
      <c r="U4" s="5"/>
      <c r="V4" s="5"/>
      <c r="W4" s="5"/>
      <c r="X4" s="5"/>
      <c r="Y4" s="5"/>
    </row>
    <row r="5" spans="1:25" ht="15" thickBot="1" x14ac:dyDescent="0.35">
      <c r="A5" s="27">
        <v>3</v>
      </c>
      <c r="B5" s="21">
        <v>4</v>
      </c>
      <c r="C5" s="22">
        <v>0.28789999999999999</v>
      </c>
      <c r="D5" s="21">
        <v>0.75</v>
      </c>
      <c r="E5" s="22">
        <v>0.20485098360655737</v>
      </c>
      <c r="F5" s="21">
        <v>3</v>
      </c>
      <c r="G5" s="21">
        <v>10</v>
      </c>
      <c r="H5" s="23">
        <v>13</v>
      </c>
      <c r="I5" s="23">
        <v>0.28789999999999999</v>
      </c>
      <c r="J5" s="18"/>
      <c r="K5" s="5"/>
      <c r="L5" s="5"/>
      <c r="M5" s="5"/>
      <c r="N5" s="5"/>
      <c r="O5" s="5"/>
      <c r="P5" s="5"/>
      <c r="Q5" s="5"/>
      <c r="R5" s="5"/>
      <c r="S5" s="5"/>
      <c r="T5" s="5"/>
      <c r="U5" s="5"/>
      <c r="V5" s="5"/>
      <c r="W5" s="5"/>
      <c r="X5" s="5"/>
      <c r="Y5" s="5"/>
    </row>
    <row r="6" spans="1:25" ht="15" thickBot="1" x14ac:dyDescent="0.35">
      <c r="A6" s="27">
        <v>4</v>
      </c>
      <c r="B6" s="21">
        <v>5</v>
      </c>
      <c r="C6" s="22">
        <v>0.28789999999999999</v>
      </c>
      <c r="D6" s="21">
        <v>0.75</v>
      </c>
      <c r="E6" s="22">
        <v>0.20485098360655737</v>
      </c>
      <c r="F6" s="21">
        <v>0</v>
      </c>
      <c r="G6" s="21">
        <v>1</v>
      </c>
      <c r="H6" s="23">
        <v>1</v>
      </c>
      <c r="I6" s="23">
        <v>0.28789999999999999</v>
      </c>
      <c r="J6" s="18"/>
      <c r="K6" s="5"/>
      <c r="L6" s="5"/>
      <c r="M6" s="5"/>
      <c r="N6" s="5"/>
      <c r="O6" s="5"/>
      <c r="P6" s="5"/>
      <c r="Q6" s="5"/>
      <c r="R6" s="5"/>
      <c r="S6" s="5"/>
      <c r="T6" s="5"/>
      <c r="U6" s="5"/>
      <c r="V6" s="5"/>
      <c r="W6" s="5"/>
      <c r="X6" s="5"/>
      <c r="Y6" s="5"/>
    </row>
    <row r="7" spans="1:25" ht="15" thickBot="1" x14ac:dyDescent="0.35">
      <c r="A7" s="27">
        <v>5</v>
      </c>
      <c r="B7" s="21">
        <v>6</v>
      </c>
      <c r="C7" s="22">
        <v>0.2576</v>
      </c>
      <c r="D7" s="21">
        <v>0.75</v>
      </c>
      <c r="E7" s="21">
        <v>8.9599999999999999E-2</v>
      </c>
      <c r="F7" s="21">
        <v>0</v>
      </c>
      <c r="G7" s="21">
        <v>1</v>
      </c>
      <c r="H7" s="23">
        <v>1</v>
      </c>
      <c r="I7" s="23">
        <v>0.2576</v>
      </c>
      <c r="J7" s="18"/>
      <c r="K7" s="5"/>
      <c r="L7" s="5"/>
      <c r="M7" s="5"/>
      <c r="N7" s="5"/>
      <c r="O7" s="5"/>
      <c r="P7" s="5"/>
      <c r="Q7" s="5"/>
      <c r="R7" s="5"/>
      <c r="S7" s="5"/>
      <c r="T7" s="5"/>
      <c r="U7" s="5"/>
      <c r="V7" s="5"/>
      <c r="W7" s="5"/>
      <c r="X7" s="5"/>
      <c r="Y7" s="5"/>
    </row>
    <row r="8" spans="1:25" ht="15" thickBot="1" x14ac:dyDescent="0.35">
      <c r="A8" s="27">
        <v>6</v>
      </c>
      <c r="B8" s="21">
        <v>7</v>
      </c>
      <c r="C8" s="22">
        <v>0.2727</v>
      </c>
      <c r="D8" s="21">
        <v>0.8</v>
      </c>
      <c r="E8" s="22">
        <v>0.20485098360655737</v>
      </c>
      <c r="F8" s="21">
        <v>2</v>
      </c>
      <c r="G8" s="21">
        <v>0</v>
      </c>
      <c r="H8" s="23">
        <v>2</v>
      </c>
      <c r="I8" s="23">
        <v>0.2727</v>
      </c>
      <c r="J8" s="18"/>
      <c r="K8" s="5"/>
      <c r="L8" s="5"/>
      <c r="M8" s="5"/>
      <c r="N8" s="5"/>
      <c r="O8" s="5"/>
      <c r="P8" s="5"/>
      <c r="Q8" s="5"/>
      <c r="R8" s="5"/>
      <c r="S8" s="5"/>
      <c r="T8" s="5"/>
      <c r="U8" s="5"/>
      <c r="V8" s="5"/>
      <c r="W8" s="5"/>
      <c r="X8" s="5"/>
      <c r="Y8" s="5"/>
    </row>
    <row r="9" spans="1:25" ht="15" thickBot="1" x14ac:dyDescent="0.35">
      <c r="A9" s="27">
        <v>7</v>
      </c>
      <c r="B9" s="21">
        <v>8</v>
      </c>
      <c r="C9" s="22">
        <v>0.2576</v>
      </c>
      <c r="D9" s="21">
        <v>0.86</v>
      </c>
      <c r="E9" s="22">
        <v>0.20485098360655737</v>
      </c>
      <c r="F9" s="21">
        <v>1</v>
      </c>
      <c r="G9" s="21">
        <v>2</v>
      </c>
      <c r="H9" s="23">
        <v>3</v>
      </c>
      <c r="I9" s="23">
        <v>0.2576</v>
      </c>
      <c r="J9" s="18"/>
      <c r="K9" s="5"/>
      <c r="L9" s="5"/>
      <c r="M9" s="5"/>
      <c r="N9" s="5"/>
      <c r="O9" s="5"/>
      <c r="P9" s="5"/>
      <c r="Q9" s="5"/>
      <c r="R9" s="5"/>
      <c r="S9" s="5"/>
      <c r="T9" s="5"/>
      <c r="U9" s="5"/>
      <c r="V9" s="5"/>
      <c r="W9" s="5"/>
      <c r="X9" s="5"/>
      <c r="Y9" s="5"/>
    </row>
    <row r="10" spans="1:25" ht="15" thickBot="1" x14ac:dyDescent="0.35">
      <c r="A10" s="27">
        <v>8</v>
      </c>
      <c r="B10" s="21">
        <v>9</v>
      </c>
      <c r="C10" s="22">
        <v>0.19993489148580987</v>
      </c>
      <c r="D10" s="21">
        <v>0.75</v>
      </c>
      <c r="E10" s="22">
        <v>0.20485098360655737</v>
      </c>
      <c r="F10" s="21">
        <v>1</v>
      </c>
      <c r="G10" s="21">
        <v>7</v>
      </c>
      <c r="H10" s="23">
        <v>8</v>
      </c>
      <c r="I10" s="38">
        <v>0.19993489148580987</v>
      </c>
      <c r="J10" s="18"/>
      <c r="K10" s="5"/>
      <c r="L10" s="5"/>
      <c r="M10" s="5"/>
      <c r="N10" s="5"/>
      <c r="O10" s="5"/>
      <c r="P10" s="5"/>
      <c r="Q10" s="5"/>
      <c r="R10" s="5"/>
      <c r="S10" s="5"/>
      <c r="T10" s="5"/>
      <c r="U10" s="5"/>
      <c r="V10" s="5"/>
      <c r="W10" s="5"/>
      <c r="X10" s="5"/>
      <c r="Y10" s="5"/>
    </row>
    <row r="11" spans="1:25" ht="15" thickBot="1" x14ac:dyDescent="0.35">
      <c r="A11" s="27">
        <v>9</v>
      </c>
      <c r="B11" s="21">
        <v>10</v>
      </c>
      <c r="C11" s="22">
        <v>0.34849999999999998</v>
      </c>
      <c r="D11" s="21">
        <v>0.76</v>
      </c>
      <c r="E11" s="22">
        <v>0.20485098360655737</v>
      </c>
      <c r="F11" s="21">
        <v>8</v>
      </c>
      <c r="G11" s="21">
        <v>6</v>
      </c>
      <c r="H11" s="23">
        <v>14</v>
      </c>
      <c r="I11" s="23">
        <v>0.34849999999999998</v>
      </c>
      <c r="J11" s="18"/>
      <c r="K11" s="5"/>
      <c r="L11" s="5"/>
      <c r="M11" s="5"/>
      <c r="N11" s="5"/>
      <c r="O11" s="5"/>
      <c r="P11" s="5"/>
      <c r="Q11" s="5"/>
      <c r="R11" s="5"/>
      <c r="S11" s="5"/>
      <c r="T11" s="5"/>
      <c r="U11" s="5"/>
      <c r="V11" s="5"/>
      <c r="W11" s="5"/>
      <c r="X11" s="5"/>
      <c r="Y11" s="5"/>
    </row>
    <row r="12" spans="1:25" ht="15" thickBot="1" x14ac:dyDescent="0.35">
      <c r="A12" s="27">
        <v>10</v>
      </c>
      <c r="B12" s="21">
        <v>11</v>
      </c>
      <c r="C12" s="22">
        <v>0.39389999999999997</v>
      </c>
      <c r="D12" s="21">
        <v>0.76</v>
      </c>
      <c r="E12" s="21">
        <v>0.25369999999999998</v>
      </c>
      <c r="F12" s="21">
        <v>12</v>
      </c>
      <c r="G12" s="21">
        <v>24</v>
      </c>
      <c r="H12" s="23">
        <v>36</v>
      </c>
      <c r="I12" s="23">
        <v>0.39389999999999997</v>
      </c>
      <c r="J12" s="18"/>
      <c r="K12" s="5"/>
      <c r="L12" s="5"/>
      <c r="M12" s="5"/>
      <c r="N12" s="5"/>
      <c r="O12" s="5"/>
      <c r="P12" s="5"/>
      <c r="Q12" s="5"/>
      <c r="R12" s="5"/>
      <c r="S12" s="5"/>
      <c r="T12" s="5"/>
      <c r="U12" s="5"/>
      <c r="V12" s="5"/>
      <c r="W12" s="5"/>
      <c r="X12" s="5"/>
      <c r="Y12" s="5"/>
    </row>
    <row r="13" spans="1:25" ht="15" thickBot="1" x14ac:dyDescent="0.35">
      <c r="A13" s="27">
        <v>11</v>
      </c>
      <c r="B13" s="21">
        <v>12</v>
      </c>
      <c r="C13" s="22">
        <v>0.33329999999999999</v>
      </c>
      <c r="D13" s="21">
        <v>0.81</v>
      </c>
      <c r="E13" s="21">
        <v>0.28360000000000002</v>
      </c>
      <c r="F13" s="21">
        <v>26</v>
      </c>
      <c r="G13" s="21">
        <v>30</v>
      </c>
      <c r="H13" s="23">
        <v>56</v>
      </c>
      <c r="I13" s="23">
        <v>0.33329999999999999</v>
      </c>
      <c r="J13" s="18"/>
      <c r="K13" s="5"/>
      <c r="L13" s="5"/>
      <c r="M13" s="5"/>
      <c r="N13" s="5"/>
      <c r="O13" s="5"/>
      <c r="P13" s="5"/>
      <c r="Q13" s="5"/>
      <c r="R13" s="5"/>
      <c r="S13" s="5"/>
      <c r="T13" s="5"/>
      <c r="U13" s="5"/>
      <c r="V13" s="5"/>
      <c r="W13" s="5"/>
      <c r="X13" s="5"/>
      <c r="Y13" s="5"/>
    </row>
    <row r="14" spans="1:25" ht="15" thickBot="1" x14ac:dyDescent="0.35">
      <c r="A14" s="27">
        <v>12</v>
      </c>
      <c r="B14" s="21">
        <v>13</v>
      </c>
      <c r="C14" s="22">
        <v>0.42420000000000002</v>
      </c>
      <c r="D14" s="21">
        <v>0.77</v>
      </c>
      <c r="E14" s="21">
        <v>0.28360000000000002</v>
      </c>
      <c r="F14" s="21">
        <v>29</v>
      </c>
      <c r="G14" s="21">
        <v>55</v>
      </c>
      <c r="H14" s="23">
        <v>84</v>
      </c>
      <c r="I14" s="23">
        <v>0.42420000000000002</v>
      </c>
      <c r="J14" s="18"/>
      <c r="K14" s="5"/>
      <c r="L14" s="5"/>
      <c r="M14" s="5"/>
      <c r="N14" s="5"/>
      <c r="O14" s="5"/>
      <c r="P14" s="5"/>
      <c r="Q14" s="5"/>
      <c r="R14" s="5"/>
      <c r="S14" s="5"/>
      <c r="T14" s="5"/>
      <c r="U14" s="5"/>
      <c r="V14" s="5"/>
      <c r="W14" s="5"/>
      <c r="X14" s="5"/>
      <c r="Y14" s="5"/>
    </row>
    <row r="15" spans="1:25" ht="15" thickBot="1" x14ac:dyDescent="0.35">
      <c r="A15" s="27">
        <v>13</v>
      </c>
      <c r="B15" s="21">
        <v>14</v>
      </c>
      <c r="C15" s="22">
        <v>0.45450000000000002</v>
      </c>
      <c r="D15" s="21">
        <v>0.72</v>
      </c>
      <c r="E15" s="21">
        <v>0.29849999999999999</v>
      </c>
      <c r="F15" s="21">
        <v>47</v>
      </c>
      <c r="G15" s="21">
        <v>47</v>
      </c>
      <c r="H15" s="23">
        <v>94</v>
      </c>
      <c r="I15" s="23">
        <v>0.45450000000000002</v>
      </c>
      <c r="J15" s="18"/>
      <c r="K15" s="5"/>
      <c r="L15" s="5"/>
      <c r="M15" s="5"/>
      <c r="N15" s="5"/>
      <c r="O15" s="5"/>
      <c r="P15" s="5"/>
      <c r="Q15" s="5"/>
      <c r="R15" s="5"/>
      <c r="S15" s="5"/>
      <c r="T15" s="5"/>
      <c r="U15" s="5"/>
      <c r="V15" s="5"/>
      <c r="W15" s="5"/>
      <c r="X15" s="5"/>
      <c r="Y15" s="5"/>
    </row>
    <row r="16" spans="1:25" ht="15" thickBot="1" x14ac:dyDescent="0.35">
      <c r="A16" s="27">
        <v>14</v>
      </c>
      <c r="B16" s="21">
        <v>15</v>
      </c>
      <c r="C16" s="22">
        <v>0.45450000000000002</v>
      </c>
      <c r="D16" s="21">
        <v>0.72</v>
      </c>
      <c r="E16" s="21">
        <v>0.28360000000000002</v>
      </c>
      <c r="F16" s="21">
        <v>35</v>
      </c>
      <c r="G16" s="21">
        <v>71</v>
      </c>
      <c r="H16" s="23">
        <v>106</v>
      </c>
      <c r="I16" s="23">
        <v>0.45450000000000002</v>
      </c>
      <c r="J16" s="18"/>
      <c r="K16" s="5"/>
      <c r="L16" s="5"/>
      <c r="M16" s="5"/>
      <c r="N16" s="5"/>
      <c r="O16" s="5"/>
      <c r="P16" s="5"/>
      <c r="Q16" s="5"/>
      <c r="R16" s="5"/>
      <c r="S16" s="5"/>
      <c r="T16" s="5"/>
      <c r="U16" s="5"/>
      <c r="V16" s="5"/>
      <c r="W16" s="5"/>
      <c r="X16" s="5"/>
      <c r="Y16" s="5"/>
    </row>
    <row r="17" spans="1:25" ht="15" thickBot="1" x14ac:dyDescent="0.35">
      <c r="A17" s="27">
        <v>15</v>
      </c>
      <c r="B17" s="21">
        <v>16</v>
      </c>
      <c r="C17" s="22">
        <v>0.43940000000000001</v>
      </c>
      <c r="D17" s="21">
        <v>0.77</v>
      </c>
      <c r="E17" s="21">
        <v>0.29849999999999999</v>
      </c>
      <c r="F17" s="21">
        <v>40</v>
      </c>
      <c r="G17" s="21">
        <v>70</v>
      </c>
      <c r="H17" s="23">
        <v>110</v>
      </c>
      <c r="I17" s="23">
        <v>0.43940000000000001</v>
      </c>
      <c r="J17" s="18"/>
      <c r="K17" s="5"/>
      <c r="L17" s="5"/>
      <c r="M17" s="5"/>
      <c r="N17" s="5"/>
      <c r="O17" s="5"/>
      <c r="P17" s="5"/>
      <c r="Q17" s="5"/>
      <c r="R17" s="5"/>
      <c r="S17" s="5"/>
      <c r="T17" s="5"/>
      <c r="U17" s="5"/>
      <c r="V17" s="5"/>
      <c r="W17" s="5"/>
      <c r="X17" s="5"/>
      <c r="Y17" s="5"/>
    </row>
    <row r="18" spans="1:25" ht="15" thickBot="1" x14ac:dyDescent="0.35">
      <c r="A18" s="27">
        <v>16</v>
      </c>
      <c r="B18" s="21">
        <v>17</v>
      </c>
      <c r="C18" s="22">
        <v>0.42420000000000002</v>
      </c>
      <c r="D18" s="21">
        <v>0.82</v>
      </c>
      <c r="E18" s="21">
        <v>0.29849999999999999</v>
      </c>
      <c r="F18" s="21">
        <v>41</v>
      </c>
      <c r="G18" s="21">
        <v>52</v>
      </c>
      <c r="H18" s="23">
        <v>93</v>
      </c>
      <c r="I18" s="23">
        <v>0.42420000000000002</v>
      </c>
      <c r="J18" s="18"/>
      <c r="K18" s="5"/>
      <c r="L18" s="5"/>
      <c r="M18" s="5"/>
      <c r="N18" s="5"/>
      <c r="O18" s="5"/>
      <c r="P18" s="5"/>
      <c r="Q18" s="5"/>
      <c r="R18" s="5"/>
      <c r="S18" s="5"/>
      <c r="T18" s="5"/>
      <c r="U18" s="5"/>
      <c r="V18" s="5"/>
      <c r="W18" s="5"/>
      <c r="X18" s="5"/>
      <c r="Y18" s="5"/>
    </row>
    <row r="19" spans="1:25" ht="15" thickBot="1" x14ac:dyDescent="0.35">
      <c r="A19" s="27">
        <v>17</v>
      </c>
      <c r="B19" s="21">
        <v>18</v>
      </c>
      <c r="C19" s="22">
        <v>0.19993489148580987</v>
      </c>
      <c r="D19" s="21">
        <v>0.82</v>
      </c>
      <c r="E19" s="21">
        <v>0.28360000000000002</v>
      </c>
      <c r="F19" s="21">
        <v>15</v>
      </c>
      <c r="G19" s="21">
        <v>52</v>
      </c>
      <c r="H19" s="23">
        <v>67</v>
      </c>
      <c r="I19" s="38">
        <v>0.19993489148580987</v>
      </c>
      <c r="J19" s="18"/>
      <c r="K19" s="5"/>
      <c r="L19" s="5"/>
      <c r="M19" s="5"/>
      <c r="N19" s="5"/>
      <c r="O19" s="5"/>
      <c r="P19" s="5"/>
      <c r="Q19" s="5"/>
      <c r="R19" s="5"/>
      <c r="S19" s="5"/>
      <c r="T19" s="5"/>
      <c r="U19" s="5"/>
      <c r="V19" s="5"/>
      <c r="W19" s="5"/>
      <c r="X19" s="5"/>
      <c r="Y19" s="5"/>
    </row>
    <row r="20" spans="1:25" ht="15" thickBot="1" x14ac:dyDescent="0.35">
      <c r="A20" s="27">
        <v>18</v>
      </c>
      <c r="B20" s="21">
        <v>19</v>
      </c>
      <c r="C20" s="22">
        <v>0.42420000000000002</v>
      </c>
      <c r="D20" s="21">
        <v>0.88</v>
      </c>
      <c r="E20" s="21">
        <v>0.25369999999999998</v>
      </c>
      <c r="F20" s="21">
        <v>9</v>
      </c>
      <c r="G20" s="21">
        <v>26</v>
      </c>
      <c r="H20" s="23">
        <v>35</v>
      </c>
      <c r="I20" s="23">
        <v>0.42420000000000002</v>
      </c>
      <c r="J20" s="18"/>
      <c r="K20" s="5"/>
      <c r="L20" s="5"/>
      <c r="M20" s="5"/>
      <c r="N20" s="5"/>
      <c r="O20" s="5"/>
      <c r="P20" s="5"/>
      <c r="Q20" s="5"/>
      <c r="R20" s="5"/>
      <c r="S20" s="5"/>
      <c r="T20" s="5"/>
      <c r="U20" s="5"/>
      <c r="V20" s="5"/>
      <c r="W20" s="5"/>
      <c r="X20" s="5"/>
      <c r="Y20" s="5"/>
    </row>
    <row r="21" spans="1:25" ht="15" thickBot="1" x14ac:dyDescent="0.35">
      <c r="A21" s="27">
        <v>19</v>
      </c>
      <c r="B21" s="21">
        <v>20</v>
      </c>
      <c r="C21" s="22">
        <v>0.42420000000000002</v>
      </c>
      <c r="D21" s="21">
        <v>0.88</v>
      </c>
      <c r="E21" s="21">
        <v>0.25369999999999998</v>
      </c>
      <c r="F21" s="21">
        <v>6</v>
      </c>
      <c r="G21" s="21">
        <v>31</v>
      </c>
      <c r="H21" s="23">
        <v>37</v>
      </c>
      <c r="I21" s="23">
        <v>0.42420000000000002</v>
      </c>
      <c r="J21" s="18"/>
      <c r="K21" s="5"/>
      <c r="L21" s="5"/>
      <c r="M21" s="5"/>
      <c r="N21" s="5"/>
      <c r="O21" s="5"/>
      <c r="P21" s="5"/>
      <c r="Q21" s="5"/>
      <c r="R21" s="5"/>
      <c r="S21" s="5"/>
      <c r="T21" s="5"/>
      <c r="U21" s="5"/>
      <c r="V21" s="5"/>
      <c r="W21" s="5"/>
      <c r="X21" s="5"/>
      <c r="Y21" s="5"/>
    </row>
    <row r="22" spans="1:25" ht="15" thickBot="1" x14ac:dyDescent="0.35">
      <c r="A22" s="27">
        <v>20</v>
      </c>
      <c r="B22" s="21">
        <v>21</v>
      </c>
      <c r="C22" s="22">
        <v>0.40910000000000002</v>
      </c>
      <c r="D22" s="21">
        <v>0.87</v>
      </c>
      <c r="E22" s="21">
        <v>0.25369999999999998</v>
      </c>
      <c r="F22" s="21">
        <v>11</v>
      </c>
      <c r="G22" s="21">
        <v>25</v>
      </c>
      <c r="H22" s="23">
        <v>36</v>
      </c>
      <c r="I22" s="23">
        <v>0.40910000000000002</v>
      </c>
      <c r="J22" s="18"/>
      <c r="K22" s="5"/>
      <c r="L22" s="5"/>
      <c r="M22" s="5"/>
      <c r="N22" s="5"/>
      <c r="O22" s="5"/>
      <c r="P22" s="5"/>
      <c r="Q22" s="5"/>
      <c r="R22" s="5"/>
      <c r="S22" s="5"/>
      <c r="T22" s="5"/>
      <c r="U22" s="5"/>
      <c r="V22" s="5"/>
      <c r="W22" s="5"/>
      <c r="X22" s="5"/>
      <c r="Y22" s="5"/>
    </row>
    <row r="23" spans="1:25" ht="15" thickBot="1" x14ac:dyDescent="0.35">
      <c r="A23" s="27">
        <v>21</v>
      </c>
      <c r="B23" s="21">
        <v>22</v>
      </c>
      <c r="C23" s="22">
        <v>0.40910000000000002</v>
      </c>
      <c r="D23" s="21">
        <v>0.87</v>
      </c>
      <c r="E23" s="21">
        <v>0.19400000000000001</v>
      </c>
      <c r="F23" s="21">
        <v>3</v>
      </c>
      <c r="G23" s="21">
        <v>31</v>
      </c>
      <c r="H23" s="23">
        <v>34</v>
      </c>
      <c r="I23" s="23">
        <v>0.40910000000000002</v>
      </c>
      <c r="J23" s="18"/>
      <c r="K23" s="5"/>
      <c r="L23" s="5"/>
      <c r="M23" s="5"/>
      <c r="N23" s="5"/>
      <c r="O23" s="5"/>
      <c r="P23" s="5"/>
      <c r="Q23" s="5"/>
      <c r="R23" s="5"/>
      <c r="S23" s="5"/>
      <c r="T23" s="5"/>
      <c r="U23" s="5"/>
      <c r="V23" s="5"/>
      <c r="W23" s="5"/>
      <c r="X23" s="5"/>
      <c r="Y23" s="5"/>
    </row>
    <row r="24" spans="1:25" ht="15" thickBot="1" x14ac:dyDescent="0.35">
      <c r="A24" s="27">
        <v>22</v>
      </c>
      <c r="B24" s="21">
        <v>23</v>
      </c>
      <c r="C24" s="22">
        <v>0.40910000000000002</v>
      </c>
      <c r="D24" s="21">
        <v>0.94</v>
      </c>
      <c r="E24" s="21">
        <v>0.22389999999999999</v>
      </c>
      <c r="F24" s="21">
        <v>11</v>
      </c>
      <c r="G24" s="21">
        <v>17</v>
      </c>
      <c r="H24" s="23">
        <v>28</v>
      </c>
      <c r="I24" s="23">
        <v>0.40910000000000002</v>
      </c>
      <c r="J24" s="18"/>
      <c r="K24" s="5"/>
      <c r="L24" s="5"/>
      <c r="M24" s="5"/>
      <c r="N24" s="5"/>
      <c r="O24" s="5"/>
      <c r="P24" s="5"/>
      <c r="Q24" s="5"/>
      <c r="R24" s="5"/>
      <c r="S24" s="5"/>
      <c r="T24" s="5"/>
      <c r="U24" s="5"/>
      <c r="V24" s="5"/>
      <c r="W24" s="5"/>
      <c r="X24" s="5"/>
      <c r="Y24" s="5"/>
    </row>
    <row r="25" spans="1:25" ht="15" thickBot="1" x14ac:dyDescent="0.35">
      <c r="A25" s="27">
        <v>23</v>
      </c>
      <c r="B25" s="21">
        <v>24</v>
      </c>
      <c r="C25" s="22">
        <v>0.19993489148580987</v>
      </c>
      <c r="D25" s="21">
        <v>0.88</v>
      </c>
      <c r="E25" s="21">
        <v>0.29849999999999999</v>
      </c>
      <c r="F25" s="21">
        <v>15</v>
      </c>
      <c r="G25" s="21">
        <v>24</v>
      </c>
      <c r="H25" s="23">
        <v>39</v>
      </c>
      <c r="I25" s="38">
        <v>0.19993489148580987</v>
      </c>
      <c r="J25" s="18"/>
      <c r="K25" s="5"/>
      <c r="L25" s="5"/>
      <c r="M25" s="5"/>
      <c r="N25" s="5"/>
      <c r="O25" s="5"/>
      <c r="P25" s="5"/>
      <c r="Q25" s="5"/>
      <c r="R25" s="5"/>
      <c r="S25" s="5"/>
      <c r="T25" s="5"/>
      <c r="U25" s="5"/>
      <c r="V25" s="5"/>
      <c r="W25" s="5"/>
      <c r="X25" s="5"/>
      <c r="Y25" s="5"/>
    </row>
    <row r="26" spans="1:25" ht="15" thickBot="1" x14ac:dyDescent="0.35">
      <c r="A26" s="27">
        <v>24</v>
      </c>
      <c r="B26" s="21">
        <v>25</v>
      </c>
      <c r="C26" s="22">
        <v>0.45450000000000002</v>
      </c>
      <c r="D26" s="21">
        <v>0.88</v>
      </c>
      <c r="E26" s="21">
        <v>0.29849999999999999</v>
      </c>
      <c r="F26" s="21">
        <v>4</v>
      </c>
      <c r="G26" s="21">
        <v>13</v>
      </c>
      <c r="H26" s="23">
        <v>17</v>
      </c>
      <c r="I26" s="23">
        <v>0.45450000000000002</v>
      </c>
      <c r="J26" s="18"/>
      <c r="K26" s="5"/>
      <c r="L26" s="5"/>
      <c r="M26" s="5"/>
      <c r="N26" s="5"/>
      <c r="O26" s="5"/>
      <c r="P26" s="5"/>
      <c r="Q26" s="5"/>
      <c r="R26" s="5"/>
      <c r="S26" s="5"/>
      <c r="T26" s="5"/>
      <c r="U26" s="5"/>
      <c r="V26" s="5"/>
      <c r="W26" s="5"/>
      <c r="X26" s="5"/>
      <c r="Y26" s="5"/>
    </row>
    <row r="27" spans="1:25" ht="15" thickBot="1" x14ac:dyDescent="0.35">
      <c r="A27" s="27">
        <v>25</v>
      </c>
      <c r="B27" s="21">
        <v>26</v>
      </c>
      <c r="C27" s="22">
        <v>0.43940000000000001</v>
      </c>
      <c r="D27" s="21">
        <v>0.94</v>
      </c>
      <c r="E27" s="21">
        <v>0.25369999999999998</v>
      </c>
      <c r="F27" s="21">
        <v>1</v>
      </c>
      <c r="G27" s="21">
        <v>16</v>
      </c>
      <c r="H27" s="23">
        <v>17</v>
      </c>
      <c r="I27" s="23">
        <v>0.43940000000000001</v>
      </c>
      <c r="J27" s="18"/>
      <c r="K27" s="5"/>
      <c r="L27" s="5"/>
      <c r="M27" s="5"/>
      <c r="N27" s="5"/>
      <c r="O27" s="5"/>
      <c r="P27" s="5"/>
      <c r="Q27" s="5"/>
      <c r="R27" s="5"/>
      <c r="S27" s="5"/>
      <c r="T27" s="5"/>
      <c r="U27" s="5"/>
      <c r="V27" s="5"/>
      <c r="W27" s="5"/>
      <c r="X27" s="5"/>
      <c r="Y27" s="5"/>
    </row>
    <row r="28" spans="1:25" ht="15" thickBot="1" x14ac:dyDescent="0.35">
      <c r="A28" s="27">
        <v>26</v>
      </c>
      <c r="B28" s="21">
        <v>27</v>
      </c>
      <c r="C28" s="22">
        <v>0.42420000000000002</v>
      </c>
      <c r="D28" s="21">
        <v>1</v>
      </c>
      <c r="E28" s="21">
        <v>0.28360000000000002</v>
      </c>
      <c r="F28" s="21">
        <v>1</v>
      </c>
      <c r="G28" s="21">
        <v>8</v>
      </c>
      <c r="H28" s="23">
        <v>9</v>
      </c>
      <c r="I28" s="23">
        <v>0.42420000000000002</v>
      </c>
      <c r="J28" s="18"/>
      <c r="K28" s="5"/>
      <c r="L28" s="5"/>
      <c r="M28" s="5"/>
      <c r="N28" s="5"/>
      <c r="O28" s="5"/>
      <c r="P28" s="5"/>
      <c r="Q28" s="5"/>
      <c r="R28" s="5"/>
      <c r="S28" s="5"/>
      <c r="T28" s="5"/>
      <c r="U28" s="5"/>
      <c r="V28" s="5"/>
      <c r="W28" s="5"/>
      <c r="X28" s="5"/>
      <c r="Y28" s="5"/>
    </row>
    <row r="29" spans="1:25" ht="15" thickBot="1" x14ac:dyDescent="0.35">
      <c r="A29" s="27">
        <v>27</v>
      </c>
      <c r="B29" s="21">
        <v>28</v>
      </c>
      <c r="C29" s="22">
        <v>0.45450000000000002</v>
      </c>
      <c r="D29" s="21">
        <v>0.94</v>
      </c>
      <c r="E29" s="21">
        <v>0.19400000000000001</v>
      </c>
      <c r="F29" s="21">
        <v>2</v>
      </c>
      <c r="G29" s="21">
        <v>4</v>
      </c>
      <c r="H29" s="23">
        <v>6</v>
      </c>
      <c r="I29" s="23">
        <v>0.45450000000000002</v>
      </c>
      <c r="J29" s="18"/>
      <c r="K29" s="5"/>
      <c r="L29" s="5"/>
      <c r="M29" s="5"/>
      <c r="N29" s="5"/>
      <c r="O29" s="5"/>
      <c r="P29" s="5"/>
      <c r="Q29" s="5"/>
      <c r="R29" s="5"/>
      <c r="S29" s="5"/>
      <c r="T29" s="5"/>
      <c r="U29" s="5"/>
      <c r="V29" s="5"/>
      <c r="W29" s="5"/>
      <c r="X29" s="5"/>
      <c r="Y29" s="5"/>
    </row>
    <row r="30" spans="1:25" ht="15" thickBot="1" x14ac:dyDescent="0.35">
      <c r="A30" s="27">
        <v>28</v>
      </c>
      <c r="B30" s="21">
        <v>29</v>
      </c>
      <c r="C30" s="22">
        <v>0.19993489148580987</v>
      </c>
      <c r="D30" s="21">
        <v>0.94</v>
      </c>
      <c r="E30" s="21">
        <v>0.19400000000000001</v>
      </c>
      <c r="F30" s="21">
        <v>2</v>
      </c>
      <c r="G30" s="21">
        <v>1</v>
      </c>
      <c r="H30" s="23">
        <v>3</v>
      </c>
      <c r="I30" s="38">
        <v>0.19993489148580987</v>
      </c>
      <c r="J30" s="18"/>
      <c r="K30" s="5"/>
      <c r="L30" s="5"/>
      <c r="M30" s="5"/>
      <c r="N30" s="5"/>
      <c r="O30" s="5"/>
      <c r="P30" s="5"/>
      <c r="Q30" s="5"/>
      <c r="R30" s="5"/>
      <c r="S30" s="5"/>
      <c r="T30" s="5"/>
      <c r="U30" s="5"/>
      <c r="V30" s="5"/>
      <c r="W30" s="5"/>
      <c r="X30" s="5"/>
      <c r="Y30" s="5"/>
    </row>
    <row r="31" spans="1:25" ht="15" thickBot="1" x14ac:dyDescent="0.35">
      <c r="A31" s="27">
        <v>29</v>
      </c>
      <c r="B31" s="21">
        <v>30</v>
      </c>
      <c r="C31" s="22">
        <v>0.42420000000000002</v>
      </c>
      <c r="D31" s="21">
        <v>0.77</v>
      </c>
      <c r="E31" s="21">
        <v>0.29849999999999999</v>
      </c>
      <c r="F31" s="21">
        <v>0</v>
      </c>
      <c r="G31" s="21">
        <v>2</v>
      </c>
      <c r="H31" s="23">
        <v>2</v>
      </c>
      <c r="I31" s="23">
        <v>0.42420000000000002</v>
      </c>
      <c r="J31" s="18"/>
      <c r="K31" s="5"/>
      <c r="L31" s="5"/>
      <c r="M31" s="5"/>
      <c r="N31" s="5"/>
      <c r="O31" s="5"/>
      <c r="P31" s="5"/>
      <c r="Q31" s="5"/>
      <c r="R31" s="5"/>
      <c r="S31" s="5"/>
      <c r="T31" s="5"/>
      <c r="U31" s="5"/>
      <c r="V31" s="5"/>
      <c r="W31" s="5"/>
      <c r="X31" s="5"/>
      <c r="Y31" s="5"/>
    </row>
    <row r="32" spans="1:25" ht="15" thickBot="1" x14ac:dyDescent="0.35">
      <c r="A32" s="27">
        <v>30</v>
      </c>
      <c r="B32" s="21">
        <v>31</v>
      </c>
      <c r="C32" s="22">
        <v>0.40910000000000002</v>
      </c>
      <c r="D32" s="21">
        <v>0.76</v>
      </c>
      <c r="E32" s="21">
        <v>0.19400000000000001</v>
      </c>
      <c r="F32" s="21">
        <v>0</v>
      </c>
      <c r="G32" s="21">
        <v>1</v>
      </c>
      <c r="H32" s="23">
        <v>1</v>
      </c>
      <c r="I32" s="23">
        <v>0.40910000000000002</v>
      </c>
      <c r="J32" s="18"/>
      <c r="K32" s="5"/>
      <c r="L32" s="5"/>
      <c r="M32" s="5"/>
      <c r="N32" s="5"/>
      <c r="O32" s="5"/>
      <c r="P32" s="5"/>
      <c r="Q32" s="5"/>
      <c r="R32" s="5"/>
      <c r="S32" s="5"/>
      <c r="T32" s="5"/>
      <c r="U32" s="5"/>
      <c r="V32" s="5"/>
      <c r="W32" s="5"/>
      <c r="X32" s="5"/>
      <c r="Y32" s="5"/>
    </row>
    <row r="33" spans="1:25" ht="15" thickBot="1" x14ac:dyDescent="0.35">
      <c r="A33" s="27">
        <v>31</v>
      </c>
      <c r="B33" s="21">
        <v>32</v>
      </c>
      <c r="C33" s="22">
        <v>0.40910000000000002</v>
      </c>
      <c r="D33" s="21">
        <v>0.71</v>
      </c>
      <c r="E33" s="21">
        <v>0.22389999999999999</v>
      </c>
      <c r="F33" s="21">
        <v>0</v>
      </c>
      <c r="G33" s="21">
        <v>8</v>
      </c>
      <c r="H33" s="23">
        <v>8</v>
      </c>
      <c r="I33" s="23">
        <v>0.40910000000000002</v>
      </c>
      <c r="J33" s="18"/>
      <c r="K33" s="5"/>
      <c r="L33" s="5"/>
      <c r="M33" s="5"/>
      <c r="N33" s="5"/>
      <c r="O33" s="5"/>
      <c r="P33" s="5"/>
      <c r="Q33" s="5"/>
      <c r="R33" s="5"/>
      <c r="S33" s="5"/>
      <c r="T33" s="5"/>
      <c r="U33" s="5"/>
      <c r="V33" s="5"/>
      <c r="W33" s="5"/>
      <c r="X33" s="5"/>
      <c r="Y33" s="5"/>
    </row>
    <row r="34" spans="1:25" ht="15" thickBot="1" x14ac:dyDescent="0.35">
      <c r="A34" s="27">
        <v>32</v>
      </c>
      <c r="B34" s="21">
        <v>33</v>
      </c>
      <c r="C34" s="22">
        <v>0.19993489148580987</v>
      </c>
      <c r="D34" s="21">
        <v>0.76</v>
      </c>
      <c r="E34" s="21">
        <v>0.22389999999999999</v>
      </c>
      <c r="F34" s="21">
        <v>1</v>
      </c>
      <c r="G34" s="21">
        <v>19</v>
      </c>
      <c r="H34" s="23">
        <v>20</v>
      </c>
      <c r="I34" s="38">
        <v>0.19993489148580987</v>
      </c>
      <c r="J34" s="18"/>
      <c r="K34" s="5"/>
      <c r="L34" s="5"/>
      <c r="M34" s="5"/>
      <c r="N34" s="5"/>
      <c r="O34" s="5"/>
      <c r="P34" s="5"/>
      <c r="Q34" s="5"/>
      <c r="R34" s="5"/>
      <c r="S34" s="5"/>
      <c r="T34" s="5"/>
      <c r="U34" s="5"/>
      <c r="V34" s="5"/>
      <c r="W34" s="5"/>
      <c r="X34" s="5"/>
      <c r="Y34" s="5"/>
    </row>
    <row r="35" spans="1:25" ht="15" thickBot="1" x14ac:dyDescent="0.35">
      <c r="A35" s="27">
        <v>33</v>
      </c>
      <c r="B35" s="21">
        <v>34</v>
      </c>
      <c r="C35" s="22">
        <v>0.34849999999999998</v>
      </c>
      <c r="D35" s="21">
        <v>0.81</v>
      </c>
      <c r="E35" s="21">
        <v>0.22389999999999999</v>
      </c>
      <c r="F35" s="21">
        <v>7</v>
      </c>
      <c r="G35" s="21">
        <v>46</v>
      </c>
      <c r="H35" s="23">
        <v>53</v>
      </c>
      <c r="I35" s="23">
        <v>0.34849999999999998</v>
      </c>
      <c r="J35" s="18"/>
      <c r="K35" s="5"/>
      <c r="L35" s="5"/>
      <c r="M35" s="5"/>
      <c r="N35" s="5"/>
      <c r="O35" s="5"/>
      <c r="P35" s="5"/>
      <c r="Q35" s="5"/>
      <c r="R35" s="5"/>
      <c r="S35" s="5"/>
      <c r="T35" s="5"/>
      <c r="U35" s="5"/>
      <c r="V35" s="5"/>
      <c r="W35" s="5"/>
      <c r="X35" s="5"/>
      <c r="Y35" s="5"/>
    </row>
    <row r="36" spans="1:25" ht="15" thickBot="1" x14ac:dyDescent="0.35">
      <c r="A36" s="27">
        <v>34</v>
      </c>
      <c r="B36" s="21">
        <v>35</v>
      </c>
      <c r="C36" s="22">
        <v>0.33329999999999999</v>
      </c>
      <c r="D36" s="21">
        <v>0.71</v>
      </c>
      <c r="E36" s="21">
        <v>0.25369999999999998</v>
      </c>
      <c r="F36" s="21">
        <v>16</v>
      </c>
      <c r="G36" s="21">
        <v>54</v>
      </c>
      <c r="H36" s="23">
        <v>70</v>
      </c>
      <c r="I36" s="23">
        <v>0.33329999999999999</v>
      </c>
      <c r="J36" s="18"/>
      <c r="K36" s="5"/>
      <c r="L36" s="5"/>
      <c r="M36" s="5"/>
      <c r="N36" s="5"/>
      <c r="O36" s="5"/>
      <c r="P36" s="5"/>
      <c r="Q36" s="5"/>
      <c r="R36" s="5"/>
      <c r="S36" s="5"/>
      <c r="T36" s="5"/>
      <c r="U36" s="5"/>
      <c r="V36" s="5"/>
      <c r="W36" s="5"/>
      <c r="X36" s="5"/>
      <c r="Y36" s="5"/>
    </row>
    <row r="37" spans="1:25" ht="15" thickBot="1" x14ac:dyDescent="0.35">
      <c r="A37" s="27">
        <v>35</v>
      </c>
      <c r="B37" s="21">
        <v>36</v>
      </c>
      <c r="C37" s="22">
        <v>0.33329999999999999</v>
      </c>
      <c r="D37" s="21">
        <v>0.66</v>
      </c>
      <c r="E37" s="21">
        <v>0.29849999999999999</v>
      </c>
      <c r="F37" s="21">
        <v>20</v>
      </c>
      <c r="G37" s="21">
        <v>73</v>
      </c>
      <c r="H37" s="23">
        <v>93</v>
      </c>
      <c r="I37" s="23">
        <v>0.33329999999999999</v>
      </c>
      <c r="J37" s="18"/>
      <c r="K37" s="5"/>
      <c r="L37" s="5"/>
      <c r="M37" s="5"/>
      <c r="N37" s="5"/>
      <c r="O37" s="5"/>
      <c r="P37" s="5"/>
      <c r="Q37" s="5"/>
      <c r="R37" s="5"/>
      <c r="S37" s="5"/>
      <c r="T37" s="5"/>
      <c r="U37" s="5"/>
      <c r="V37" s="5"/>
      <c r="W37" s="5"/>
      <c r="X37" s="5"/>
      <c r="Y37" s="5"/>
    </row>
    <row r="38" spans="1:25" ht="15" thickBot="1" x14ac:dyDescent="0.35">
      <c r="A38" s="27">
        <v>36</v>
      </c>
      <c r="B38" s="21">
        <v>37</v>
      </c>
      <c r="C38" s="22">
        <v>0.34849999999999998</v>
      </c>
      <c r="D38" s="21">
        <v>0.66</v>
      </c>
      <c r="E38" s="21">
        <v>0.1343</v>
      </c>
      <c r="F38" s="21">
        <v>11</v>
      </c>
      <c r="G38" s="21">
        <v>64</v>
      </c>
      <c r="H38" s="23">
        <v>75</v>
      </c>
      <c r="I38" s="23">
        <v>0.34849999999999998</v>
      </c>
      <c r="J38" s="18"/>
      <c r="K38" s="5"/>
      <c r="L38" s="5"/>
      <c r="M38" s="5"/>
      <c r="N38" s="5"/>
      <c r="O38" s="5"/>
      <c r="P38" s="5"/>
      <c r="Q38" s="5"/>
      <c r="R38" s="5"/>
      <c r="S38" s="5"/>
      <c r="T38" s="5"/>
      <c r="U38" s="5"/>
      <c r="V38" s="5"/>
      <c r="W38" s="5"/>
      <c r="X38" s="5"/>
      <c r="Y38" s="5"/>
    </row>
    <row r="39" spans="1:25" ht="15" thickBot="1" x14ac:dyDescent="0.35">
      <c r="A39" s="27">
        <v>37</v>
      </c>
      <c r="B39" s="21">
        <v>38</v>
      </c>
      <c r="C39" s="22">
        <v>0.19993489148580987</v>
      </c>
      <c r="D39" s="21">
        <v>0.76</v>
      </c>
      <c r="E39" s="21">
        <v>0.19400000000000001</v>
      </c>
      <c r="F39" s="21">
        <v>4</v>
      </c>
      <c r="G39" s="21">
        <v>55</v>
      </c>
      <c r="H39" s="23">
        <v>59</v>
      </c>
      <c r="I39" s="38">
        <v>0.19993489148580987</v>
      </c>
      <c r="J39" s="18"/>
      <c r="K39" s="5"/>
      <c r="L39" s="5"/>
      <c r="M39" s="5"/>
      <c r="N39" s="5"/>
      <c r="O39" s="5"/>
      <c r="P39" s="5"/>
      <c r="Q39" s="5"/>
      <c r="R39" s="5"/>
      <c r="S39" s="5"/>
      <c r="T39" s="5"/>
      <c r="U39" s="5"/>
      <c r="V39" s="5"/>
      <c r="W39" s="5"/>
      <c r="X39" s="5"/>
      <c r="Y39" s="5"/>
    </row>
    <row r="40" spans="1:25" ht="15" thickBot="1" x14ac:dyDescent="0.35">
      <c r="A40" s="27">
        <v>38</v>
      </c>
      <c r="B40" s="21">
        <v>39</v>
      </c>
      <c r="C40" s="22">
        <v>0.33329999999999999</v>
      </c>
      <c r="D40" s="21">
        <v>0.81</v>
      </c>
      <c r="E40" s="21">
        <v>0.16420000000000001</v>
      </c>
      <c r="F40" s="21">
        <v>19</v>
      </c>
      <c r="G40" s="21">
        <v>55</v>
      </c>
      <c r="H40" s="23">
        <v>74</v>
      </c>
      <c r="I40" s="23">
        <v>0.33329999999999999</v>
      </c>
      <c r="J40" s="18"/>
      <c r="K40" s="5"/>
      <c r="L40" s="5"/>
      <c r="M40" s="5"/>
      <c r="N40" s="5"/>
      <c r="O40" s="5"/>
      <c r="P40" s="5"/>
      <c r="Q40" s="5"/>
      <c r="R40" s="5"/>
      <c r="S40" s="5"/>
      <c r="T40" s="5"/>
      <c r="U40" s="5"/>
      <c r="V40" s="5"/>
      <c r="W40" s="5"/>
      <c r="X40" s="5"/>
      <c r="Y40" s="5"/>
    </row>
    <row r="41" spans="1:25" ht="15" thickBot="1" x14ac:dyDescent="0.35">
      <c r="A41" s="27">
        <v>39</v>
      </c>
      <c r="B41" s="21">
        <v>40</v>
      </c>
      <c r="C41" s="22">
        <v>0.33329999999999999</v>
      </c>
      <c r="D41" s="21">
        <v>0.71</v>
      </c>
      <c r="E41" s="21">
        <v>0.16420000000000001</v>
      </c>
      <c r="F41" s="21">
        <v>9</v>
      </c>
      <c r="G41" s="21">
        <v>67</v>
      </c>
      <c r="H41" s="23">
        <v>76</v>
      </c>
      <c r="I41" s="23">
        <v>0.33329999999999999</v>
      </c>
      <c r="J41" s="18"/>
      <c r="K41" s="5"/>
      <c r="L41" s="5"/>
      <c r="M41" s="5"/>
      <c r="N41" s="5"/>
      <c r="O41" s="5"/>
      <c r="P41" s="5"/>
      <c r="Q41" s="5"/>
      <c r="R41" s="5"/>
      <c r="S41" s="5"/>
      <c r="T41" s="5"/>
      <c r="U41" s="5"/>
      <c r="V41" s="5"/>
      <c r="W41" s="5"/>
      <c r="X41" s="5"/>
      <c r="Y41" s="5"/>
    </row>
    <row r="42" spans="1:25" ht="15" thickBot="1" x14ac:dyDescent="0.35">
      <c r="A42" s="27">
        <v>40</v>
      </c>
      <c r="B42" s="21">
        <v>41</v>
      </c>
      <c r="C42" s="22">
        <v>0.33329999999999999</v>
      </c>
      <c r="D42" s="21">
        <v>0.56999999999999995</v>
      </c>
      <c r="E42" s="21">
        <v>0.19400000000000001</v>
      </c>
      <c r="F42" s="21">
        <v>7</v>
      </c>
      <c r="G42" s="21">
        <v>58</v>
      </c>
      <c r="H42" s="23">
        <v>65</v>
      </c>
      <c r="I42" s="23">
        <v>0.33329999999999999</v>
      </c>
      <c r="J42" s="18"/>
      <c r="K42" s="5"/>
      <c r="L42" s="5"/>
      <c r="M42" s="5"/>
      <c r="N42" s="5"/>
      <c r="O42" s="5"/>
      <c r="P42" s="5"/>
      <c r="Q42" s="5"/>
      <c r="R42" s="5"/>
      <c r="S42" s="5"/>
      <c r="T42" s="5"/>
      <c r="U42" s="5"/>
      <c r="V42" s="5"/>
      <c r="W42" s="5"/>
      <c r="X42" s="5"/>
      <c r="Y42" s="5"/>
    </row>
    <row r="43" spans="1:25" ht="15" thickBot="1" x14ac:dyDescent="0.35">
      <c r="A43" s="27">
        <v>41</v>
      </c>
      <c r="B43" s="21">
        <v>42</v>
      </c>
      <c r="C43" s="22">
        <v>0.33329999999999999</v>
      </c>
      <c r="D43" s="21">
        <v>0.46</v>
      </c>
      <c r="E43" s="21">
        <v>0.32840000000000003</v>
      </c>
      <c r="F43" s="21">
        <v>10</v>
      </c>
      <c r="G43" s="21">
        <v>43</v>
      </c>
      <c r="H43" s="23">
        <v>53</v>
      </c>
      <c r="I43" s="23">
        <v>0.33329999999999999</v>
      </c>
      <c r="J43" s="18"/>
      <c r="K43" s="5"/>
      <c r="L43" s="5"/>
      <c r="M43" s="5"/>
      <c r="N43" s="5"/>
      <c r="O43" s="5"/>
      <c r="P43" s="5"/>
      <c r="Q43" s="5"/>
      <c r="R43" s="5"/>
      <c r="S43" s="5"/>
      <c r="T43" s="5"/>
      <c r="U43" s="5"/>
      <c r="V43" s="5"/>
      <c r="W43" s="5"/>
      <c r="X43" s="5"/>
      <c r="Y43" s="5"/>
    </row>
    <row r="44" spans="1:25" ht="15" thickBot="1" x14ac:dyDescent="0.35">
      <c r="A44" s="27">
        <v>42</v>
      </c>
      <c r="B44" s="21">
        <v>43</v>
      </c>
      <c r="C44" s="22">
        <v>0.28789999999999999</v>
      </c>
      <c r="D44" s="21">
        <v>0.42</v>
      </c>
      <c r="E44" s="21">
        <v>0.44779999999999998</v>
      </c>
      <c r="F44" s="21">
        <v>1</v>
      </c>
      <c r="G44" s="21">
        <v>29</v>
      </c>
      <c r="H44" s="23">
        <v>30</v>
      </c>
      <c r="I44" s="23">
        <v>0.28789999999999999</v>
      </c>
      <c r="J44" s="18"/>
      <c r="K44" s="5"/>
      <c r="L44" s="5"/>
      <c r="M44" s="5"/>
      <c r="N44" s="5"/>
      <c r="O44" s="5"/>
      <c r="P44" s="5"/>
      <c r="Q44" s="5"/>
      <c r="R44" s="5"/>
      <c r="S44" s="5"/>
      <c r="T44" s="5"/>
      <c r="U44" s="5"/>
      <c r="V44" s="5"/>
      <c r="W44" s="5"/>
      <c r="X44" s="5"/>
      <c r="Y44" s="5"/>
    </row>
    <row r="45" spans="1:25" ht="15" thickBot="1" x14ac:dyDescent="0.35">
      <c r="A45" s="27">
        <v>43</v>
      </c>
      <c r="B45" s="21">
        <v>44</v>
      </c>
      <c r="C45" s="22">
        <v>0.19993489148580987</v>
      </c>
      <c r="D45" s="21">
        <v>0.39</v>
      </c>
      <c r="E45" s="21">
        <v>0.35820000000000002</v>
      </c>
      <c r="F45" s="21">
        <v>5</v>
      </c>
      <c r="G45" s="21">
        <v>17</v>
      </c>
      <c r="H45" s="23">
        <v>22</v>
      </c>
      <c r="I45" s="38">
        <v>0.19993489148580987</v>
      </c>
      <c r="J45" s="18"/>
      <c r="K45" s="5"/>
      <c r="L45" s="5"/>
      <c r="M45" s="5"/>
      <c r="N45" s="5"/>
      <c r="O45" s="5"/>
      <c r="P45" s="5"/>
      <c r="Q45" s="5"/>
      <c r="R45" s="5"/>
      <c r="S45" s="5"/>
      <c r="T45" s="5"/>
      <c r="U45" s="5"/>
      <c r="V45" s="5"/>
      <c r="W45" s="5"/>
      <c r="X45" s="5"/>
      <c r="Y45" s="5"/>
    </row>
    <row r="46" spans="1:25" ht="15" thickBot="1" x14ac:dyDescent="0.35">
      <c r="A46" s="27">
        <v>44</v>
      </c>
      <c r="B46" s="21">
        <v>45</v>
      </c>
      <c r="C46" s="22">
        <v>0.2273</v>
      </c>
      <c r="D46" s="21">
        <v>0.44</v>
      </c>
      <c r="E46" s="21">
        <v>0.32840000000000003</v>
      </c>
      <c r="F46" s="21">
        <v>11</v>
      </c>
      <c r="G46" s="21">
        <v>20</v>
      </c>
      <c r="H46" s="23">
        <v>31</v>
      </c>
      <c r="I46" s="23">
        <v>0.2273</v>
      </c>
      <c r="J46" s="18"/>
      <c r="K46" s="5"/>
      <c r="L46" s="5"/>
      <c r="M46" s="5"/>
      <c r="N46" s="5"/>
      <c r="O46" s="5"/>
      <c r="P46" s="5"/>
      <c r="Q46" s="5"/>
      <c r="R46" s="5"/>
      <c r="S46" s="5"/>
      <c r="T46" s="5"/>
      <c r="U46" s="5"/>
      <c r="V46" s="5"/>
      <c r="W46" s="5"/>
      <c r="X46" s="5"/>
      <c r="Y46" s="5"/>
    </row>
    <row r="47" spans="1:25" ht="15" thickBot="1" x14ac:dyDescent="0.35">
      <c r="A47" s="27">
        <v>45</v>
      </c>
      <c r="B47" s="21">
        <v>46</v>
      </c>
      <c r="C47" s="22">
        <v>0.21210000000000001</v>
      </c>
      <c r="D47" s="21">
        <v>0.44</v>
      </c>
      <c r="E47" s="21">
        <v>0.29849999999999999</v>
      </c>
      <c r="F47" s="21">
        <v>0</v>
      </c>
      <c r="G47" s="21">
        <v>9</v>
      </c>
      <c r="H47" s="23">
        <v>9</v>
      </c>
      <c r="I47" s="23">
        <v>0.21210000000000001</v>
      </c>
      <c r="J47" s="18"/>
      <c r="K47" s="5"/>
      <c r="L47" s="5"/>
      <c r="M47" s="5"/>
      <c r="N47" s="5"/>
      <c r="O47" s="5"/>
      <c r="P47" s="5"/>
      <c r="Q47" s="5"/>
      <c r="R47" s="5"/>
      <c r="S47" s="5"/>
      <c r="T47" s="5"/>
      <c r="U47" s="5"/>
      <c r="V47" s="5"/>
      <c r="W47" s="5"/>
      <c r="X47" s="5"/>
      <c r="Y47" s="5"/>
    </row>
    <row r="48" spans="1:25" ht="15" thickBot="1" x14ac:dyDescent="0.35">
      <c r="A48" s="27">
        <v>46</v>
      </c>
      <c r="B48" s="21">
        <v>47</v>
      </c>
      <c r="C48" s="22">
        <v>0.2273</v>
      </c>
      <c r="D48" s="21">
        <v>0.47</v>
      </c>
      <c r="E48" s="21">
        <v>0.16420000000000001</v>
      </c>
      <c r="F48" s="21">
        <v>0</v>
      </c>
      <c r="G48" s="21">
        <v>8</v>
      </c>
      <c r="H48" s="23">
        <v>8</v>
      </c>
      <c r="I48" s="23">
        <v>0.2273</v>
      </c>
      <c r="J48" s="18"/>
      <c r="K48" s="5"/>
      <c r="L48" s="5"/>
      <c r="M48" s="5"/>
      <c r="N48" s="5"/>
      <c r="O48" s="5"/>
      <c r="P48" s="5"/>
      <c r="Q48" s="5"/>
      <c r="R48" s="5"/>
      <c r="S48" s="5"/>
      <c r="T48" s="5"/>
      <c r="U48" s="5"/>
      <c r="V48" s="5"/>
      <c r="W48" s="5"/>
      <c r="X48" s="5"/>
      <c r="Y48" s="5"/>
    </row>
    <row r="49" spans="1:25" ht="15" thickBot="1" x14ac:dyDescent="0.35">
      <c r="A49" s="27">
        <v>47</v>
      </c>
      <c r="B49" s="21">
        <v>48</v>
      </c>
      <c r="C49" s="22">
        <v>0.19700000000000001</v>
      </c>
      <c r="D49" s="21">
        <v>0.44</v>
      </c>
      <c r="E49" s="21">
        <v>0.35820000000000002</v>
      </c>
      <c r="F49" s="21">
        <v>0</v>
      </c>
      <c r="G49" s="21">
        <v>5</v>
      </c>
      <c r="H49" s="23">
        <v>5</v>
      </c>
      <c r="I49" s="23">
        <v>0.19700000000000001</v>
      </c>
      <c r="J49" s="18"/>
      <c r="K49" s="5"/>
      <c r="L49" s="5"/>
      <c r="M49" s="5"/>
      <c r="N49" s="5"/>
      <c r="O49" s="5"/>
      <c r="P49" s="5"/>
      <c r="Q49" s="5"/>
      <c r="R49" s="5"/>
      <c r="S49" s="5"/>
      <c r="T49" s="5"/>
      <c r="U49" s="5"/>
      <c r="V49" s="5"/>
      <c r="W49" s="5"/>
      <c r="X49" s="5"/>
      <c r="Y49" s="5"/>
    </row>
    <row r="50" spans="1:25" ht="15" thickBot="1" x14ac:dyDescent="0.35">
      <c r="A50" s="27">
        <v>48</v>
      </c>
      <c r="B50" s="21">
        <v>49</v>
      </c>
      <c r="C50" s="22">
        <v>0.19993489148580987</v>
      </c>
      <c r="D50" s="21">
        <v>0.44</v>
      </c>
      <c r="E50" s="21">
        <v>0.41789999999999999</v>
      </c>
      <c r="F50" s="21">
        <v>0</v>
      </c>
      <c r="G50" s="21">
        <v>2</v>
      </c>
      <c r="H50" s="23">
        <v>2</v>
      </c>
      <c r="I50" s="38">
        <v>0.19993489148580987</v>
      </c>
      <c r="J50" s="18"/>
      <c r="K50" s="5"/>
      <c r="L50" s="5"/>
      <c r="M50" s="5"/>
      <c r="N50" s="5"/>
      <c r="O50" s="5"/>
      <c r="P50" s="5"/>
      <c r="Q50" s="5"/>
      <c r="R50" s="5"/>
      <c r="S50" s="5"/>
      <c r="T50" s="5"/>
      <c r="U50" s="5"/>
      <c r="V50" s="5"/>
      <c r="W50" s="5"/>
      <c r="X50" s="5"/>
      <c r="Y50" s="5"/>
    </row>
    <row r="51" spans="1:25" ht="15" thickBot="1" x14ac:dyDescent="0.35">
      <c r="A51" s="27">
        <v>49</v>
      </c>
      <c r="B51" s="21">
        <v>50</v>
      </c>
      <c r="C51" s="22">
        <v>0.13639999999999999</v>
      </c>
      <c r="D51" s="21">
        <v>0.47</v>
      </c>
      <c r="E51" s="21">
        <v>0.3881</v>
      </c>
      <c r="F51" s="21">
        <v>0</v>
      </c>
      <c r="G51" s="21">
        <v>1</v>
      </c>
      <c r="H51" s="23">
        <v>1</v>
      </c>
      <c r="I51" s="23">
        <v>0.13639999999999999</v>
      </c>
      <c r="J51" s="18"/>
      <c r="K51" s="5"/>
      <c r="L51" s="5"/>
      <c r="M51" s="5"/>
      <c r="N51" s="5"/>
      <c r="O51" s="5"/>
      <c r="P51" s="5"/>
      <c r="Q51" s="5"/>
      <c r="R51" s="5"/>
      <c r="S51" s="5"/>
      <c r="T51" s="5"/>
      <c r="U51" s="5"/>
      <c r="V51" s="5"/>
      <c r="W51" s="5"/>
      <c r="X51" s="5"/>
      <c r="Y51" s="5"/>
    </row>
    <row r="52" spans="1:25" ht="15" thickBot="1" x14ac:dyDescent="0.35">
      <c r="A52" s="27">
        <v>50</v>
      </c>
      <c r="B52" s="21">
        <v>51</v>
      </c>
      <c r="C52" s="22">
        <v>0.13639999999999999</v>
      </c>
      <c r="D52" s="21">
        <v>0.47</v>
      </c>
      <c r="E52" s="21">
        <v>0.28360000000000002</v>
      </c>
      <c r="F52" s="21">
        <v>0</v>
      </c>
      <c r="G52" s="21">
        <v>3</v>
      </c>
      <c r="H52" s="23">
        <v>3</v>
      </c>
      <c r="I52" s="23">
        <v>0.13639999999999999</v>
      </c>
      <c r="J52" s="18"/>
      <c r="K52" s="5"/>
      <c r="L52" s="5"/>
      <c r="M52" s="5"/>
      <c r="N52" s="5"/>
      <c r="O52" s="5"/>
      <c r="P52" s="5"/>
      <c r="Q52" s="5"/>
      <c r="R52" s="5"/>
      <c r="S52" s="5"/>
      <c r="T52" s="5"/>
      <c r="U52" s="5"/>
      <c r="V52" s="5"/>
      <c r="W52" s="5"/>
      <c r="X52" s="5"/>
      <c r="Y52" s="5"/>
    </row>
    <row r="53" spans="1:25" ht="15" thickBot="1" x14ac:dyDescent="0.35">
      <c r="A53" s="27">
        <v>51</v>
      </c>
      <c r="B53" s="21">
        <v>52</v>
      </c>
      <c r="C53" s="22">
        <v>0.1061</v>
      </c>
      <c r="D53" s="21">
        <v>0.5</v>
      </c>
      <c r="E53" s="21">
        <v>0.3881</v>
      </c>
      <c r="F53" s="21">
        <v>0</v>
      </c>
      <c r="G53" s="21">
        <v>30</v>
      </c>
      <c r="H53" s="23">
        <v>30</v>
      </c>
      <c r="I53" s="23">
        <v>0.1061</v>
      </c>
      <c r="J53" s="18"/>
      <c r="K53" s="5"/>
      <c r="L53" s="5"/>
      <c r="M53" s="5"/>
      <c r="N53" s="5"/>
      <c r="O53" s="5"/>
      <c r="P53" s="5"/>
      <c r="Q53" s="5"/>
      <c r="R53" s="5"/>
      <c r="S53" s="5"/>
      <c r="T53" s="5"/>
      <c r="U53" s="5"/>
      <c r="V53" s="5"/>
      <c r="W53" s="5"/>
      <c r="X53" s="5"/>
      <c r="Y53" s="5"/>
    </row>
    <row r="54" spans="1:25" ht="15" thickBot="1" x14ac:dyDescent="0.35">
      <c r="A54" s="27">
        <v>52</v>
      </c>
      <c r="B54" s="21">
        <v>53</v>
      </c>
      <c r="C54" s="22">
        <v>0.13639999999999999</v>
      </c>
      <c r="D54" s="21">
        <v>0.5</v>
      </c>
      <c r="E54" s="21">
        <v>0.19400000000000001</v>
      </c>
      <c r="F54" s="21">
        <v>1</v>
      </c>
      <c r="G54" s="21">
        <v>63</v>
      </c>
      <c r="H54" s="23">
        <v>64</v>
      </c>
      <c r="I54" s="23">
        <v>0.13639999999999999</v>
      </c>
      <c r="J54" s="18"/>
      <c r="K54" s="5"/>
      <c r="L54" s="5"/>
      <c r="M54" s="5"/>
      <c r="N54" s="5"/>
      <c r="O54" s="5"/>
      <c r="P54" s="5"/>
      <c r="Q54" s="5"/>
      <c r="R54" s="5"/>
      <c r="S54" s="5"/>
      <c r="T54" s="5"/>
      <c r="U54" s="5"/>
      <c r="V54" s="5"/>
      <c r="W54" s="5"/>
      <c r="X54" s="5"/>
      <c r="Y54" s="5"/>
    </row>
    <row r="55" spans="1:25" ht="15" thickBot="1" x14ac:dyDescent="0.35">
      <c r="A55" s="27">
        <v>53</v>
      </c>
      <c r="B55" s="21">
        <v>54</v>
      </c>
      <c r="C55" s="22">
        <v>0.1212</v>
      </c>
      <c r="D55" s="21">
        <v>0.5</v>
      </c>
      <c r="E55" s="21">
        <v>0.28360000000000002</v>
      </c>
      <c r="F55" s="21">
        <v>1</v>
      </c>
      <c r="G55" s="21">
        <v>153</v>
      </c>
      <c r="H55" s="23">
        <v>154</v>
      </c>
      <c r="I55" s="23">
        <v>0.1212</v>
      </c>
      <c r="J55" s="18"/>
      <c r="K55" s="5"/>
      <c r="L55" s="5"/>
      <c r="M55" s="5"/>
      <c r="N55" s="5"/>
      <c r="O55" s="5"/>
      <c r="P55" s="5"/>
      <c r="Q55" s="5"/>
      <c r="R55" s="5"/>
      <c r="S55" s="5"/>
      <c r="T55" s="5"/>
      <c r="U55" s="5"/>
      <c r="V55" s="5"/>
      <c r="W55" s="5"/>
      <c r="X55" s="5"/>
      <c r="Y55" s="5"/>
    </row>
    <row r="56" spans="1:25" ht="15" thickBot="1" x14ac:dyDescent="0.35">
      <c r="A56" s="27">
        <v>54</v>
      </c>
      <c r="B56" s="21">
        <v>55</v>
      </c>
      <c r="C56" s="22">
        <v>0.13639999999999999</v>
      </c>
      <c r="D56" s="21">
        <v>0.43</v>
      </c>
      <c r="E56" s="21">
        <v>0.3881</v>
      </c>
      <c r="F56" s="21">
        <v>7</v>
      </c>
      <c r="G56" s="21">
        <v>81</v>
      </c>
      <c r="H56" s="23">
        <v>88</v>
      </c>
      <c r="I56" s="23">
        <v>0.13639999999999999</v>
      </c>
      <c r="J56" s="18"/>
      <c r="K56" s="5"/>
      <c r="L56" s="5"/>
      <c r="M56" s="5"/>
      <c r="N56" s="5"/>
      <c r="O56" s="5"/>
      <c r="P56" s="5"/>
      <c r="Q56" s="5"/>
      <c r="R56" s="5"/>
      <c r="S56" s="5"/>
      <c r="T56" s="5"/>
      <c r="U56" s="5"/>
      <c r="V56" s="5"/>
      <c r="W56" s="5"/>
      <c r="X56" s="5"/>
      <c r="Y56" s="5"/>
    </row>
    <row r="57" spans="1:25" ht="15" thickBot="1" x14ac:dyDescent="0.35">
      <c r="A57" s="27">
        <v>55</v>
      </c>
      <c r="B57" s="21">
        <v>56</v>
      </c>
      <c r="C57" s="22">
        <v>0.16669999999999999</v>
      </c>
      <c r="D57" s="21">
        <v>0.43</v>
      </c>
      <c r="E57" s="21">
        <v>0.25369999999999998</v>
      </c>
      <c r="F57" s="21">
        <v>11</v>
      </c>
      <c r="G57" s="21">
        <v>33</v>
      </c>
      <c r="H57" s="23">
        <v>44</v>
      </c>
      <c r="I57" s="23">
        <v>0.16669999999999999</v>
      </c>
      <c r="J57" s="18"/>
      <c r="K57" s="5"/>
      <c r="L57" s="5"/>
      <c r="M57" s="5"/>
      <c r="N57" s="5"/>
      <c r="O57" s="5"/>
      <c r="P57" s="5"/>
      <c r="Q57" s="5"/>
      <c r="R57" s="5"/>
      <c r="S57" s="5"/>
      <c r="T57" s="5"/>
      <c r="U57" s="5"/>
      <c r="V57" s="5"/>
      <c r="W57" s="5"/>
      <c r="X57" s="5"/>
      <c r="Y57" s="5"/>
    </row>
    <row r="58" spans="1:25" ht="15" thickBot="1" x14ac:dyDescent="0.35">
      <c r="A58" s="27">
        <v>56</v>
      </c>
      <c r="B58" s="21">
        <v>57</v>
      </c>
      <c r="C58" s="22">
        <v>0.18179999999999999</v>
      </c>
      <c r="D58" s="21">
        <v>0.4</v>
      </c>
      <c r="E58" s="21">
        <v>0.32840000000000003</v>
      </c>
      <c r="F58" s="21">
        <v>10</v>
      </c>
      <c r="G58" s="21">
        <v>41</v>
      </c>
      <c r="H58" s="23">
        <v>51</v>
      </c>
      <c r="I58" s="23">
        <v>0.18179999999999999</v>
      </c>
      <c r="J58" s="18"/>
      <c r="K58" s="5"/>
      <c r="L58" s="5"/>
      <c r="M58" s="5"/>
      <c r="N58" s="5"/>
      <c r="O58" s="5"/>
      <c r="P58" s="5"/>
      <c r="Q58" s="5"/>
      <c r="R58" s="5"/>
      <c r="S58" s="5"/>
      <c r="T58" s="5"/>
      <c r="U58" s="5"/>
      <c r="V58" s="5"/>
      <c r="W58" s="5"/>
      <c r="X58" s="5"/>
      <c r="Y58" s="5"/>
    </row>
    <row r="59" spans="1:25" ht="15" thickBot="1" x14ac:dyDescent="0.35">
      <c r="A59" s="27">
        <v>57</v>
      </c>
      <c r="B59" s="21">
        <v>58</v>
      </c>
      <c r="C59" s="22">
        <v>0.21210000000000001</v>
      </c>
      <c r="D59" s="21">
        <v>0.35</v>
      </c>
      <c r="E59" s="21">
        <v>0.29849999999999999</v>
      </c>
      <c r="F59" s="21">
        <v>13</v>
      </c>
      <c r="G59" s="21">
        <v>48</v>
      </c>
      <c r="H59" s="23">
        <v>61</v>
      </c>
      <c r="I59" s="23">
        <v>0.21210000000000001</v>
      </c>
      <c r="J59" s="18"/>
      <c r="K59" s="5"/>
      <c r="L59" s="5"/>
      <c r="M59" s="5"/>
      <c r="N59" s="5"/>
      <c r="O59" s="5"/>
      <c r="P59" s="5"/>
      <c r="Q59" s="5"/>
      <c r="R59" s="5"/>
      <c r="S59" s="5"/>
      <c r="T59" s="5"/>
      <c r="U59" s="5"/>
      <c r="V59" s="5"/>
      <c r="W59" s="5"/>
      <c r="X59" s="5"/>
      <c r="Y59" s="5"/>
    </row>
    <row r="60" spans="1:25" ht="15" thickBot="1" x14ac:dyDescent="0.35">
      <c r="A60" s="27">
        <v>58</v>
      </c>
      <c r="B60" s="21">
        <v>59</v>
      </c>
      <c r="C60" s="22">
        <v>0.19993489148580987</v>
      </c>
      <c r="D60" s="21">
        <v>0.35</v>
      </c>
      <c r="E60" s="21">
        <v>0.28360000000000002</v>
      </c>
      <c r="F60" s="21">
        <v>8</v>
      </c>
      <c r="G60" s="21">
        <v>53</v>
      </c>
      <c r="H60" s="23">
        <v>61</v>
      </c>
      <c r="I60" s="38">
        <v>0.19993489148580987</v>
      </c>
      <c r="J60" s="18"/>
      <c r="K60" s="5"/>
      <c r="L60" s="5"/>
      <c r="M60" s="5"/>
      <c r="N60" s="5"/>
      <c r="O60" s="5"/>
      <c r="P60" s="5"/>
      <c r="Q60" s="5"/>
      <c r="R60" s="5"/>
      <c r="S60" s="5"/>
      <c r="T60" s="5"/>
      <c r="U60" s="5"/>
      <c r="V60" s="5"/>
      <c r="W60" s="5"/>
      <c r="X60" s="5"/>
      <c r="Y60" s="5"/>
    </row>
    <row r="61" spans="1:25" ht="15" thickBot="1" x14ac:dyDescent="0.35">
      <c r="A61" s="27">
        <v>59</v>
      </c>
      <c r="B61" s="21">
        <v>60</v>
      </c>
      <c r="C61" s="22">
        <v>0.2424</v>
      </c>
      <c r="D61" s="21">
        <v>0.3</v>
      </c>
      <c r="E61" s="21">
        <v>0.28360000000000002</v>
      </c>
      <c r="F61" s="21">
        <v>11</v>
      </c>
      <c r="G61" s="21">
        <v>66</v>
      </c>
      <c r="H61" s="23">
        <v>77</v>
      </c>
      <c r="I61" s="23">
        <v>0.2424</v>
      </c>
      <c r="J61" s="18"/>
      <c r="K61" s="5"/>
      <c r="L61" s="5"/>
      <c r="M61" s="5"/>
      <c r="N61" s="5"/>
      <c r="O61" s="5"/>
      <c r="P61" s="5"/>
      <c r="Q61" s="5"/>
      <c r="R61" s="5"/>
      <c r="S61" s="5"/>
      <c r="T61" s="5"/>
      <c r="U61" s="5"/>
      <c r="V61" s="5"/>
      <c r="W61" s="5"/>
      <c r="X61" s="5"/>
      <c r="Y61" s="5"/>
    </row>
    <row r="62" spans="1:25" ht="15" thickBot="1" x14ac:dyDescent="0.35">
      <c r="A62" s="27">
        <v>60</v>
      </c>
      <c r="B62" s="21">
        <v>61</v>
      </c>
      <c r="C62" s="22">
        <v>0.2424</v>
      </c>
      <c r="D62" s="21">
        <v>0.3</v>
      </c>
      <c r="E62" s="21">
        <v>0.25369999999999998</v>
      </c>
      <c r="F62" s="21">
        <v>14</v>
      </c>
      <c r="G62" s="21">
        <v>58</v>
      </c>
      <c r="H62" s="23">
        <v>72</v>
      </c>
      <c r="I62" s="23">
        <v>0.2424</v>
      </c>
      <c r="J62" s="18"/>
      <c r="K62" s="5"/>
      <c r="L62" s="5"/>
      <c r="M62" s="5"/>
      <c r="N62" s="5"/>
      <c r="O62" s="5"/>
      <c r="P62" s="5"/>
      <c r="Q62" s="5"/>
      <c r="R62" s="5"/>
      <c r="S62" s="5"/>
      <c r="T62" s="5"/>
      <c r="U62" s="5"/>
      <c r="V62" s="5"/>
      <c r="W62" s="5"/>
      <c r="X62" s="5"/>
      <c r="Y62" s="5"/>
    </row>
    <row r="63" spans="1:25" ht="15" thickBot="1" x14ac:dyDescent="0.35">
      <c r="A63" s="27">
        <v>61</v>
      </c>
      <c r="B63" s="21">
        <v>62</v>
      </c>
      <c r="C63" s="22">
        <v>0.2424</v>
      </c>
      <c r="D63" s="21">
        <v>0.3</v>
      </c>
      <c r="E63" s="21">
        <v>0.25369999999999998</v>
      </c>
      <c r="F63" s="21">
        <v>9</v>
      </c>
      <c r="G63" s="21">
        <v>67</v>
      </c>
      <c r="H63" s="23">
        <v>76</v>
      </c>
      <c r="I63" s="23">
        <v>0.2424</v>
      </c>
      <c r="J63" s="18"/>
      <c r="K63" s="5"/>
      <c r="L63" s="5"/>
      <c r="M63" s="5"/>
      <c r="N63" s="5"/>
      <c r="O63" s="5"/>
      <c r="P63" s="5"/>
      <c r="Q63" s="5"/>
      <c r="R63" s="5"/>
      <c r="S63" s="5"/>
      <c r="T63" s="5"/>
      <c r="U63" s="5"/>
      <c r="V63" s="5"/>
      <c r="W63" s="5"/>
      <c r="X63" s="5"/>
      <c r="Y63" s="5"/>
    </row>
    <row r="64" spans="1:25" ht="15" thickBot="1" x14ac:dyDescent="0.35">
      <c r="A64" s="27">
        <v>62</v>
      </c>
      <c r="B64" s="21">
        <v>63</v>
      </c>
      <c r="C64" s="22">
        <v>0.2273</v>
      </c>
      <c r="D64" s="21">
        <v>0.3</v>
      </c>
      <c r="E64" s="21">
        <v>0.22389999999999999</v>
      </c>
      <c r="F64" s="21">
        <v>11</v>
      </c>
      <c r="G64" s="21">
        <v>146</v>
      </c>
      <c r="H64" s="23">
        <v>157</v>
      </c>
      <c r="I64" s="23">
        <v>0.2273</v>
      </c>
      <c r="J64" s="18"/>
      <c r="K64" s="5"/>
      <c r="L64" s="5"/>
      <c r="M64" s="5"/>
      <c r="N64" s="5"/>
      <c r="O64" s="5"/>
      <c r="P64" s="5"/>
      <c r="Q64" s="5"/>
      <c r="R64" s="5"/>
      <c r="S64" s="5"/>
      <c r="T64" s="5"/>
      <c r="U64" s="5"/>
      <c r="V64" s="5"/>
      <c r="W64" s="5"/>
      <c r="X64" s="5"/>
      <c r="Y64" s="5"/>
    </row>
    <row r="65" spans="1:25" ht="15" thickBot="1" x14ac:dyDescent="0.35">
      <c r="A65" s="27">
        <v>63</v>
      </c>
      <c r="B65" s="21">
        <v>64</v>
      </c>
      <c r="C65" s="22">
        <v>0.2576</v>
      </c>
      <c r="D65" s="21">
        <v>0.32</v>
      </c>
      <c r="E65" s="21">
        <v>0.1045</v>
      </c>
      <c r="F65" s="21">
        <v>9</v>
      </c>
      <c r="G65" s="21">
        <v>148</v>
      </c>
      <c r="H65" s="23">
        <v>157</v>
      </c>
      <c r="I65" s="23">
        <v>0.2576</v>
      </c>
      <c r="J65" s="18"/>
      <c r="K65" s="5"/>
      <c r="L65" s="5"/>
      <c r="M65" s="5"/>
      <c r="N65" s="5"/>
      <c r="O65" s="5"/>
      <c r="P65" s="5"/>
      <c r="Q65" s="5"/>
      <c r="R65" s="5"/>
      <c r="S65" s="5"/>
      <c r="T65" s="5"/>
      <c r="U65" s="5"/>
      <c r="V65" s="5"/>
      <c r="W65" s="5"/>
      <c r="X65" s="5"/>
      <c r="Y65" s="5"/>
    </row>
    <row r="66" spans="1:25" ht="15" thickBot="1" x14ac:dyDescent="0.35">
      <c r="A66" s="27">
        <v>64</v>
      </c>
      <c r="B66" s="21">
        <v>65</v>
      </c>
      <c r="C66" s="22">
        <v>0.2576</v>
      </c>
      <c r="D66" s="21">
        <v>0.47</v>
      </c>
      <c r="E66" s="22">
        <v>0.20485098360655737</v>
      </c>
      <c r="F66" s="21">
        <v>8</v>
      </c>
      <c r="G66" s="21">
        <v>102</v>
      </c>
      <c r="H66" s="23">
        <v>110</v>
      </c>
      <c r="I66" s="23">
        <v>0.2576</v>
      </c>
      <c r="J66" s="18"/>
      <c r="K66" s="5"/>
      <c r="L66" s="5"/>
      <c r="M66" s="5"/>
      <c r="N66" s="5"/>
      <c r="O66" s="5"/>
      <c r="P66" s="5"/>
      <c r="Q66" s="5"/>
      <c r="R66" s="5"/>
      <c r="S66" s="5"/>
      <c r="T66" s="5"/>
      <c r="U66" s="5"/>
      <c r="V66" s="5"/>
      <c r="W66" s="5"/>
      <c r="X66" s="5"/>
      <c r="Y66" s="5"/>
    </row>
    <row r="67" spans="1:25" ht="15" thickBot="1" x14ac:dyDescent="0.35">
      <c r="A67" s="27">
        <v>65</v>
      </c>
      <c r="B67" s="21">
        <v>66</v>
      </c>
      <c r="C67" s="22">
        <v>0.19993489148580987</v>
      </c>
      <c r="D67" s="21">
        <v>0.47</v>
      </c>
      <c r="E67" s="21">
        <v>0.1045</v>
      </c>
      <c r="F67" s="21">
        <v>3</v>
      </c>
      <c r="G67" s="21">
        <v>49</v>
      </c>
      <c r="H67" s="23">
        <v>52</v>
      </c>
      <c r="I67" s="38">
        <v>0.19993489148580987</v>
      </c>
      <c r="J67" s="18"/>
      <c r="K67" s="5"/>
      <c r="L67" s="5"/>
      <c r="M67" s="5"/>
      <c r="N67" s="5"/>
      <c r="O67" s="5"/>
      <c r="P67" s="5"/>
      <c r="Q67" s="5"/>
      <c r="R67" s="5"/>
      <c r="S67" s="5"/>
      <c r="T67" s="5"/>
      <c r="U67" s="5"/>
      <c r="V67" s="5"/>
      <c r="W67" s="5"/>
      <c r="X67" s="5"/>
      <c r="Y67" s="5"/>
    </row>
    <row r="68" spans="1:25" ht="15" thickBot="1" x14ac:dyDescent="0.35">
      <c r="A68" s="27">
        <v>66</v>
      </c>
      <c r="B68" s="21">
        <v>67</v>
      </c>
      <c r="C68" s="22">
        <v>0.19700000000000001</v>
      </c>
      <c r="D68" s="21">
        <v>0.64</v>
      </c>
      <c r="E68" s="21">
        <v>0.1343</v>
      </c>
      <c r="F68" s="21">
        <v>3</v>
      </c>
      <c r="G68" s="21">
        <v>49</v>
      </c>
      <c r="H68" s="23">
        <v>52</v>
      </c>
      <c r="I68" s="23">
        <v>0.19700000000000001</v>
      </c>
      <c r="J68" s="18"/>
      <c r="K68" s="5"/>
      <c r="L68" s="5"/>
      <c r="M68" s="5"/>
      <c r="N68" s="5"/>
      <c r="O68" s="5"/>
      <c r="P68" s="5"/>
      <c r="Q68" s="5"/>
      <c r="R68" s="5"/>
      <c r="S68" s="5"/>
      <c r="T68" s="5"/>
      <c r="U68" s="5"/>
      <c r="V68" s="5"/>
      <c r="W68" s="5"/>
      <c r="X68" s="5"/>
      <c r="Y68" s="5"/>
    </row>
    <row r="69" spans="1:25" ht="15" thickBot="1" x14ac:dyDescent="0.35">
      <c r="A69" s="27">
        <v>67</v>
      </c>
      <c r="B69" s="21">
        <v>68</v>
      </c>
      <c r="C69" s="22">
        <v>0.1515</v>
      </c>
      <c r="D69" s="21">
        <v>0.69</v>
      </c>
      <c r="E69" s="21">
        <v>0.1343</v>
      </c>
      <c r="F69" s="21">
        <v>0</v>
      </c>
      <c r="G69" s="21">
        <v>20</v>
      </c>
      <c r="H69" s="23">
        <v>20</v>
      </c>
      <c r="I69" s="23">
        <v>0.1515</v>
      </c>
      <c r="J69" s="18"/>
      <c r="K69" s="5"/>
      <c r="L69" s="5"/>
      <c r="M69" s="5"/>
      <c r="N69" s="5"/>
      <c r="O69" s="5"/>
      <c r="P69" s="5"/>
      <c r="Q69" s="5"/>
      <c r="R69" s="5"/>
      <c r="S69" s="5"/>
      <c r="T69" s="5"/>
      <c r="U69" s="5"/>
      <c r="V69" s="5"/>
      <c r="W69" s="5"/>
      <c r="X69" s="5"/>
      <c r="Y69" s="5"/>
    </row>
    <row r="70" spans="1:25" ht="15" thickBot="1" x14ac:dyDescent="0.35">
      <c r="A70" s="27">
        <v>68</v>
      </c>
      <c r="B70" s="21">
        <v>69</v>
      </c>
      <c r="C70" s="22">
        <v>0.21210000000000001</v>
      </c>
      <c r="D70" s="21">
        <v>0.55000000000000004</v>
      </c>
      <c r="E70" s="21">
        <v>0.1045</v>
      </c>
      <c r="F70" s="21">
        <v>1</v>
      </c>
      <c r="G70" s="21">
        <v>11</v>
      </c>
      <c r="H70" s="23">
        <v>12</v>
      </c>
      <c r="I70" s="23">
        <v>0.21210000000000001</v>
      </c>
      <c r="J70" s="18"/>
      <c r="K70" s="5"/>
      <c r="L70" s="5"/>
      <c r="M70" s="5"/>
      <c r="N70" s="5"/>
      <c r="O70" s="5"/>
      <c r="P70" s="5"/>
      <c r="Q70" s="5"/>
      <c r="R70" s="5"/>
      <c r="S70" s="5"/>
      <c r="T70" s="5"/>
      <c r="U70" s="5"/>
      <c r="V70" s="5"/>
      <c r="W70" s="5"/>
      <c r="X70" s="5"/>
      <c r="Y70" s="5"/>
    </row>
    <row r="71" spans="1:25" ht="15" thickBot="1" x14ac:dyDescent="0.35">
      <c r="A71" s="27">
        <v>69</v>
      </c>
      <c r="B71" s="21">
        <v>70</v>
      </c>
      <c r="C71" s="22">
        <v>0.19993489148580987</v>
      </c>
      <c r="D71" s="21">
        <v>0.55000000000000004</v>
      </c>
      <c r="E71" s="21">
        <v>0.1045</v>
      </c>
      <c r="F71" s="21">
        <v>0</v>
      </c>
      <c r="G71" s="21">
        <v>5</v>
      </c>
      <c r="H71" s="23">
        <v>5</v>
      </c>
      <c r="I71" s="38">
        <v>0.19993489148580987</v>
      </c>
      <c r="J71" s="18"/>
      <c r="K71" s="5"/>
      <c r="L71" s="5"/>
      <c r="M71" s="5"/>
      <c r="N71" s="5"/>
      <c r="O71" s="5"/>
      <c r="P71" s="5"/>
      <c r="Q71" s="5"/>
      <c r="R71" s="5"/>
      <c r="S71" s="5"/>
      <c r="T71" s="5"/>
      <c r="U71" s="5"/>
      <c r="V71" s="5"/>
      <c r="W71" s="5"/>
      <c r="X71" s="5"/>
      <c r="Y71" s="5"/>
    </row>
    <row r="72" spans="1:25" ht="15" thickBot="1" x14ac:dyDescent="0.35">
      <c r="A72" s="27">
        <v>70</v>
      </c>
      <c r="B72" s="21">
        <v>71</v>
      </c>
      <c r="C72" s="22">
        <v>0.18179999999999999</v>
      </c>
      <c r="D72" s="21">
        <v>0.59</v>
      </c>
      <c r="E72" s="21">
        <v>0.1045</v>
      </c>
      <c r="F72" s="21">
        <v>0</v>
      </c>
      <c r="G72" s="21">
        <v>2</v>
      </c>
      <c r="H72" s="23">
        <v>2</v>
      </c>
      <c r="I72" s="23">
        <v>0.18179999999999999</v>
      </c>
      <c r="J72" s="18"/>
      <c r="K72" s="5"/>
      <c r="L72" s="5"/>
      <c r="M72" s="5"/>
      <c r="N72" s="5"/>
      <c r="O72" s="5"/>
      <c r="P72" s="5"/>
      <c r="Q72" s="5"/>
      <c r="R72" s="5"/>
      <c r="S72" s="5"/>
      <c r="T72" s="5"/>
      <c r="U72" s="5"/>
      <c r="V72" s="5"/>
      <c r="W72" s="5"/>
      <c r="X72" s="5"/>
      <c r="Y72" s="5"/>
    </row>
    <row r="73" spans="1:25" ht="15" thickBot="1" x14ac:dyDescent="0.35">
      <c r="A73" s="27">
        <v>71</v>
      </c>
      <c r="B73" s="21">
        <v>72</v>
      </c>
      <c r="C73" s="22">
        <v>0.1515</v>
      </c>
      <c r="D73" s="21">
        <v>0.63</v>
      </c>
      <c r="E73" s="21">
        <v>0.1343</v>
      </c>
      <c r="F73" s="21">
        <v>0</v>
      </c>
      <c r="G73" s="21">
        <v>1</v>
      </c>
      <c r="H73" s="23">
        <v>1</v>
      </c>
      <c r="I73" s="23">
        <v>0.1515</v>
      </c>
      <c r="J73" s="18"/>
      <c r="K73" s="5"/>
      <c r="L73" s="5"/>
      <c r="M73" s="5"/>
      <c r="N73" s="5"/>
      <c r="O73" s="5"/>
      <c r="P73" s="5"/>
      <c r="Q73" s="5"/>
      <c r="R73" s="5"/>
      <c r="S73" s="5"/>
      <c r="T73" s="5"/>
      <c r="U73" s="5"/>
      <c r="V73" s="5"/>
      <c r="W73" s="5"/>
      <c r="X73" s="5"/>
      <c r="Y73" s="5"/>
    </row>
    <row r="74" spans="1:25" ht="15" thickBot="1" x14ac:dyDescent="0.35">
      <c r="A74" s="27">
        <v>72</v>
      </c>
      <c r="B74" s="21">
        <v>73</v>
      </c>
      <c r="C74" s="22">
        <v>0.18179999999999999</v>
      </c>
      <c r="D74" s="21">
        <v>0.63</v>
      </c>
      <c r="E74" s="21">
        <v>8.9599999999999999E-2</v>
      </c>
      <c r="F74" s="21">
        <v>0</v>
      </c>
      <c r="G74" s="21">
        <v>2</v>
      </c>
      <c r="H74" s="23">
        <v>2</v>
      </c>
      <c r="I74" s="23">
        <v>0.18179999999999999</v>
      </c>
      <c r="J74" s="18"/>
      <c r="K74" s="5"/>
      <c r="L74" s="5"/>
      <c r="M74" s="5"/>
      <c r="N74" s="5"/>
      <c r="O74" s="5"/>
      <c r="P74" s="5"/>
      <c r="Q74" s="5"/>
      <c r="R74" s="5"/>
      <c r="S74" s="5"/>
      <c r="T74" s="5"/>
      <c r="U74" s="5"/>
      <c r="V74" s="5"/>
      <c r="W74" s="5"/>
      <c r="X74" s="5"/>
      <c r="Y74" s="5"/>
    </row>
    <row r="75" spans="1:25" ht="15" thickBot="1" x14ac:dyDescent="0.35">
      <c r="A75" s="27">
        <v>73</v>
      </c>
      <c r="B75" s="21">
        <v>74</v>
      </c>
      <c r="C75" s="22">
        <v>0.1515</v>
      </c>
      <c r="D75" s="21">
        <v>0.68</v>
      </c>
      <c r="E75" s="21">
        <v>0.1045</v>
      </c>
      <c r="F75" s="21">
        <v>0</v>
      </c>
      <c r="G75" s="21">
        <v>4</v>
      </c>
      <c r="H75" s="23">
        <v>4</v>
      </c>
      <c r="I75" s="23">
        <v>0.1515</v>
      </c>
      <c r="J75" s="18"/>
      <c r="K75" s="5"/>
      <c r="L75" s="5"/>
      <c r="M75" s="5"/>
      <c r="N75" s="5"/>
      <c r="O75" s="5"/>
      <c r="P75" s="5"/>
      <c r="Q75" s="5"/>
      <c r="R75" s="5"/>
      <c r="S75" s="5"/>
      <c r="T75" s="5"/>
      <c r="U75" s="5"/>
      <c r="V75" s="5"/>
      <c r="W75" s="5"/>
      <c r="X75" s="5"/>
      <c r="Y75" s="5"/>
    </row>
    <row r="76" spans="1:25" ht="15" thickBot="1" x14ac:dyDescent="0.35">
      <c r="A76" s="27">
        <v>74</v>
      </c>
      <c r="B76" s="21">
        <v>75</v>
      </c>
      <c r="C76" s="22">
        <v>0.1515</v>
      </c>
      <c r="D76" s="21">
        <v>0.74</v>
      </c>
      <c r="E76" s="21">
        <v>0.1045</v>
      </c>
      <c r="F76" s="21">
        <v>0</v>
      </c>
      <c r="G76" s="21">
        <v>36</v>
      </c>
      <c r="H76" s="23">
        <v>36</v>
      </c>
      <c r="I76" s="23">
        <v>0.1515</v>
      </c>
      <c r="J76" s="18"/>
      <c r="K76" s="5"/>
      <c r="L76" s="5"/>
      <c r="M76" s="5"/>
      <c r="N76" s="5"/>
      <c r="O76" s="5"/>
      <c r="P76" s="5"/>
      <c r="Q76" s="5"/>
      <c r="R76" s="5"/>
      <c r="S76" s="5"/>
      <c r="T76" s="5"/>
      <c r="U76" s="5"/>
      <c r="V76" s="5"/>
      <c r="W76" s="5"/>
      <c r="X76" s="5"/>
      <c r="Y76" s="5"/>
    </row>
    <row r="77" spans="1:25" ht="15" thickBot="1" x14ac:dyDescent="0.35">
      <c r="A77" s="27">
        <v>75</v>
      </c>
      <c r="B77" s="21">
        <v>76</v>
      </c>
      <c r="C77" s="22">
        <v>0.1515</v>
      </c>
      <c r="D77" s="21">
        <v>0.74</v>
      </c>
      <c r="E77" s="21">
        <v>0.1343</v>
      </c>
      <c r="F77" s="21">
        <v>2</v>
      </c>
      <c r="G77" s="21">
        <v>92</v>
      </c>
      <c r="H77" s="23">
        <v>94</v>
      </c>
      <c r="I77" s="23">
        <v>0.1515</v>
      </c>
      <c r="J77" s="18"/>
      <c r="K77" s="5"/>
      <c r="L77" s="5"/>
      <c r="M77" s="5"/>
      <c r="N77" s="5"/>
      <c r="O77" s="5"/>
      <c r="P77" s="5"/>
      <c r="Q77" s="5"/>
      <c r="R77" s="5"/>
      <c r="S77" s="5"/>
      <c r="T77" s="5"/>
      <c r="U77" s="5"/>
      <c r="V77" s="5"/>
      <c r="W77" s="5"/>
      <c r="X77" s="5"/>
      <c r="Y77" s="5"/>
    </row>
    <row r="78" spans="1:25" ht="15" thickBot="1" x14ac:dyDescent="0.35">
      <c r="A78" s="27">
        <v>76</v>
      </c>
      <c r="B78" s="21">
        <v>77</v>
      </c>
      <c r="C78" s="22">
        <v>0.1515</v>
      </c>
      <c r="D78" s="21">
        <v>0.69</v>
      </c>
      <c r="E78" s="21">
        <v>0.16420000000000001</v>
      </c>
      <c r="F78" s="21">
        <v>2</v>
      </c>
      <c r="G78" s="21">
        <v>177</v>
      </c>
      <c r="H78" s="23">
        <v>179</v>
      </c>
      <c r="I78" s="23">
        <v>0.1515</v>
      </c>
      <c r="J78" s="18"/>
      <c r="K78" s="5"/>
      <c r="L78" s="5"/>
      <c r="M78" s="5"/>
      <c r="N78" s="5"/>
      <c r="O78" s="5"/>
      <c r="P78" s="5"/>
      <c r="Q78" s="5"/>
      <c r="R78" s="5"/>
      <c r="S78" s="5"/>
      <c r="T78" s="5"/>
      <c r="U78" s="5"/>
      <c r="V78" s="5"/>
      <c r="W78" s="5"/>
      <c r="X78" s="5"/>
      <c r="Y78" s="5"/>
    </row>
    <row r="79" spans="1:25" ht="15" thickBot="1" x14ac:dyDescent="0.35">
      <c r="A79" s="27">
        <v>77</v>
      </c>
      <c r="B79" s="21">
        <v>78</v>
      </c>
      <c r="C79" s="22">
        <v>0.1515</v>
      </c>
      <c r="D79" s="21">
        <v>0.64</v>
      </c>
      <c r="E79" s="21">
        <v>0.22389999999999999</v>
      </c>
      <c r="F79" s="21">
        <v>2</v>
      </c>
      <c r="G79" s="21">
        <v>98</v>
      </c>
      <c r="H79" s="23">
        <v>100</v>
      </c>
      <c r="I79" s="23">
        <v>0.1515</v>
      </c>
      <c r="J79" s="18"/>
      <c r="K79" s="5"/>
      <c r="L79" s="5"/>
      <c r="M79" s="5"/>
      <c r="N79" s="5"/>
      <c r="O79" s="5"/>
      <c r="P79" s="5"/>
      <c r="Q79" s="5"/>
      <c r="R79" s="5"/>
      <c r="S79" s="5"/>
      <c r="T79" s="5"/>
      <c r="U79" s="5"/>
      <c r="V79" s="5"/>
      <c r="W79" s="5"/>
      <c r="X79" s="5"/>
      <c r="Y79" s="5"/>
    </row>
    <row r="80" spans="1:25" ht="15" thickBot="1" x14ac:dyDescent="0.35">
      <c r="A80" s="27">
        <v>78</v>
      </c>
      <c r="B80" s="21">
        <v>79</v>
      </c>
      <c r="C80" s="22">
        <v>0.13639999999999999</v>
      </c>
      <c r="D80" s="21">
        <v>0.69</v>
      </c>
      <c r="E80" s="21">
        <v>0.32840000000000003</v>
      </c>
      <c r="F80" s="21">
        <v>5</v>
      </c>
      <c r="G80" s="21">
        <v>37</v>
      </c>
      <c r="H80" s="23">
        <v>42</v>
      </c>
      <c r="I80" s="23">
        <v>0.13639999999999999</v>
      </c>
      <c r="J80" s="18"/>
      <c r="K80" s="5"/>
      <c r="L80" s="5"/>
      <c r="M80" s="5"/>
      <c r="N80" s="5"/>
      <c r="O80" s="5"/>
      <c r="P80" s="5"/>
      <c r="Q80" s="5"/>
      <c r="R80" s="5"/>
      <c r="S80" s="5"/>
      <c r="T80" s="5"/>
      <c r="U80" s="5"/>
      <c r="V80" s="5"/>
      <c r="W80" s="5"/>
      <c r="X80" s="5"/>
      <c r="Y80" s="5"/>
    </row>
    <row r="81" spans="1:25" ht="15" thickBot="1" x14ac:dyDescent="0.35">
      <c r="A81" s="27">
        <v>79</v>
      </c>
      <c r="B81" s="21">
        <v>80</v>
      </c>
      <c r="C81" s="22">
        <v>0.21210000000000001</v>
      </c>
      <c r="D81" s="21">
        <v>0.51</v>
      </c>
      <c r="E81" s="21">
        <v>0.29849999999999999</v>
      </c>
      <c r="F81" s="21">
        <v>7</v>
      </c>
      <c r="G81" s="21">
        <v>50</v>
      </c>
      <c r="H81" s="23">
        <v>57</v>
      </c>
      <c r="I81" s="23">
        <v>0.21210000000000001</v>
      </c>
      <c r="J81" s="18"/>
      <c r="K81" s="5"/>
      <c r="L81" s="5"/>
      <c r="M81" s="5"/>
      <c r="N81" s="5"/>
      <c r="O81" s="5"/>
      <c r="P81" s="5"/>
      <c r="Q81" s="5"/>
      <c r="R81" s="5"/>
      <c r="S81" s="5"/>
      <c r="T81" s="5"/>
      <c r="U81" s="5"/>
      <c r="V81" s="5"/>
      <c r="W81" s="5"/>
      <c r="X81" s="5"/>
      <c r="Y81" s="5"/>
    </row>
    <row r="82" spans="1:25" ht="15" thickBot="1" x14ac:dyDescent="0.35">
      <c r="A82" s="27">
        <v>80</v>
      </c>
      <c r="B82" s="21">
        <v>81</v>
      </c>
      <c r="C82" s="22">
        <v>0.2273</v>
      </c>
      <c r="D82" s="21">
        <v>0.51</v>
      </c>
      <c r="E82" s="21">
        <v>0.16420000000000001</v>
      </c>
      <c r="F82" s="21">
        <v>12</v>
      </c>
      <c r="G82" s="21">
        <v>66</v>
      </c>
      <c r="H82" s="23">
        <v>78</v>
      </c>
      <c r="I82" s="23">
        <v>0.2273</v>
      </c>
      <c r="J82" s="18"/>
      <c r="K82" s="5"/>
      <c r="L82" s="5"/>
      <c r="M82" s="5"/>
      <c r="N82" s="5"/>
      <c r="O82" s="5"/>
      <c r="P82" s="5"/>
      <c r="Q82" s="5"/>
      <c r="R82" s="5"/>
      <c r="S82" s="5"/>
      <c r="T82" s="5"/>
      <c r="U82" s="5"/>
      <c r="V82" s="5"/>
      <c r="W82" s="5"/>
      <c r="X82" s="5"/>
      <c r="Y82" s="5"/>
    </row>
    <row r="83" spans="1:25" ht="15" thickBot="1" x14ac:dyDescent="0.35">
      <c r="A83" s="27">
        <v>81</v>
      </c>
      <c r="B83" s="21">
        <v>82</v>
      </c>
      <c r="C83" s="22">
        <v>0.2273</v>
      </c>
      <c r="D83" s="21">
        <v>0.56000000000000005</v>
      </c>
      <c r="E83" s="21">
        <v>0.19400000000000001</v>
      </c>
      <c r="F83" s="21">
        <v>18</v>
      </c>
      <c r="G83" s="21">
        <v>79</v>
      </c>
      <c r="H83" s="23">
        <v>97</v>
      </c>
      <c r="I83" s="23">
        <v>0.2273</v>
      </c>
      <c r="J83" s="18"/>
      <c r="K83" s="5"/>
      <c r="L83" s="5"/>
      <c r="M83" s="5"/>
      <c r="N83" s="5"/>
      <c r="O83" s="5"/>
      <c r="P83" s="5"/>
      <c r="Q83" s="5"/>
      <c r="R83" s="5"/>
      <c r="S83" s="5"/>
      <c r="T83" s="5"/>
      <c r="U83" s="5"/>
      <c r="V83" s="5"/>
      <c r="W83" s="5"/>
      <c r="X83" s="5"/>
      <c r="Y83" s="5"/>
    </row>
    <row r="84" spans="1:25" ht="15" thickBot="1" x14ac:dyDescent="0.35">
      <c r="A84" s="27">
        <v>82</v>
      </c>
      <c r="B84" s="21">
        <v>83</v>
      </c>
      <c r="C84" s="22">
        <v>0.2576</v>
      </c>
      <c r="D84" s="21">
        <v>0.52</v>
      </c>
      <c r="E84" s="21">
        <v>0.22389999999999999</v>
      </c>
      <c r="F84" s="21">
        <v>9</v>
      </c>
      <c r="G84" s="21">
        <v>54</v>
      </c>
      <c r="H84" s="23">
        <v>63</v>
      </c>
      <c r="I84" s="23">
        <v>0.2576</v>
      </c>
      <c r="J84" s="18"/>
      <c r="K84" s="5"/>
      <c r="L84" s="5"/>
      <c r="M84" s="5"/>
      <c r="N84" s="5"/>
      <c r="O84" s="5"/>
      <c r="P84" s="5"/>
      <c r="Q84" s="5"/>
      <c r="R84" s="5"/>
      <c r="S84" s="5"/>
      <c r="T84" s="5"/>
      <c r="U84" s="5"/>
      <c r="V84" s="5"/>
      <c r="W84" s="5"/>
      <c r="X84" s="5"/>
      <c r="Y84" s="5"/>
    </row>
    <row r="85" spans="1:25" ht="15" thickBot="1" x14ac:dyDescent="0.35">
      <c r="A85" s="27">
        <v>83</v>
      </c>
      <c r="B85" s="21">
        <v>84</v>
      </c>
      <c r="C85" s="22">
        <v>0.2727</v>
      </c>
      <c r="D85" s="21">
        <v>0.52</v>
      </c>
      <c r="E85" s="21">
        <v>0.25369999999999998</v>
      </c>
      <c r="F85" s="21">
        <v>17</v>
      </c>
      <c r="G85" s="21">
        <v>48</v>
      </c>
      <c r="H85" s="23">
        <v>65</v>
      </c>
      <c r="I85" s="23">
        <v>0.2727</v>
      </c>
      <c r="J85" s="18"/>
      <c r="K85" s="5"/>
      <c r="L85" s="5"/>
      <c r="M85" s="5"/>
      <c r="N85" s="5"/>
      <c r="O85" s="5"/>
      <c r="P85" s="5"/>
      <c r="Q85" s="5"/>
      <c r="R85" s="5"/>
      <c r="S85" s="5"/>
      <c r="T85" s="5"/>
      <c r="U85" s="5"/>
      <c r="V85" s="5"/>
      <c r="W85" s="5"/>
      <c r="X85" s="5"/>
      <c r="Y85" s="5"/>
    </row>
    <row r="86" spans="1:25" ht="15" thickBot="1" x14ac:dyDescent="0.35">
      <c r="A86" s="27">
        <v>84</v>
      </c>
      <c r="B86" s="21">
        <v>85</v>
      </c>
      <c r="C86" s="22">
        <v>0.28789999999999999</v>
      </c>
      <c r="D86" s="21">
        <v>0.49</v>
      </c>
      <c r="E86" s="21">
        <v>0.25369999999999998</v>
      </c>
      <c r="F86" s="21">
        <v>15</v>
      </c>
      <c r="G86" s="21">
        <v>68</v>
      </c>
      <c r="H86" s="23">
        <v>83</v>
      </c>
      <c r="I86" s="23">
        <v>0.28789999999999999</v>
      </c>
      <c r="J86" s="18"/>
      <c r="K86" s="5"/>
      <c r="L86" s="5"/>
      <c r="M86" s="5"/>
      <c r="N86" s="5"/>
      <c r="O86" s="5"/>
      <c r="P86" s="5"/>
      <c r="Q86" s="5"/>
      <c r="R86" s="5"/>
      <c r="S86" s="5"/>
      <c r="T86" s="5"/>
      <c r="U86" s="5"/>
      <c r="V86" s="5"/>
      <c r="W86" s="5"/>
      <c r="X86" s="5"/>
      <c r="Y86" s="5"/>
    </row>
    <row r="87" spans="1:25" ht="15" thickBot="1" x14ac:dyDescent="0.35">
      <c r="A87" s="27">
        <v>85</v>
      </c>
      <c r="B87" s="21">
        <v>86</v>
      </c>
      <c r="C87" s="22">
        <v>0.2727</v>
      </c>
      <c r="D87" s="21">
        <v>0.48</v>
      </c>
      <c r="E87" s="21">
        <v>0.22389999999999999</v>
      </c>
      <c r="F87" s="21">
        <v>10</v>
      </c>
      <c r="G87" s="21">
        <v>202</v>
      </c>
      <c r="H87" s="23">
        <v>212</v>
      </c>
      <c r="I87" s="23">
        <v>0.2727</v>
      </c>
      <c r="J87" s="18"/>
      <c r="K87" s="5"/>
      <c r="L87" s="5"/>
      <c r="M87" s="5"/>
      <c r="N87" s="5"/>
      <c r="O87" s="5"/>
      <c r="P87" s="5"/>
      <c r="Q87" s="5"/>
      <c r="R87" s="5"/>
      <c r="S87" s="5"/>
      <c r="T87" s="5"/>
      <c r="U87" s="5"/>
      <c r="V87" s="5"/>
      <c r="W87" s="5"/>
      <c r="X87" s="5"/>
      <c r="Y87" s="5"/>
    </row>
    <row r="88" spans="1:25" ht="15" thickBot="1" x14ac:dyDescent="0.35">
      <c r="A88" s="27">
        <v>86</v>
      </c>
      <c r="B88" s="21">
        <v>87</v>
      </c>
      <c r="C88" s="22">
        <v>0.2576</v>
      </c>
      <c r="D88" s="21">
        <v>0.48</v>
      </c>
      <c r="E88" s="21">
        <v>0.19400000000000001</v>
      </c>
      <c r="F88" s="21">
        <v>3</v>
      </c>
      <c r="G88" s="21">
        <v>179</v>
      </c>
      <c r="H88" s="23">
        <v>182</v>
      </c>
      <c r="I88" s="23">
        <v>0.2576</v>
      </c>
      <c r="J88" s="18"/>
      <c r="K88" s="5"/>
      <c r="L88" s="5"/>
      <c r="M88" s="5"/>
      <c r="N88" s="5"/>
      <c r="O88" s="5"/>
      <c r="P88" s="5"/>
      <c r="Q88" s="5"/>
      <c r="R88" s="5"/>
      <c r="S88" s="5"/>
      <c r="T88" s="5"/>
      <c r="U88" s="5"/>
      <c r="V88" s="5"/>
      <c r="W88" s="5"/>
      <c r="X88" s="5"/>
      <c r="Y88" s="5"/>
    </row>
    <row r="89" spans="1:25" ht="15" thickBot="1" x14ac:dyDescent="0.35">
      <c r="A89" s="27">
        <v>87</v>
      </c>
      <c r="B89" s="21">
        <v>88</v>
      </c>
      <c r="C89" s="22">
        <v>0.2576</v>
      </c>
      <c r="D89" s="21">
        <v>0.48</v>
      </c>
      <c r="E89" s="21">
        <v>0.1045</v>
      </c>
      <c r="F89" s="21">
        <v>2</v>
      </c>
      <c r="G89" s="21">
        <v>110</v>
      </c>
      <c r="H89" s="23">
        <v>112</v>
      </c>
      <c r="I89" s="23">
        <v>0.2576</v>
      </c>
      <c r="J89" s="18"/>
      <c r="K89" s="5"/>
      <c r="L89" s="5"/>
      <c r="M89" s="5"/>
      <c r="N89" s="5"/>
      <c r="O89" s="5"/>
      <c r="P89" s="5"/>
      <c r="Q89" s="5"/>
      <c r="R89" s="5"/>
      <c r="S89" s="5"/>
      <c r="T89" s="5"/>
      <c r="U89" s="5"/>
      <c r="V89" s="5"/>
      <c r="W89" s="5"/>
      <c r="X89" s="5"/>
      <c r="Y89" s="5"/>
    </row>
    <row r="90" spans="1:25" ht="15" thickBot="1" x14ac:dyDescent="0.35">
      <c r="A90" s="27">
        <v>88</v>
      </c>
      <c r="B90" s="21">
        <v>89</v>
      </c>
      <c r="C90" s="22">
        <v>0.2576</v>
      </c>
      <c r="D90" s="21">
        <v>0.48</v>
      </c>
      <c r="E90" s="21">
        <v>0.1045</v>
      </c>
      <c r="F90" s="21">
        <v>1</v>
      </c>
      <c r="G90" s="21">
        <v>53</v>
      </c>
      <c r="H90" s="23">
        <v>54</v>
      </c>
      <c r="I90" s="23">
        <v>0.2576</v>
      </c>
      <c r="J90" s="18"/>
      <c r="K90" s="5"/>
      <c r="L90" s="5"/>
      <c r="M90" s="5"/>
      <c r="N90" s="5"/>
      <c r="O90" s="5"/>
      <c r="P90" s="5"/>
      <c r="Q90" s="5"/>
      <c r="R90" s="5"/>
      <c r="S90" s="5"/>
      <c r="T90" s="5"/>
      <c r="U90" s="5"/>
      <c r="V90" s="5"/>
      <c r="W90" s="5"/>
      <c r="X90" s="5"/>
      <c r="Y90" s="5"/>
    </row>
    <row r="91" spans="1:25" ht="15" thickBot="1" x14ac:dyDescent="0.35">
      <c r="A91" s="27">
        <v>89</v>
      </c>
      <c r="B91" s="21">
        <v>90</v>
      </c>
      <c r="C91" s="22">
        <v>0.2727</v>
      </c>
      <c r="D91" s="21">
        <v>0.64</v>
      </c>
      <c r="E91" s="22">
        <v>0.20485098360655737</v>
      </c>
      <c r="F91" s="21">
        <v>0</v>
      </c>
      <c r="G91" s="21">
        <v>48</v>
      </c>
      <c r="H91" s="23">
        <v>48</v>
      </c>
      <c r="I91" s="23">
        <v>0.2727</v>
      </c>
      <c r="J91" s="18"/>
      <c r="K91" s="5"/>
      <c r="L91" s="5"/>
      <c r="M91" s="5"/>
      <c r="N91" s="5"/>
      <c r="O91" s="5"/>
      <c r="P91" s="5"/>
      <c r="Q91" s="5"/>
      <c r="R91" s="5"/>
      <c r="S91" s="5"/>
      <c r="T91" s="5"/>
      <c r="U91" s="5"/>
      <c r="V91" s="5"/>
      <c r="W91" s="5"/>
      <c r="X91" s="5"/>
      <c r="Y91" s="5"/>
    </row>
    <row r="92" spans="1:25" ht="15" thickBot="1" x14ac:dyDescent="0.35">
      <c r="A92" s="27">
        <v>90</v>
      </c>
      <c r="B92" s="21">
        <v>91</v>
      </c>
      <c r="C92" s="22">
        <v>0.2576</v>
      </c>
      <c r="D92" s="21">
        <v>0.64</v>
      </c>
      <c r="E92" s="21">
        <v>8.9599999999999999E-2</v>
      </c>
      <c r="F92" s="21">
        <v>1</v>
      </c>
      <c r="G92" s="21">
        <v>34</v>
      </c>
      <c r="H92" s="23">
        <v>35</v>
      </c>
      <c r="I92" s="23">
        <v>0.2576</v>
      </c>
      <c r="J92" s="18"/>
      <c r="K92" s="5"/>
      <c r="L92" s="5"/>
      <c r="M92" s="5"/>
      <c r="N92" s="5"/>
      <c r="O92" s="5"/>
      <c r="P92" s="5"/>
      <c r="Q92" s="5"/>
      <c r="R92" s="5"/>
      <c r="S92" s="5"/>
      <c r="T92" s="5"/>
      <c r="U92" s="5"/>
      <c r="V92" s="5"/>
      <c r="W92" s="5"/>
      <c r="X92" s="5"/>
      <c r="Y92" s="5"/>
    </row>
    <row r="93" spans="1:25" ht="15" thickBot="1" x14ac:dyDescent="0.35">
      <c r="A93" s="27">
        <v>91</v>
      </c>
      <c r="B93" s="21">
        <v>92</v>
      </c>
      <c r="C93" s="22">
        <v>0.2273</v>
      </c>
      <c r="D93" s="21">
        <v>0.69</v>
      </c>
      <c r="E93" s="21">
        <v>8.9599999999999999E-2</v>
      </c>
      <c r="F93" s="21">
        <v>2</v>
      </c>
      <c r="G93" s="21">
        <v>9</v>
      </c>
      <c r="H93" s="23">
        <v>11</v>
      </c>
      <c r="I93" s="23">
        <v>0.2273</v>
      </c>
      <c r="J93" s="18"/>
      <c r="K93" s="5"/>
      <c r="L93" s="5"/>
      <c r="M93" s="5"/>
      <c r="N93" s="5"/>
      <c r="O93" s="5"/>
      <c r="P93" s="5"/>
      <c r="Q93" s="5"/>
      <c r="R93" s="5"/>
      <c r="S93" s="5"/>
      <c r="T93" s="5"/>
      <c r="U93" s="5"/>
      <c r="V93" s="5"/>
      <c r="W93" s="5"/>
      <c r="X93" s="5"/>
      <c r="Y93" s="5"/>
    </row>
    <row r="94" spans="1:25" ht="15" thickBot="1" x14ac:dyDescent="0.35">
      <c r="A94" s="27">
        <v>92</v>
      </c>
      <c r="B94" s="21">
        <v>93</v>
      </c>
      <c r="C94" s="22">
        <v>0.2576</v>
      </c>
      <c r="D94" s="21">
        <v>0.64</v>
      </c>
      <c r="E94" s="22">
        <v>0.20485098360655737</v>
      </c>
      <c r="F94" s="21">
        <v>0</v>
      </c>
      <c r="G94" s="21">
        <v>6</v>
      </c>
      <c r="H94" s="23">
        <v>6</v>
      </c>
      <c r="I94" s="23">
        <v>0.2576</v>
      </c>
      <c r="J94" s="18"/>
      <c r="K94" s="5"/>
      <c r="L94" s="5"/>
      <c r="M94" s="5"/>
      <c r="N94" s="5"/>
      <c r="O94" s="5"/>
      <c r="P94" s="5"/>
      <c r="Q94" s="5"/>
      <c r="R94" s="5"/>
      <c r="S94" s="5"/>
      <c r="T94" s="5"/>
      <c r="U94" s="5"/>
      <c r="V94" s="5"/>
      <c r="W94" s="5"/>
      <c r="X94" s="5"/>
      <c r="Y94" s="5"/>
    </row>
    <row r="95" spans="1:25" ht="15" thickBot="1" x14ac:dyDescent="0.35">
      <c r="A95" s="27">
        <v>93</v>
      </c>
      <c r="B95" s="21">
        <v>94</v>
      </c>
      <c r="C95" s="22">
        <v>0.19700000000000001</v>
      </c>
      <c r="D95" s="21">
        <v>0.74</v>
      </c>
      <c r="E95" s="21">
        <v>8.9599999999999999E-2</v>
      </c>
      <c r="F95" s="21">
        <v>0</v>
      </c>
      <c r="G95" s="21">
        <v>6</v>
      </c>
      <c r="H95" s="23">
        <v>6</v>
      </c>
      <c r="I95" s="23">
        <v>0.19700000000000001</v>
      </c>
      <c r="J95" s="18"/>
      <c r="K95" s="5"/>
      <c r="L95" s="5"/>
      <c r="M95" s="5"/>
      <c r="N95" s="5"/>
      <c r="O95" s="5"/>
      <c r="P95" s="5"/>
      <c r="Q95" s="5"/>
      <c r="R95" s="5"/>
      <c r="S95" s="5"/>
      <c r="T95" s="5"/>
      <c r="U95" s="5"/>
      <c r="V95" s="5"/>
      <c r="W95" s="5"/>
      <c r="X95" s="5"/>
      <c r="Y95" s="5"/>
    </row>
    <row r="96" spans="1:25" ht="15" thickBot="1" x14ac:dyDescent="0.35">
      <c r="A96" s="27">
        <v>94</v>
      </c>
      <c r="B96" s="21">
        <v>95</v>
      </c>
      <c r="C96" s="22">
        <v>0.19700000000000001</v>
      </c>
      <c r="D96" s="21">
        <v>0.74</v>
      </c>
      <c r="E96" s="21">
        <v>8.9599999999999999E-2</v>
      </c>
      <c r="F96" s="21">
        <v>0</v>
      </c>
      <c r="G96" s="21">
        <v>2</v>
      </c>
      <c r="H96" s="23">
        <v>2</v>
      </c>
      <c r="I96" s="23">
        <v>0.19700000000000001</v>
      </c>
      <c r="J96" s="18"/>
      <c r="K96" s="5"/>
      <c r="L96" s="5"/>
      <c r="M96" s="5"/>
      <c r="N96" s="5"/>
      <c r="O96" s="5"/>
      <c r="P96" s="5"/>
      <c r="Q96" s="5"/>
      <c r="R96" s="5"/>
      <c r="S96" s="5"/>
      <c r="T96" s="5"/>
      <c r="U96" s="5"/>
      <c r="V96" s="5"/>
      <c r="W96" s="5"/>
      <c r="X96" s="5"/>
      <c r="Y96" s="5"/>
    </row>
    <row r="97" spans="1:25" ht="15" thickBot="1" x14ac:dyDescent="0.35">
      <c r="A97" s="27">
        <v>95</v>
      </c>
      <c r="B97" s="21">
        <v>96</v>
      </c>
      <c r="C97" s="22">
        <v>0.2273</v>
      </c>
      <c r="D97" s="21">
        <v>0.48</v>
      </c>
      <c r="E97" s="21">
        <v>0.22389999999999999</v>
      </c>
      <c r="F97" s="21">
        <v>0</v>
      </c>
      <c r="G97" s="21">
        <v>2</v>
      </c>
      <c r="H97" s="23">
        <v>2</v>
      </c>
      <c r="I97" s="23">
        <v>0.2273</v>
      </c>
      <c r="J97" s="18"/>
      <c r="K97" s="5"/>
      <c r="L97" s="5"/>
      <c r="M97" s="5"/>
      <c r="N97" s="5"/>
      <c r="O97" s="5"/>
      <c r="P97" s="5"/>
      <c r="Q97" s="5"/>
      <c r="R97" s="5"/>
      <c r="S97" s="5"/>
      <c r="T97" s="5"/>
      <c r="U97" s="5"/>
      <c r="V97" s="5"/>
      <c r="W97" s="5"/>
      <c r="X97" s="5"/>
      <c r="Y97" s="5"/>
    </row>
    <row r="98" spans="1:25" ht="15" thickBot="1" x14ac:dyDescent="0.35">
      <c r="A98" s="27">
        <v>96</v>
      </c>
      <c r="B98" s="21">
        <v>97</v>
      </c>
      <c r="C98" s="22">
        <v>0.2273</v>
      </c>
      <c r="D98" s="21">
        <v>0.47</v>
      </c>
      <c r="E98" s="21">
        <v>0.16420000000000001</v>
      </c>
      <c r="F98" s="21">
        <v>0</v>
      </c>
      <c r="G98" s="21">
        <v>3</v>
      </c>
      <c r="H98" s="23">
        <v>3</v>
      </c>
      <c r="I98" s="23">
        <v>0.2273</v>
      </c>
      <c r="J98" s="18"/>
      <c r="K98" s="5"/>
      <c r="L98" s="5"/>
      <c r="M98" s="5"/>
      <c r="N98" s="5"/>
      <c r="O98" s="5"/>
      <c r="P98" s="5"/>
      <c r="Q98" s="5"/>
      <c r="R98" s="5"/>
      <c r="S98" s="5"/>
      <c r="T98" s="5"/>
      <c r="U98" s="5"/>
      <c r="V98" s="5"/>
      <c r="W98" s="5"/>
      <c r="X98" s="5"/>
      <c r="Y98" s="5"/>
    </row>
    <row r="99" spans="1:25" ht="15" thickBot="1" x14ac:dyDescent="0.35">
      <c r="A99" s="27">
        <v>97</v>
      </c>
      <c r="B99" s="21">
        <v>98</v>
      </c>
      <c r="C99" s="22">
        <v>0.19700000000000001</v>
      </c>
      <c r="D99" s="21">
        <v>0.47</v>
      </c>
      <c r="E99" s="21">
        <v>0.22389999999999999</v>
      </c>
      <c r="F99" s="21">
        <v>0</v>
      </c>
      <c r="G99" s="21">
        <v>33</v>
      </c>
      <c r="H99" s="23">
        <v>33</v>
      </c>
      <c r="I99" s="23">
        <v>0.19700000000000001</v>
      </c>
      <c r="J99" s="18"/>
      <c r="K99" s="5"/>
      <c r="L99" s="5"/>
      <c r="M99" s="5"/>
      <c r="N99" s="5"/>
      <c r="O99" s="5"/>
      <c r="P99" s="5"/>
      <c r="Q99" s="5"/>
      <c r="R99" s="5"/>
      <c r="S99" s="5"/>
      <c r="T99" s="5"/>
      <c r="U99" s="5"/>
      <c r="V99" s="5"/>
      <c r="W99" s="5"/>
      <c r="X99" s="5"/>
      <c r="Y99" s="5"/>
    </row>
    <row r="100" spans="1:25" ht="15" thickBot="1" x14ac:dyDescent="0.35">
      <c r="A100" s="27">
        <v>98</v>
      </c>
      <c r="B100" s="21">
        <v>99</v>
      </c>
      <c r="C100" s="22">
        <v>0.18179999999999999</v>
      </c>
      <c r="D100" s="21">
        <v>0.43</v>
      </c>
      <c r="E100" s="21">
        <v>0.19400000000000001</v>
      </c>
      <c r="F100" s="21">
        <v>1</v>
      </c>
      <c r="G100" s="21">
        <v>87</v>
      </c>
      <c r="H100" s="23">
        <v>88</v>
      </c>
      <c r="I100" s="23">
        <v>0.18179999999999999</v>
      </c>
      <c r="J100" s="18"/>
      <c r="K100" s="5"/>
      <c r="L100" s="5"/>
      <c r="M100" s="5"/>
      <c r="N100" s="5"/>
      <c r="O100" s="5"/>
      <c r="P100" s="5"/>
      <c r="Q100" s="5"/>
      <c r="R100" s="5"/>
      <c r="S100" s="5"/>
      <c r="T100" s="5"/>
      <c r="U100" s="5"/>
      <c r="V100" s="5"/>
      <c r="W100" s="5"/>
      <c r="X100" s="5"/>
      <c r="Y100" s="5"/>
    </row>
    <row r="101" spans="1:25" ht="15" thickBot="1" x14ac:dyDescent="0.35">
      <c r="A101" s="27">
        <v>99</v>
      </c>
      <c r="B101" s="21">
        <v>100</v>
      </c>
      <c r="C101" s="22">
        <v>0.18179999999999999</v>
      </c>
      <c r="D101" s="21">
        <v>0.4</v>
      </c>
      <c r="E101" s="21">
        <v>0.29849999999999999</v>
      </c>
      <c r="F101" s="21">
        <v>3</v>
      </c>
      <c r="G101" s="21">
        <v>192</v>
      </c>
      <c r="H101" s="23">
        <v>195</v>
      </c>
      <c r="I101" s="23">
        <v>0.18179999999999999</v>
      </c>
      <c r="J101" s="18"/>
      <c r="K101" s="5"/>
      <c r="L101" s="5"/>
      <c r="M101" s="5"/>
      <c r="N101" s="5"/>
      <c r="O101" s="5"/>
      <c r="P101" s="5"/>
      <c r="Q101" s="5"/>
      <c r="R101" s="5"/>
      <c r="S101" s="5"/>
      <c r="T101" s="5"/>
      <c r="U101" s="5"/>
      <c r="V101" s="5"/>
      <c r="W101" s="5"/>
      <c r="X101" s="5"/>
      <c r="Y101" s="5"/>
    </row>
    <row r="102" spans="1:25" ht="15" thickBot="1" x14ac:dyDescent="0.35">
      <c r="A102" s="27">
        <v>100</v>
      </c>
      <c r="B102" s="21">
        <v>101</v>
      </c>
      <c r="C102" s="22">
        <v>0.19700000000000001</v>
      </c>
      <c r="D102" s="21">
        <v>0.37</v>
      </c>
      <c r="E102" s="21">
        <v>0.32840000000000003</v>
      </c>
      <c r="F102" s="21">
        <v>6</v>
      </c>
      <c r="G102" s="21">
        <v>109</v>
      </c>
      <c r="H102" s="23">
        <v>115</v>
      </c>
      <c r="I102" s="23">
        <v>0.19700000000000001</v>
      </c>
      <c r="J102" s="18"/>
      <c r="K102" s="5"/>
      <c r="L102" s="5"/>
      <c r="M102" s="5"/>
      <c r="N102" s="5"/>
      <c r="O102" s="5"/>
      <c r="P102" s="5"/>
      <c r="Q102" s="5"/>
      <c r="R102" s="5"/>
      <c r="S102" s="5"/>
      <c r="T102" s="5"/>
      <c r="U102" s="5"/>
      <c r="V102" s="5"/>
      <c r="W102" s="5"/>
      <c r="X102" s="5"/>
      <c r="Y102" s="5"/>
    </row>
    <row r="103" spans="1:25" ht="15" thickBot="1" x14ac:dyDescent="0.35">
      <c r="A103" s="27">
        <v>101</v>
      </c>
      <c r="B103" s="21">
        <v>102</v>
      </c>
      <c r="C103" s="22">
        <v>0.19700000000000001</v>
      </c>
      <c r="D103" s="21">
        <v>0.37</v>
      </c>
      <c r="E103" s="21">
        <v>0.32840000000000003</v>
      </c>
      <c r="F103" s="21">
        <v>4</v>
      </c>
      <c r="G103" s="21">
        <v>53</v>
      </c>
      <c r="H103" s="23">
        <v>57</v>
      </c>
      <c r="I103" s="23">
        <v>0.19700000000000001</v>
      </c>
      <c r="J103" s="18"/>
      <c r="K103" s="5"/>
      <c r="L103" s="5"/>
      <c r="M103" s="5"/>
      <c r="N103" s="5"/>
      <c r="O103" s="5"/>
      <c r="P103" s="5"/>
      <c r="Q103" s="5"/>
      <c r="R103" s="5"/>
      <c r="S103" s="5"/>
      <c r="T103" s="5"/>
      <c r="U103" s="5"/>
      <c r="V103" s="5"/>
      <c r="W103" s="5"/>
      <c r="X103" s="5"/>
      <c r="Y103" s="5"/>
    </row>
    <row r="104" spans="1:25" ht="15" thickBot="1" x14ac:dyDescent="0.35">
      <c r="A104" s="27">
        <v>102</v>
      </c>
      <c r="B104" s="21">
        <v>103</v>
      </c>
      <c r="C104" s="22">
        <v>0.2273</v>
      </c>
      <c r="D104" s="21">
        <v>0.33</v>
      </c>
      <c r="E104" s="21">
        <v>0.32840000000000003</v>
      </c>
      <c r="F104" s="21">
        <v>12</v>
      </c>
      <c r="G104" s="21">
        <v>34</v>
      </c>
      <c r="H104" s="23">
        <v>46</v>
      </c>
      <c r="I104" s="23">
        <v>0.2273</v>
      </c>
      <c r="J104" s="18"/>
      <c r="K104" s="5"/>
      <c r="L104" s="5"/>
      <c r="M104" s="5"/>
      <c r="N104" s="5"/>
      <c r="O104" s="5"/>
      <c r="P104" s="5"/>
      <c r="Q104" s="5"/>
      <c r="R104" s="5"/>
      <c r="S104" s="5"/>
      <c r="T104" s="5"/>
      <c r="U104" s="5"/>
      <c r="V104" s="5"/>
      <c r="W104" s="5"/>
      <c r="X104" s="5"/>
      <c r="Y104" s="5"/>
    </row>
    <row r="105" spans="1:25" ht="15" thickBot="1" x14ac:dyDescent="0.35">
      <c r="A105" s="27">
        <v>103</v>
      </c>
      <c r="B105" s="21">
        <v>104</v>
      </c>
      <c r="C105" s="22">
        <v>0.2273</v>
      </c>
      <c r="D105" s="21">
        <v>0.33</v>
      </c>
      <c r="E105" s="21">
        <v>0.32840000000000003</v>
      </c>
      <c r="F105" s="21">
        <v>5</v>
      </c>
      <c r="G105" s="21">
        <v>74</v>
      </c>
      <c r="H105" s="23">
        <v>79</v>
      </c>
      <c r="I105" s="23">
        <v>0.2273</v>
      </c>
      <c r="J105" s="18"/>
      <c r="K105" s="5"/>
      <c r="L105" s="5"/>
      <c r="M105" s="5"/>
      <c r="N105" s="5"/>
      <c r="O105" s="5"/>
      <c r="P105" s="5"/>
      <c r="Q105" s="5"/>
      <c r="R105" s="5"/>
      <c r="S105" s="5"/>
      <c r="T105" s="5"/>
      <c r="U105" s="5"/>
      <c r="V105" s="5"/>
      <c r="W105" s="5"/>
      <c r="X105" s="5"/>
      <c r="Y105" s="5"/>
    </row>
    <row r="106" spans="1:25" ht="15" thickBot="1" x14ac:dyDescent="0.35">
      <c r="A106" s="27">
        <v>104</v>
      </c>
      <c r="B106" s="21">
        <v>105</v>
      </c>
      <c r="C106" s="22">
        <v>0.2576</v>
      </c>
      <c r="D106" s="21">
        <v>0.3</v>
      </c>
      <c r="E106" s="21">
        <v>0.29849999999999999</v>
      </c>
      <c r="F106" s="21">
        <v>6</v>
      </c>
      <c r="G106" s="21">
        <v>65</v>
      </c>
      <c r="H106" s="23">
        <v>71</v>
      </c>
      <c r="I106" s="23">
        <v>0.2576</v>
      </c>
      <c r="J106" s="18"/>
      <c r="K106" s="5"/>
      <c r="L106" s="5"/>
      <c r="M106" s="5"/>
      <c r="N106" s="5"/>
      <c r="O106" s="5"/>
      <c r="P106" s="5"/>
      <c r="Q106" s="5"/>
      <c r="R106" s="5"/>
      <c r="S106" s="5"/>
      <c r="T106" s="5"/>
      <c r="U106" s="5"/>
      <c r="V106" s="5"/>
      <c r="W106" s="5"/>
      <c r="X106" s="5"/>
      <c r="Y106" s="5"/>
    </row>
    <row r="107" spans="1:25" ht="15" thickBot="1" x14ac:dyDescent="0.35">
      <c r="A107" s="27">
        <v>105</v>
      </c>
      <c r="B107" s="21">
        <v>106</v>
      </c>
      <c r="C107" s="22">
        <v>0.28789999999999999</v>
      </c>
      <c r="D107" s="21">
        <v>0.28000000000000003</v>
      </c>
      <c r="E107" s="21">
        <v>0.19400000000000001</v>
      </c>
      <c r="F107" s="21">
        <v>10</v>
      </c>
      <c r="G107" s="21">
        <v>52</v>
      </c>
      <c r="H107" s="23">
        <v>62</v>
      </c>
      <c r="I107" s="23">
        <v>0.28789999999999999</v>
      </c>
      <c r="J107" s="18"/>
      <c r="K107" s="5"/>
      <c r="L107" s="5"/>
      <c r="M107" s="5"/>
      <c r="N107" s="5"/>
      <c r="O107" s="5"/>
      <c r="P107" s="5"/>
      <c r="Q107" s="5"/>
      <c r="R107" s="5"/>
      <c r="S107" s="5"/>
      <c r="T107" s="5"/>
      <c r="U107" s="5"/>
      <c r="V107" s="5"/>
      <c r="W107" s="5"/>
      <c r="X107" s="5"/>
      <c r="Y107" s="5"/>
    </row>
    <row r="108" spans="1:25" ht="15" thickBot="1" x14ac:dyDescent="0.35">
      <c r="A108" s="27">
        <v>106</v>
      </c>
      <c r="B108" s="21">
        <v>107</v>
      </c>
      <c r="C108" s="22">
        <v>0.28789999999999999</v>
      </c>
      <c r="D108" s="21">
        <v>0.28000000000000003</v>
      </c>
      <c r="E108" s="21">
        <v>0.19400000000000001</v>
      </c>
      <c r="F108" s="21">
        <v>7</v>
      </c>
      <c r="G108" s="21">
        <v>55</v>
      </c>
      <c r="H108" s="23">
        <v>62</v>
      </c>
      <c r="I108" s="23">
        <v>0.28789999999999999</v>
      </c>
      <c r="J108" s="18"/>
      <c r="K108" s="5"/>
      <c r="L108" s="5"/>
      <c r="M108" s="5"/>
      <c r="N108" s="5"/>
      <c r="O108" s="5"/>
      <c r="P108" s="5"/>
      <c r="Q108" s="5"/>
      <c r="R108" s="5"/>
      <c r="S108" s="5"/>
      <c r="T108" s="5"/>
      <c r="U108" s="5"/>
      <c r="V108" s="5"/>
      <c r="W108" s="5"/>
      <c r="X108" s="5"/>
      <c r="Y108" s="5"/>
    </row>
    <row r="109" spans="1:25" ht="15" thickBot="1" x14ac:dyDescent="0.35">
      <c r="A109" s="27">
        <v>107</v>
      </c>
      <c r="B109" s="21">
        <v>108</v>
      </c>
      <c r="C109" s="22">
        <v>0.31819999999999998</v>
      </c>
      <c r="D109" s="21">
        <v>0.28000000000000003</v>
      </c>
      <c r="E109" s="21">
        <v>8.9599999999999999E-2</v>
      </c>
      <c r="F109" s="21">
        <v>4</v>
      </c>
      <c r="G109" s="21">
        <v>85</v>
      </c>
      <c r="H109" s="23">
        <v>89</v>
      </c>
      <c r="I109" s="23">
        <v>0.31819999999999998</v>
      </c>
      <c r="J109" s="18"/>
      <c r="K109" s="5"/>
      <c r="L109" s="5"/>
      <c r="M109" s="5"/>
      <c r="N109" s="5"/>
      <c r="O109" s="5"/>
      <c r="P109" s="5"/>
      <c r="Q109" s="5"/>
      <c r="R109" s="5"/>
      <c r="S109" s="5"/>
      <c r="T109" s="5"/>
      <c r="U109" s="5"/>
      <c r="V109" s="5"/>
      <c r="W109" s="5"/>
      <c r="X109" s="5"/>
      <c r="Y109" s="5"/>
    </row>
    <row r="110" spans="1:25" ht="15" thickBot="1" x14ac:dyDescent="0.35">
      <c r="A110" s="27">
        <v>108</v>
      </c>
      <c r="B110" s="21">
        <v>109</v>
      </c>
      <c r="C110" s="22">
        <v>0.2273</v>
      </c>
      <c r="D110" s="21">
        <v>0.38</v>
      </c>
      <c r="E110" s="21">
        <v>0.19400000000000001</v>
      </c>
      <c r="F110" s="21">
        <v>4</v>
      </c>
      <c r="G110" s="21">
        <v>186</v>
      </c>
      <c r="H110" s="23">
        <v>190</v>
      </c>
      <c r="I110" s="23">
        <v>0.2273</v>
      </c>
      <c r="J110" s="18"/>
      <c r="K110" s="5"/>
      <c r="L110" s="5"/>
      <c r="M110" s="5"/>
      <c r="N110" s="5"/>
      <c r="O110" s="5"/>
      <c r="P110" s="5"/>
      <c r="Q110" s="5"/>
      <c r="R110" s="5"/>
      <c r="S110" s="5"/>
      <c r="T110" s="5"/>
      <c r="U110" s="5"/>
      <c r="V110" s="5"/>
      <c r="W110" s="5"/>
      <c r="X110" s="5"/>
      <c r="Y110" s="5"/>
    </row>
    <row r="111" spans="1:25" ht="15" thickBot="1" x14ac:dyDescent="0.35">
      <c r="A111" s="27">
        <v>109</v>
      </c>
      <c r="B111" s="21">
        <v>110</v>
      </c>
      <c r="C111" s="22">
        <v>0.2424</v>
      </c>
      <c r="D111" s="21">
        <v>0.38</v>
      </c>
      <c r="E111" s="21">
        <v>0.1343</v>
      </c>
      <c r="F111" s="21">
        <v>3</v>
      </c>
      <c r="G111" s="21">
        <v>166</v>
      </c>
      <c r="H111" s="23">
        <v>169</v>
      </c>
      <c r="I111" s="23">
        <v>0.2424</v>
      </c>
      <c r="J111" s="18"/>
      <c r="K111" s="5"/>
      <c r="L111" s="5"/>
      <c r="M111" s="5"/>
      <c r="N111" s="5"/>
      <c r="O111" s="5"/>
      <c r="P111" s="5"/>
      <c r="Q111" s="5"/>
      <c r="R111" s="5"/>
      <c r="S111" s="5"/>
      <c r="T111" s="5"/>
      <c r="U111" s="5"/>
      <c r="V111" s="5"/>
      <c r="W111" s="5"/>
      <c r="X111" s="5"/>
      <c r="Y111" s="5"/>
    </row>
    <row r="112" spans="1:25" ht="15" thickBot="1" x14ac:dyDescent="0.35">
      <c r="A112" s="27">
        <v>110</v>
      </c>
      <c r="B112" s="21">
        <v>111</v>
      </c>
      <c r="C112" s="22">
        <v>0.2576</v>
      </c>
      <c r="D112" s="21">
        <v>0.38</v>
      </c>
      <c r="E112" s="21">
        <v>0.1045</v>
      </c>
      <c r="F112" s="21">
        <v>5</v>
      </c>
      <c r="G112" s="21">
        <v>127</v>
      </c>
      <c r="H112" s="23">
        <v>132</v>
      </c>
      <c r="I112" s="23">
        <v>0.2576</v>
      </c>
      <c r="J112" s="18"/>
      <c r="K112" s="5"/>
      <c r="L112" s="5"/>
      <c r="M112" s="5"/>
      <c r="N112" s="5"/>
      <c r="O112" s="5"/>
      <c r="P112" s="5"/>
      <c r="Q112" s="5"/>
      <c r="R112" s="5"/>
      <c r="S112" s="5"/>
      <c r="T112" s="5"/>
      <c r="U112" s="5"/>
      <c r="V112" s="5"/>
      <c r="W112" s="5"/>
      <c r="X112" s="5"/>
      <c r="Y112" s="5"/>
    </row>
    <row r="113" spans="1:25" ht="15" thickBot="1" x14ac:dyDescent="0.35">
      <c r="A113" s="27">
        <v>111</v>
      </c>
      <c r="B113" s="21">
        <v>112</v>
      </c>
      <c r="C113" s="22">
        <v>0.2273</v>
      </c>
      <c r="D113" s="21">
        <v>0.47</v>
      </c>
      <c r="E113" s="21">
        <v>0.16420000000000001</v>
      </c>
      <c r="F113" s="21">
        <v>7</v>
      </c>
      <c r="G113" s="21">
        <v>82</v>
      </c>
      <c r="H113" s="23">
        <v>89</v>
      </c>
      <c r="I113" s="23">
        <v>0.2273</v>
      </c>
      <c r="J113" s="18"/>
      <c r="K113" s="5"/>
      <c r="L113" s="5"/>
      <c r="M113" s="5"/>
      <c r="N113" s="5"/>
      <c r="O113" s="5"/>
      <c r="P113" s="5"/>
      <c r="Q113" s="5"/>
      <c r="R113" s="5"/>
      <c r="S113" s="5"/>
      <c r="T113" s="5"/>
      <c r="U113" s="5"/>
      <c r="V113" s="5"/>
      <c r="W113" s="5"/>
      <c r="X113" s="5"/>
      <c r="Y113" s="5"/>
    </row>
    <row r="114" spans="1:25" ht="15" thickBot="1" x14ac:dyDescent="0.35">
      <c r="A114" s="27">
        <v>112</v>
      </c>
      <c r="B114" s="21">
        <v>113</v>
      </c>
      <c r="C114" s="22">
        <v>0.19700000000000001</v>
      </c>
      <c r="D114" s="21">
        <v>0.51</v>
      </c>
      <c r="E114" s="21">
        <v>0.19400000000000001</v>
      </c>
      <c r="F114" s="21">
        <v>3</v>
      </c>
      <c r="G114" s="21">
        <v>40</v>
      </c>
      <c r="H114" s="23">
        <v>43</v>
      </c>
      <c r="I114" s="23">
        <v>0.19700000000000001</v>
      </c>
      <c r="J114" s="18"/>
      <c r="K114" s="5"/>
      <c r="L114" s="5"/>
      <c r="M114" s="5"/>
      <c r="N114" s="5"/>
      <c r="O114" s="5"/>
      <c r="P114" s="5"/>
      <c r="Q114" s="5"/>
      <c r="R114" s="5"/>
      <c r="S114" s="5"/>
      <c r="T114" s="5"/>
      <c r="U114" s="5"/>
      <c r="V114" s="5"/>
      <c r="W114" s="5"/>
      <c r="X114" s="5"/>
      <c r="Y114" s="5"/>
    </row>
    <row r="115" spans="1:25" ht="15" thickBot="1" x14ac:dyDescent="0.35">
      <c r="A115" s="27">
        <v>113</v>
      </c>
      <c r="B115" s="21">
        <v>114</v>
      </c>
      <c r="C115" s="22">
        <v>0.19700000000000001</v>
      </c>
      <c r="D115" s="21">
        <v>0.55000000000000004</v>
      </c>
      <c r="E115" s="21">
        <v>0.1343</v>
      </c>
      <c r="F115" s="21">
        <v>1</v>
      </c>
      <c r="G115" s="21">
        <v>41</v>
      </c>
      <c r="H115" s="23">
        <v>42</v>
      </c>
      <c r="I115" s="23">
        <v>0.19700000000000001</v>
      </c>
      <c r="J115" s="18"/>
      <c r="K115" s="5"/>
      <c r="L115" s="5"/>
      <c r="M115" s="5"/>
      <c r="N115" s="5"/>
      <c r="O115" s="5"/>
      <c r="P115" s="5"/>
      <c r="Q115" s="5"/>
      <c r="R115" s="5"/>
      <c r="S115" s="5"/>
      <c r="T115" s="5"/>
      <c r="U115" s="5"/>
      <c r="V115" s="5"/>
      <c r="W115" s="5"/>
      <c r="X115" s="5"/>
      <c r="Y115" s="5"/>
    </row>
    <row r="116" spans="1:25" ht="15" thickBot="1" x14ac:dyDescent="0.35">
      <c r="A116" s="27">
        <v>114</v>
      </c>
      <c r="B116" s="21">
        <v>115</v>
      </c>
      <c r="C116" s="22">
        <v>0.2576</v>
      </c>
      <c r="D116" s="21">
        <v>0.47</v>
      </c>
      <c r="E116" s="22">
        <v>0.20485098360655737</v>
      </c>
      <c r="F116" s="21">
        <v>1</v>
      </c>
      <c r="G116" s="21">
        <v>18</v>
      </c>
      <c r="H116" s="23">
        <v>19</v>
      </c>
      <c r="I116" s="23">
        <v>0.2576</v>
      </c>
      <c r="J116" s="18"/>
      <c r="K116" s="5"/>
      <c r="L116" s="5"/>
      <c r="M116" s="5"/>
      <c r="N116" s="5"/>
      <c r="O116" s="5"/>
      <c r="P116" s="5"/>
      <c r="Q116" s="5"/>
      <c r="R116" s="5"/>
      <c r="S116" s="5"/>
      <c r="T116" s="5"/>
      <c r="U116" s="5"/>
      <c r="V116" s="5"/>
      <c r="W116" s="5"/>
      <c r="X116" s="5"/>
      <c r="Y116" s="5"/>
    </row>
    <row r="117" spans="1:25" ht="15" thickBot="1" x14ac:dyDescent="0.35">
      <c r="A117" s="27">
        <v>115</v>
      </c>
      <c r="B117" s="21">
        <v>116</v>
      </c>
      <c r="C117" s="22">
        <v>0.2424</v>
      </c>
      <c r="D117" s="21">
        <v>0.55000000000000004</v>
      </c>
      <c r="E117" s="22">
        <v>0.20485098360655737</v>
      </c>
      <c r="F117" s="21">
        <v>0</v>
      </c>
      <c r="G117" s="21">
        <v>11</v>
      </c>
      <c r="H117" s="23">
        <v>11</v>
      </c>
      <c r="I117" s="23">
        <v>0.2424</v>
      </c>
      <c r="J117" s="18"/>
      <c r="K117" s="5"/>
      <c r="L117" s="5"/>
      <c r="M117" s="5"/>
      <c r="N117" s="5"/>
      <c r="O117" s="5"/>
      <c r="P117" s="5"/>
      <c r="Q117" s="5"/>
      <c r="R117" s="5"/>
      <c r="S117" s="5"/>
      <c r="T117" s="5"/>
      <c r="U117" s="5"/>
      <c r="V117" s="5"/>
      <c r="W117" s="5"/>
      <c r="X117" s="5"/>
      <c r="Y117" s="5"/>
    </row>
    <row r="118" spans="1:25" ht="15" thickBot="1" x14ac:dyDescent="0.35">
      <c r="A118" s="27">
        <v>116</v>
      </c>
      <c r="B118" s="21">
        <v>117</v>
      </c>
      <c r="C118" s="22">
        <v>0.2273</v>
      </c>
      <c r="D118" s="21">
        <v>0.64</v>
      </c>
      <c r="E118" s="22">
        <v>0.20485098360655737</v>
      </c>
      <c r="F118" s="21">
        <v>0</v>
      </c>
      <c r="G118" s="21">
        <v>4</v>
      </c>
      <c r="H118" s="23">
        <v>4</v>
      </c>
      <c r="I118" s="23">
        <v>0.2273</v>
      </c>
      <c r="J118" s="18"/>
      <c r="K118" s="5"/>
      <c r="L118" s="5"/>
      <c r="M118" s="5"/>
      <c r="N118" s="5"/>
      <c r="O118" s="5"/>
      <c r="P118" s="5"/>
      <c r="Q118" s="5"/>
      <c r="R118" s="5"/>
      <c r="S118" s="5"/>
      <c r="T118" s="5"/>
      <c r="U118" s="5"/>
      <c r="V118" s="5"/>
      <c r="W118" s="5"/>
      <c r="X118" s="5"/>
      <c r="Y118" s="5"/>
    </row>
    <row r="119" spans="1:25" ht="15" thickBot="1" x14ac:dyDescent="0.35">
      <c r="A119" s="27">
        <v>117</v>
      </c>
      <c r="B119" s="21">
        <v>118</v>
      </c>
      <c r="C119" s="22">
        <v>0.2273</v>
      </c>
      <c r="D119" s="21">
        <v>0.64</v>
      </c>
      <c r="E119" s="22">
        <v>0.20485098360655737</v>
      </c>
      <c r="F119" s="21">
        <v>0</v>
      </c>
      <c r="G119" s="21">
        <v>2</v>
      </c>
      <c r="H119" s="23">
        <v>2</v>
      </c>
      <c r="I119" s="23">
        <v>0.2273</v>
      </c>
      <c r="J119" s="18"/>
      <c r="K119" s="5"/>
      <c r="L119" s="5"/>
      <c r="M119" s="5"/>
      <c r="N119" s="5"/>
      <c r="O119" s="5"/>
      <c r="P119" s="5"/>
      <c r="Q119" s="5"/>
      <c r="R119" s="5"/>
      <c r="S119" s="5"/>
      <c r="T119" s="5"/>
      <c r="U119" s="5"/>
      <c r="V119" s="5"/>
      <c r="W119" s="5"/>
      <c r="X119" s="5"/>
      <c r="Y119" s="5"/>
    </row>
    <row r="120" spans="1:25" ht="15" thickBot="1" x14ac:dyDescent="0.35">
      <c r="A120" s="27">
        <v>118</v>
      </c>
      <c r="B120" s="21">
        <v>119</v>
      </c>
      <c r="C120" s="22">
        <v>0.19700000000000001</v>
      </c>
      <c r="D120" s="21">
        <v>0.64</v>
      </c>
      <c r="E120" s="21">
        <v>8.9599999999999999E-2</v>
      </c>
      <c r="F120" s="21">
        <v>0</v>
      </c>
      <c r="G120" s="21">
        <v>1</v>
      </c>
      <c r="H120" s="23">
        <v>1</v>
      </c>
      <c r="I120" s="23">
        <v>0.19700000000000001</v>
      </c>
      <c r="J120" s="18"/>
      <c r="K120" s="5"/>
      <c r="L120" s="5"/>
      <c r="M120" s="5"/>
      <c r="N120" s="5"/>
      <c r="O120" s="5"/>
      <c r="P120" s="5"/>
      <c r="Q120" s="5"/>
      <c r="R120" s="5"/>
      <c r="S120" s="5"/>
      <c r="T120" s="5"/>
      <c r="U120" s="5"/>
      <c r="V120" s="5"/>
      <c r="W120" s="5"/>
      <c r="X120" s="5"/>
      <c r="Y120" s="5"/>
    </row>
    <row r="121" spans="1:25" ht="15" thickBot="1" x14ac:dyDescent="0.35">
      <c r="A121" s="27">
        <v>119</v>
      </c>
      <c r="B121" s="21">
        <v>120</v>
      </c>
      <c r="C121" s="22">
        <v>0.18179999999999999</v>
      </c>
      <c r="D121" s="21">
        <v>0.69</v>
      </c>
      <c r="E121" s="21">
        <v>8.9599999999999999E-2</v>
      </c>
      <c r="F121" s="21">
        <v>0</v>
      </c>
      <c r="G121" s="21">
        <v>4</v>
      </c>
      <c r="H121" s="23">
        <v>4</v>
      </c>
      <c r="I121" s="23">
        <v>0.18179999999999999</v>
      </c>
      <c r="J121" s="18"/>
      <c r="K121" s="5"/>
      <c r="L121" s="5"/>
      <c r="M121" s="5"/>
      <c r="N121" s="5"/>
      <c r="O121" s="5"/>
      <c r="P121" s="5"/>
      <c r="Q121" s="5"/>
      <c r="R121" s="5"/>
      <c r="S121" s="5"/>
      <c r="T121" s="5"/>
      <c r="U121" s="5"/>
      <c r="V121" s="5"/>
      <c r="W121" s="5"/>
      <c r="X121" s="5"/>
      <c r="Y121" s="5"/>
    </row>
    <row r="122" spans="1:25" ht="15" thickBot="1" x14ac:dyDescent="0.35">
      <c r="A122" s="27">
        <v>120</v>
      </c>
      <c r="B122" s="21">
        <v>121</v>
      </c>
      <c r="C122" s="22">
        <v>0.16669999999999999</v>
      </c>
      <c r="D122" s="21">
        <v>0.63</v>
      </c>
      <c r="E122" s="21">
        <v>0.1045</v>
      </c>
      <c r="F122" s="21">
        <v>0</v>
      </c>
      <c r="G122" s="21">
        <v>36</v>
      </c>
      <c r="H122" s="23">
        <v>36</v>
      </c>
      <c r="I122" s="23">
        <v>0.16669999999999999</v>
      </c>
      <c r="J122" s="18"/>
      <c r="K122" s="5"/>
      <c r="L122" s="5"/>
      <c r="M122" s="5"/>
      <c r="N122" s="5"/>
      <c r="O122" s="5"/>
      <c r="P122" s="5"/>
      <c r="Q122" s="5"/>
      <c r="R122" s="5"/>
      <c r="S122" s="5"/>
      <c r="T122" s="5"/>
      <c r="U122" s="5"/>
      <c r="V122" s="5"/>
      <c r="W122" s="5"/>
      <c r="X122" s="5"/>
      <c r="Y122" s="5"/>
    </row>
    <row r="123" spans="1:25" ht="15" thickBot="1" x14ac:dyDescent="0.35">
      <c r="A123" s="27">
        <v>121</v>
      </c>
      <c r="B123" s="21">
        <v>122</v>
      </c>
      <c r="C123" s="22">
        <v>0.2273</v>
      </c>
      <c r="D123" s="21">
        <v>0.59</v>
      </c>
      <c r="E123" s="22">
        <v>0.20485098360655737</v>
      </c>
      <c r="F123" s="21">
        <v>0</v>
      </c>
      <c r="G123" s="21">
        <v>95</v>
      </c>
      <c r="H123" s="23">
        <v>95</v>
      </c>
      <c r="I123" s="23">
        <v>0.2273</v>
      </c>
      <c r="J123" s="18"/>
      <c r="K123" s="5"/>
      <c r="L123" s="5"/>
      <c r="M123" s="5"/>
      <c r="N123" s="5"/>
      <c r="O123" s="5"/>
      <c r="P123" s="5"/>
      <c r="Q123" s="5"/>
      <c r="R123" s="5"/>
      <c r="S123" s="5"/>
      <c r="T123" s="5"/>
      <c r="U123" s="5"/>
      <c r="V123" s="5"/>
      <c r="W123" s="5"/>
      <c r="X123" s="5"/>
      <c r="Y123" s="5"/>
    </row>
    <row r="124" spans="1:25" ht="15" thickBot="1" x14ac:dyDescent="0.35">
      <c r="A124" s="27">
        <v>122</v>
      </c>
      <c r="B124" s="21">
        <v>123</v>
      </c>
      <c r="C124" s="22">
        <v>0.2273</v>
      </c>
      <c r="D124" s="21">
        <v>0.59</v>
      </c>
      <c r="E124" s="22">
        <v>0.20485098360655737</v>
      </c>
      <c r="F124" s="21">
        <v>3</v>
      </c>
      <c r="G124" s="21">
        <v>216</v>
      </c>
      <c r="H124" s="23">
        <v>219</v>
      </c>
      <c r="I124" s="23">
        <v>0.2273</v>
      </c>
      <c r="J124" s="18"/>
      <c r="K124" s="5"/>
      <c r="L124" s="5"/>
      <c r="M124" s="5"/>
      <c r="N124" s="5"/>
      <c r="O124" s="5"/>
      <c r="P124" s="5"/>
      <c r="Q124" s="5"/>
      <c r="R124" s="5"/>
      <c r="S124" s="5"/>
      <c r="T124" s="5"/>
      <c r="U124" s="5"/>
      <c r="V124" s="5"/>
      <c r="W124" s="5"/>
      <c r="X124" s="5"/>
      <c r="Y124" s="5"/>
    </row>
    <row r="125" spans="1:25" ht="15" thickBot="1" x14ac:dyDescent="0.35">
      <c r="A125" s="27">
        <v>123</v>
      </c>
      <c r="B125" s="21">
        <v>124</v>
      </c>
      <c r="C125" s="22">
        <v>0.2424</v>
      </c>
      <c r="D125" s="21">
        <v>0.51</v>
      </c>
      <c r="E125" s="22">
        <v>0.20485098360655737</v>
      </c>
      <c r="F125" s="21">
        <v>6</v>
      </c>
      <c r="G125" s="21">
        <v>116</v>
      </c>
      <c r="H125" s="23">
        <v>122</v>
      </c>
      <c r="I125" s="23">
        <v>0.2424</v>
      </c>
      <c r="J125" s="18"/>
      <c r="K125" s="5"/>
      <c r="L125" s="5"/>
      <c r="M125" s="5"/>
      <c r="N125" s="5"/>
      <c r="O125" s="5"/>
      <c r="P125" s="5"/>
      <c r="Q125" s="5"/>
      <c r="R125" s="5"/>
      <c r="S125" s="5"/>
      <c r="T125" s="5"/>
      <c r="U125" s="5"/>
      <c r="V125" s="5"/>
      <c r="W125" s="5"/>
      <c r="X125" s="5"/>
      <c r="Y125" s="5"/>
    </row>
    <row r="126" spans="1:25" ht="15" thickBot="1" x14ac:dyDescent="0.35">
      <c r="A126" s="27">
        <v>124</v>
      </c>
      <c r="B126" s="21">
        <v>125</v>
      </c>
      <c r="C126" s="22">
        <v>0.2576</v>
      </c>
      <c r="D126" s="21">
        <v>0.47</v>
      </c>
      <c r="E126" s="22">
        <v>0.20485098360655737</v>
      </c>
      <c r="F126" s="21">
        <v>3</v>
      </c>
      <c r="G126" s="21">
        <v>42</v>
      </c>
      <c r="H126" s="23">
        <v>45</v>
      </c>
      <c r="I126" s="23">
        <v>0.2576</v>
      </c>
      <c r="J126" s="18"/>
      <c r="K126" s="5"/>
      <c r="L126" s="5"/>
      <c r="M126" s="5"/>
      <c r="N126" s="5"/>
      <c r="O126" s="5"/>
      <c r="P126" s="5"/>
      <c r="Q126" s="5"/>
      <c r="R126" s="5"/>
      <c r="S126" s="5"/>
      <c r="T126" s="5"/>
      <c r="U126" s="5"/>
      <c r="V126" s="5"/>
      <c r="W126" s="5"/>
      <c r="X126" s="5"/>
      <c r="Y126" s="5"/>
    </row>
    <row r="127" spans="1:25" ht="15" thickBot="1" x14ac:dyDescent="0.35">
      <c r="A127" s="27">
        <v>125</v>
      </c>
      <c r="B127" s="21">
        <v>126</v>
      </c>
      <c r="C127" s="22">
        <v>0.2576</v>
      </c>
      <c r="D127" s="21">
        <v>0.44</v>
      </c>
      <c r="E127" s="21">
        <v>8.9599999999999999E-2</v>
      </c>
      <c r="F127" s="21">
        <v>2</v>
      </c>
      <c r="G127" s="21">
        <v>57</v>
      </c>
      <c r="H127" s="23">
        <v>59</v>
      </c>
      <c r="I127" s="23">
        <v>0.2576</v>
      </c>
      <c r="J127" s="18"/>
      <c r="K127" s="5"/>
      <c r="L127" s="5"/>
      <c r="M127" s="5"/>
      <c r="N127" s="5"/>
      <c r="O127" s="5"/>
      <c r="P127" s="5"/>
      <c r="Q127" s="5"/>
      <c r="R127" s="5"/>
      <c r="S127" s="5"/>
      <c r="T127" s="5"/>
      <c r="U127" s="5"/>
      <c r="V127" s="5"/>
      <c r="W127" s="5"/>
      <c r="X127" s="5"/>
      <c r="Y127" s="5"/>
    </row>
    <row r="128" spans="1:25" ht="15" thickBot="1" x14ac:dyDescent="0.35">
      <c r="A128" s="27">
        <v>126</v>
      </c>
      <c r="B128" s="21">
        <v>127</v>
      </c>
      <c r="C128" s="22">
        <v>0.28789999999999999</v>
      </c>
      <c r="D128" s="21">
        <v>0.35</v>
      </c>
      <c r="E128" s="22">
        <v>0.20485098360655737</v>
      </c>
      <c r="F128" s="21">
        <v>6</v>
      </c>
      <c r="G128" s="21">
        <v>78</v>
      </c>
      <c r="H128" s="23">
        <v>84</v>
      </c>
      <c r="I128" s="23">
        <v>0.28789999999999999</v>
      </c>
      <c r="J128" s="18"/>
      <c r="K128" s="5"/>
      <c r="L128" s="5"/>
      <c r="M128" s="5"/>
      <c r="N128" s="5"/>
      <c r="O128" s="5"/>
      <c r="P128" s="5"/>
      <c r="Q128" s="5"/>
      <c r="R128" s="5"/>
      <c r="S128" s="5"/>
      <c r="T128" s="5"/>
      <c r="U128" s="5"/>
      <c r="V128" s="5"/>
      <c r="W128" s="5"/>
      <c r="X128" s="5"/>
      <c r="Y128" s="5"/>
    </row>
    <row r="129" spans="1:25" ht="15" thickBot="1" x14ac:dyDescent="0.35">
      <c r="A129" s="27">
        <v>127</v>
      </c>
      <c r="B129" s="21">
        <v>128</v>
      </c>
      <c r="C129" s="22">
        <v>0.2727</v>
      </c>
      <c r="D129" s="21">
        <v>0.35</v>
      </c>
      <c r="E129" s="21">
        <v>0.1045</v>
      </c>
      <c r="F129" s="21">
        <v>12</v>
      </c>
      <c r="G129" s="21">
        <v>55</v>
      </c>
      <c r="H129" s="23">
        <v>67</v>
      </c>
      <c r="I129" s="23">
        <v>0.2727</v>
      </c>
      <c r="J129" s="18"/>
      <c r="K129" s="5"/>
      <c r="L129" s="5"/>
      <c r="M129" s="5"/>
      <c r="N129" s="5"/>
      <c r="O129" s="5"/>
      <c r="P129" s="5"/>
      <c r="Q129" s="5"/>
      <c r="R129" s="5"/>
      <c r="S129" s="5"/>
      <c r="T129" s="5"/>
      <c r="U129" s="5"/>
      <c r="V129" s="5"/>
      <c r="W129" s="5"/>
      <c r="X129" s="5"/>
      <c r="Y129" s="5"/>
    </row>
    <row r="130" spans="1:25" ht="15" thickBot="1" x14ac:dyDescent="0.35">
      <c r="A130" s="27">
        <v>128</v>
      </c>
      <c r="B130" s="21">
        <v>129</v>
      </c>
      <c r="C130" s="22">
        <v>0.2727</v>
      </c>
      <c r="D130" s="21">
        <v>0.36</v>
      </c>
      <c r="E130" s="21">
        <v>0.16420000000000001</v>
      </c>
      <c r="F130" s="21">
        <v>11</v>
      </c>
      <c r="G130" s="21">
        <v>59</v>
      </c>
      <c r="H130" s="23">
        <v>70</v>
      </c>
      <c r="I130" s="23">
        <v>0.2727</v>
      </c>
      <c r="J130" s="18"/>
      <c r="K130" s="5"/>
      <c r="L130" s="5"/>
      <c r="M130" s="5"/>
      <c r="N130" s="5"/>
      <c r="O130" s="5"/>
      <c r="P130" s="5"/>
      <c r="Q130" s="5"/>
      <c r="R130" s="5"/>
      <c r="S130" s="5"/>
      <c r="T130" s="5"/>
      <c r="U130" s="5"/>
      <c r="V130" s="5"/>
      <c r="W130" s="5"/>
      <c r="X130" s="5"/>
      <c r="Y130" s="5"/>
    </row>
    <row r="131" spans="1:25" ht="15" thickBot="1" x14ac:dyDescent="0.35">
      <c r="A131" s="27">
        <v>129</v>
      </c>
      <c r="B131" s="21">
        <v>130</v>
      </c>
      <c r="C131" s="22">
        <v>0.2727</v>
      </c>
      <c r="D131" s="21">
        <v>0.36</v>
      </c>
      <c r="E131" s="22">
        <v>0.20485098360655737</v>
      </c>
      <c r="F131" s="21">
        <v>8</v>
      </c>
      <c r="G131" s="21">
        <v>54</v>
      </c>
      <c r="H131" s="23">
        <v>62</v>
      </c>
      <c r="I131" s="23">
        <v>0.2727</v>
      </c>
      <c r="J131" s="18"/>
      <c r="K131" s="5"/>
      <c r="L131" s="5"/>
      <c r="M131" s="5"/>
      <c r="N131" s="5"/>
      <c r="O131" s="5"/>
      <c r="P131" s="5"/>
      <c r="Q131" s="5"/>
      <c r="R131" s="5"/>
      <c r="S131" s="5"/>
      <c r="T131" s="5"/>
      <c r="U131" s="5"/>
      <c r="V131" s="5"/>
      <c r="W131" s="5"/>
      <c r="X131" s="5"/>
      <c r="Y131" s="5"/>
    </row>
    <row r="132" spans="1:25" ht="15" thickBot="1" x14ac:dyDescent="0.35">
      <c r="A132" s="27">
        <v>130</v>
      </c>
      <c r="B132" s="21">
        <v>131</v>
      </c>
      <c r="C132" s="22">
        <v>0.2576</v>
      </c>
      <c r="D132" s="21">
        <v>0.38</v>
      </c>
      <c r="E132" s="21">
        <v>0.16420000000000001</v>
      </c>
      <c r="F132" s="21">
        <v>12</v>
      </c>
      <c r="G132" s="21">
        <v>74</v>
      </c>
      <c r="H132" s="23">
        <v>86</v>
      </c>
      <c r="I132" s="23">
        <v>0.2576</v>
      </c>
      <c r="J132" s="18"/>
      <c r="K132" s="5"/>
      <c r="L132" s="5"/>
      <c r="M132" s="5"/>
      <c r="N132" s="5"/>
      <c r="O132" s="5"/>
      <c r="P132" s="5"/>
      <c r="Q132" s="5"/>
      <c r="R132" s="5"/>
      <c r="S132" s="5"/>
      <c r="T132" s="5"/>
      <c r="U132" s="5"/>
      <c r="V132" s="5"/>
      <c r="W132" s="5"/>
      <c r="X132" s="5"/>
      <c r="Y132" s="5"/>
    </row>
    <row r="133" spans="1:25" ht="15" thickBot="1" x14ac:dyDescent="0.35">
      <c r="A133" s="27">
        <v>131</v>
      </c>
      <c r="B133" s="21">
        <v>132</v>
      </c>
      <c r="C133" s="22">
        <v>0.2273</v>
      </c>
      <c r="D133" s="21">
        <v>0.51</v>
      </c>
      <c r="E133" s="21">
        <v>0.16420000000000001</v>
      </c>
      <c r="F133" s="21">
        <v>9</v>
      </c>
      <c r="G133" s="21">
        <v>163</v>
      </c>
      <c r="H133" s="23">
        <v>172</v>
      </c>
      <c r="I133" s="23">
        <v>0.2273</v>
      </c>
      <c r="J133" s="18"/>
      <c r="K133" s="5"/>
      <c r="L133" s="5"/>
      <c r="M133" s="5"/>
      <c r="N133" s="5"/>
      <c r="O133" s="5"/>
      <c r="P133" s="5"/>
      <c r="Q133" s="5"/>
      <c r="R133" s="5"/>
      <c r="S133" s="5"/>
      <c r="T133" s="5"/>
      <c r="U133" s="5"/>
      <c r="V133" s="5"/>
      <c r="W133" s="5"/>
      <c r="X133" s="5"/>
      <c r="Y133" s="5"/>
    </row>
    <row r="134" spans="1:25" ht="15" thickBot="1" x14ac:dyDescent="0.35">
      <c r="A134" s="27">
        <v>132</v>
      </c>
      <c r="B134" s="21">
        <v>133</v>
      </c>
      <c r="C134" s="22">
        <v>0.2273</v>
      </c>
      <c r="D134" s="21">
        <v>0.51</v>
      </c>
      <c r="E134" s="21">
        <v>0.1343</v>
      </c>
      <c r="F134" s="21">
        <v>5</v>
      </c>
      <c r="G134" s="21">
        <v>158</v>
      </c>
      <c r="H134" s="23">
        <v>163</v>
      </c>
      <c r="I134" s="23">
        <v>0.2273</v>
      </c>
      <c r="J134" s="18"/>
      <c r="K134" s="5"/>
      <c r="L134" s="5"/>
      <c r="M134" s="5"/>
      <c r="N134" s="5"/>
      <c r="O134" s="5"/>
      <c r="P134" s="5"/>
      <c r="Q134" s="5"/>
      <c r="R134" s="5"/>
      <c r="S134" s="5"/>
      <c r="T134" s="5"/>
      <c r="U134" s="5"/>
      <c r="V134" s="5"/>
      <c r="W134" s="5"/>
      <c r="X134" s="5"/>
      <c r="Y134" s="5"/>
    </row>
    <row r="135" spans="1:25" ht="15" thickBot="1" x14ac:dyDescent="0.35">
      <c r="A135" s="27">
        <v>133</v>
      </c>
      <c r="B135" s="21">
        <v>134</v>
      </c>
      <c r="C135" s="22">
        <v>0.2576</v>
      </c>
      <c r="D135" s="21">
        <v>0.55000000000000004</v>
      </c>
      <c r="E135" s="21">
        <v>8.9599999999999999E-2</v>
      </c>
      <c r="F135" s="21">
        <v>3</v>
      </c>
      <c r="G135" s="21">
        <v>109</v>
      </c>
      <c r="H135" s="23">
        <v>112</v>
      </c>
      <c r="I135" s="23">
        <v>0.2576</v>
      </c>
      <c r="J135" s="18"/>
      <c r="K135" s="5"/>
      <c r="L135" s="5"/>
      <c r="M135" s="5"/>
      <c r="N135" s="5"/>
      <c r="O135" s="5"/>
      <c r="P135" s="5"/>
      <c r="Q135" s="5"/>
      <c r="R135" s="5"/>
      <c r="S135" s="5"/>
      <c r="T135" s="5"/>
      <c r="U135" s="5"/>
      <c r="V135" s="5"/>
      <c r="W135" s="5"/>
      <c r="X135" s="5"/>
      <c r="Y135" s="5"/>
    </row>
    <row r="136" spans="1:25" ht="15" thickBot="1" x14ac:dyDescent="0.35">
      <c r="A136" s="27">
        <v>134</v>
      </c>
      <c r="B136" s="21">
        <v>135</v>
      </c>
      <c r="C136" s="22">
        <v>0.21210000000000001</v>
      </c>
      <c r="D136" s="21">
        <v>0.51</v>
      </c>
      <c r="E136" s="21">
        <v>0.16420000000000001</v>
      </c>
      <c r="F136" s="21">
        <v>3</v>
      </c>
      <c r="G136" s="21">
        <v>66</v>
      </c>
      <c r="H136" s="23">
        <v>69</v>
      </c>
      <c r="I136" s="23">
        <v>0.21210000000000001</v>
      </c>
      <c r="J136" s="18"/>
      <c r="K136" s="5"/>
      <c r="L136" s="5"/>
      <c r="M136" s="5"/>
      <c r="N136" s="5"/>
      <c r="O136" s="5"/>
      <c r="P136" s="5"/>
      <c r="Q136" s="5"/>
      <c r="R136" s="5"/>
      <c r="S136" s="5"/>
      <c r="T136" s="5"/>
      <c r="U136" s="5"/>
      <c r="V136" s="5"/>
      <c r="W136" s="5"/>
      <c r="X136" s="5"/>
      <c r="Y136" s="5"/>
    </row>
    <row r="137" spans="1:25" ht="15" thickBot="1" x14ac:dyDescent="0.35">
      <c r="A137" s="27">
        <v>135</v>
      </c>
      <c r="B137" s="21">
        <v>136</v>
      </c>
      <c r="C137" s="22">
        <v>0.21210000000000001</v>
      </c>
      <c r="D137" s="21">
        <v>0.55000000000000004</v>
      </c>
      <c r="E137" s="21">
        <v>0.22389999999999999</v>
      </c>
      <c r="F137" s="21">
        <v>0</v>
      </c>
      <c r="G137" s="21">
        <v>48</v>
      </c>
      <c r="H137" s="23">
        <v>48</v>
      </c>
      <c r="I137" s="23">
        <v>0.21210000000000001</v>
      </c>
      <c r="J137" s="18"/>
      <c r="K137" s="5"/>
      <c r="L137" s="5"/>
      <c r="M137" s="5"/>
      <c r="N137" s="5"/>
      <c r="O137" s="5"/>
      <c r="P137" s="5"/>
      <c r="Q137" s="5"/>
      <c r="R137" s="5"/>
      <c r="S137" s="5"/>
      <c r="T137" s="5"/>
      <c r="U137" s="5"/>
      <c r="V137" s="5"/>
      <c r="W137" s="5"/>
      <c r="X137" s="5"/>
      <c r="Y137" s="5"/>
    </row>
    <row r="138" spans="1:25" ht="15" thickBot="1" x14ac:dyDescent="0.35">
      <c r="A138" s="27">
        <v>136</v>
      </c>
      <c r="B138" s="21">
        <v>137</v>
      </c>
      <c r="C138" s="22">
        <v>0.21210000000000001</v>
      </c>
      <c r="D138" s="21">
        <v>0.51</v>
      </c>
      <c r="E138" s="21">
        <v>0.28360000000000002</v>
      </c>
      <c r="F138" s="21">
        <v>1</v>
      </c>
      <c r="G138" s="21">
        <v>51</v>
      </c>
      <c r="H138" s="23">
        <v>52</v>
      </c>
      <c r="I138" s="23">
        <v>0.21210000000000001</v>
      </c>
      <c r="J138" s="18"/>
      <c r="K138" s="5"/>
      <c r="L138" s="5"/>
      <c r="M138" s="5"/>
      <c r="N138" s="5"/>
      <c r="O138" s="5"/>
      <c r="P138" s="5"/>
      <c r="Q138" s="5"/>
      <c r="R138" s="5"/>
      <c r="S138" s="5"/>
      <c r="T138" s="5"/>
      <c r="U138" s="5"/>
      <c r="V138" s="5"/>
      <c r="W138" s="5"/>
      <c r="X138" s="5"/>
      <c r="Y138" s="5"/>
    </row>
    <row r="139" spans="1:25" ht="15" thickBot="1" x14ac:dyDescent="0.35">
      <c r="A139" s="27">
        <v>137</v>
      </c>
      <c r="B139" s="21">
        <v>138</v>
      </c>
      <c r="C139" s="22">
        <v>0.19700000000000001</v>
      </c>
      <c r="D139" s="21">
        <v>0.59</v>
      </c>
      <c r="E139" s="21">
        <v>0.19400000000000001</v>
      </c>
      <c r="F139" s="21">
        <v>4</v>
      </c>
      <c r="G139" s="21">
        <v>19</v>
      </c>
      <c r="H139" s="23">
        <v>23</v>
      </c>
      <c r="I139" s="23">
        <v>0.19700000000000001</v>
      </c>
      <c r="J139" s="18"/>
      <c r="K139" s="5"/>
      <c r="L139" s="5"/>
      <c r="M139" s="5"/>
      <c r="N139" s="5"/>
      <c r="O139" s="5"/>
      <c r="P139" s="5"/>
      <c r="Q139" s="5"/>
      <c r="R139" s="5"/>
      <c r="S139" s="5"/>
      <c r="T139" s="5"/>
      <c r="U139" s="5"/>
      <c r="V139" s="5"/>
      <c r="W139" s="5"/>
      <c r="X139" s="5"/>
      <c r="Y139" s="5"/>
    </row>
    <row r="140" spans="1:25" ht="15" thickBot="1" x14ac:dyDescent="0.35">
      <c r="A140" s="27">
        <v>138</v>
      </c>
      <c r="B140" s="21">
        <v>139</v>
      </c>
      <c r="C140" s="22">
        <v>0.19700000000000001</v>
      </c>
      <c r="D140" s="21">
        <v>0.64</v>
      </c>
      <c r="E140" s="21">
        <v>0.19400000000000001</v>
      </c>
      <c r="F140" s="21">
        <v>4</v>
      </c>
      <c r="G140" s="21">
        <v>13</v>
      </c>
      <c r="H140" s="23">
        <v>17</v>
      </c>
      <c r="I140" s="23">
        <v>0.19700000000000001</v>
      </c>
      <c r="J140" s="18"/>
      <c r="K140" s="5"/>
      <c r="L140" s="5"/>
      <c r="M140" s="5"/>
      <c r="N140" s="5"/>
      <c r="O140" s="5"/>
      <c r="P140" s="5"/>
      <c r="Q140" s="5"/>
      <c r="R140" s="5"/>
      <c r="S140" s="5"/>
      <c r="T140" s="5"/>
      <c r="U140" s="5"/>
      <c r="V140" s="5"/>
      <c r="W140" s="5"/>
      <c r="X140" s="5"/>
      <c r="Y140" s="5"/>
    </row>
    <row r="141" spans="1:25" ht="15" thickBot="1" x14ac:dyDescent="0.35">
      <c r="A141" s="27">
        <v>139</v>
      </c>
      <c r="B141" s="21">
        <v>140</v>
      </c>
      <c r="C141" s="22">
        <v>0.19700000000000001</v>
      </c>
      <c r="D141" s="21">
        <v>0.69</v>
      </c>
      <c r="E141" s="21">
        <v>0.22389999999999999</v>
      </c>
      <c r="F141" s="21">
        <v>2</v>
      </c>
      <c r="G141" s="21">
        <v>5</v>
      </c>
      <c r="H141" s="23">
        <v>7</v>
      </c>
      <c r="I141" s="23">
        <v>0.19700000000000001</v>
      </c>
      <c r="J141" s="18"/>
      <c r="K141" s="5"/>
      <c r="L141" s="5"/>
      <c r="M141" s="5"/>
      <c r="N141" s="5"/>
      <c r="O141" s="5"/>
      <c r="P141" s="5"/>
      <c r="Q141" s="5"/>
      <c r="R141" s="5"/>
      <c r="S141" s="5"/>
      <c r="T141" s="5"/>
      <c r="U141" s="5"/>
      <c r="V141" s="5"/>
      <c r="W141" s="5"/>
      <c r="X141" s="5"/>
      <c r="Y141" s="5"/>
    </row>
    <row r="142" spans="1:25" ht="15" thickBot="1" x14ac:dyDescent="0.35">
      <c r="A142" s="27">
        <v>140</v>
      </c>
      <c r="B142" s="21">
        <v>141</v>
      </c>
      <c r="C142" s="22">
        <v>0.19700000000000001</v>
      </c>
      <c r="D142" s="21">
        <v>0.69</v>
      </c>
      <c r="E142" s="21">
        <v>0.22389999999999999</v>
      </c>
      <c r="F142" s="21">
        <v>0</v>
      </c>
      <c r="G142" s="21">
        <v>1</v>
      </c>
      <c r="H142" s="23">
        <v>1</v>
      </c>
      <c r="I142" s="23">
        <v>0.19700000000000001</v>
      </c>
      <c r="J142" s="18"/>
      <c r="K142" s="5"/>
      <c r="L142" s="5"/>
      <c r="M142" s="5"/>
      <c r="N142" s="5"/>
      <c r="O142" s="5"/>
      <c r="P142" s="5"/>
      <c r="Q142" s="5"/>
      <c r="R142" s="5"/>
      <c r="S142" s="5"/>
      <c r="T142" s="5"/>
      <c r="U142" s="5"/>
      <c r="V142" s="5"/>
      <c r="W142" s="5"/>
      <c r="X142" s="5"/>
      <c r="Y142" s="5"/>
    </row>
    <row r="143" spans="1:25" ht="15" thickBot="1" x14ac:dyDescent="0.35">
      <c r="A143" s="27">
        <v>141</v>
      </c>
      <c r="B143" s="21">
        <v>142</v>
      </c>
      <c r="C143" s="22">
        <v>0.21210000000000001</v>
      </c>
      <c r="D143" s="21">
        <v>0.69</v>
      </c>
      <c r="E143" s="21">
        <v>0.1343</v>
      </c>
      <c r="F143" s="21">
        <v>0</v>
      </c>
      <c r="G143" s="21">
        <v>1</v>
      </c>
      <c r="H143" s="23">
        <v>1</v>
      </c>
      <c r="I143" s="23">
        <v>0.21210000000000001</v>
      </c>
      <c r="J143" s="18"/>
      <c r="K143" s="5"/>
      <c r="L143" s="5"/>
      <c r="M143" s="5"/>
      <c r="N143" s="5"/>
      <c r="O143" s="5"/>
      <c r="P143" s="5"/>
      <c r="Q143" s="5"/>
      <c r="R143" s="5"/>
      <c r="S143" s="5"/>
      <c r="T143" s="5"/>
      <c r="U143" s="5"/>
      <c r="V143" s="5"/>
      <c r="W143" s="5"/>
      <c r="X143" s="5"/>
      <c r="Y143" s="5"/>
    </row>
    <row r="144" spans="1:25" ht="15" thickBot="1" x14ac:dyDescent="0.35">
      <c r="A144" s="27">
        <v>142</v>
      </c>
      <c r="B144" s="21">
        <v>143</v>
      </c>
      <c r="C144" s="22">
        <v>0.2727</v>
      </c>
      <c r="D144" s="21">
        <v>0.55000000000000004</v>
      </c>
      <c r="E144" s="22">
        <v>0.20485098360655737</v>
      </c>
      <c r="F144" s="21">
        <v>0</v>
      </c>
      <c r="G144" s="21">
        <v>5</v>
      </c>
      <c r="H144" s="23">
        <v>5</v>
      </c>
      <c r="I144" s="23">
        <v>0.2727</v>
      </c>
      <c r="J144" s="18"/>
      <c r="K144" s="5"/>
      <c r="L144" s="5"/>
      <c r="M144" s="5"/>
      <c r="N144" s="5"/>
      <c r="O144" s="5"/>
      <c r="P144" s="5"/>
      <c r="Q144" s="5"/>
      <c r="R144" s="5"/>
      <c r="S144" s="5"/>
      <c r="T144" s="5"/>
      <c r="U144" s="5"/>
      <c r="V144" s="5"/>
      <c r="W144" s="5"/>
      <c r="X144" s="5"/>
      <c r="Y144" s="5"/>
    </row>
    <row r="145" spans="1:25" ht="15" thickBot="1" x14ac:dyDescent="0.35">
      <c r="A145" s="27">
        <v>143</v>
      </c>
      <c r="B145" s="21">
        <v>144</v>
      </c>
      <c r="C145" s="22">
        <v>0.2576</v>
      </c>
      <c r="D145" s="21">
        <v>0.69</v>
      </c>
      <c r="E145" s="22">
        <v>0.20485098360655737</v>
      </c>
      <c r="F145" s="21">
        <v>8</v>
      </c>
      <c r="G145" s="21">
        <v>26</v>
      </c>
      <c r="H145" s="23">
        <v>34</v>
      </c>
      <c r="I145" s="23">
        <v>0.2576</v>
      </c>
      <c r="J145" s="18"/>
      <c r="K145" s="5"/>
      <c r="L145" s="5"/>
      <c r="M145" s="5"/>
      <c r="N145" s="5"/>
      <c r="O145" s="5"/>
      <c r="P145" s="5"/>
      <c r="Q145" s="5"/>
      <c r="R145" s="5"/>
      <c r="S145" s="5"/>
      <c r="T145" s="5"/>
      <c r="U145" s="5"/>
      <c r="V145" s="5"/>
      <c r="W145" s="5"/>
      <c r="X145" s="5"/>
      <c r="Y145" s="5"/>
    </row>
    <row r="146" spans="1:25" ht="15" thickBot="1" x14ac:dyDescent="0.35">
      <c r="A146" s="27">
        <v>144</v>
      </c>
      <c r="B146" s="21">
        <v>145</v>
      </c>
      <c r="C146" s="22">
        <v>0.21210000000000001</v>
      </c>
      <c r="D146" s="21">
        <v>0.69</v>
      </c>
      <c r="E146" s="21">
        <v>0.1343</v>
      </c>
      <c r="F146" s="21">
        <v>8</v>
      </c>
      <c r="G146" s="21">
        <v>76</v>
      </c>
      <c r="H146" s="23">
        <v>84</v>
      </c>
      <c r="I146" s="23">
        <v>0.21210000000000001</v>
      </c>
      <c r="J146" s="18"/>
      <c r="K146" s="5"/>
      <c r="L146" s="5"/>
      <c r="M146" s="5"/>
      <c r="N146" s="5"/>
      <c r="O146" s="5"/>
      <c r="P146" s="5"/>
      <c r="Q146" s="5"/>
      <c r="R146" s="5"/>
      <c r="S146" s="5"/>
      <c r="T146" s="5"/>
      <c r="U146" s="5"/>
      <c r="V146" s="5"/>
      <c r="W146" s="5"/>
      <c r="X146" s="5"/>
      <c r="Y146" s="5"/>
    </row>
    <row r="147" spans="1:25" ht="15" thickBot="1" x14ac:dyDescent="0.35">
      <c r="A147" s="27">
        <v>145</v>
      </c>
      <c r="B147" s="21">
        <v>146</v>
      </c>
      <c r="C147" s="22">
        <v>0.19700000000000001</v>
      </c>
      <c r="D147" s="21">
        <v>0.51</v>
      </c>
      <c r="E147" s="21">
        <v>0.25369999999999998</v>
      </c>
      <c r="F147" s="21">
        <v>20</v>
      </c>
      <c r="G147" s="21">
        <v>190</v>
      </c>
      <c r="H147" s="23">
        <v>210</v>
      </c>
      <c r="I147" s="23">
        <v>0.19700000000000001</v>
      </c>
      <c r="J147" s="18"/>
      <c r="K147" s="5"/>
      <c r="L147" s="5"/>
      <c r="M147" s="5"/>
      <c r="N147" s="5"/>
      <c r="O147" s="5"/>
      <c r="P147" s="5"/>
      <c r="Q147" s="5"/>
      <c r="R147" s="5"/>
      <c r="S147" s="5"/>
      <c r="T147" s="5"/>
      <c r="U147" s="5"/>
      <c r="V147" s="5"/>
      <c r="W147" s="5"/>
      <c r="X147" s="5"/>
      <c r="Y147" s="5"/>
    </row>
    <row r="148" spans="1:25" ht="15" thickBot="1" x14ac:dyDescent="0.35">
      <c r="A148" s="27">
        <v>146</v>
      </c>
      <c r="B148" s="21">
        <v>147</v>
      </c>
      <c r="C148" s="22">
        <v>0.18179999999999999</v>
      </c>
      <c r="D148" s="21">
        <v>0.47</v>
      </c>
      <c r="E148" s="21">
        <v>0.29849999999999999</v>
      </c>
      <c r="F148" s="21">
        <v>9</v>
      </c>
      <c r="G148" s="21">
        <v>125</v>
      </c>
      <c r="H148" s="23">
        <v>134</v>
      </c>
      <c r="I148" s="23">
        <v>0.18179999999999999</v>
      </c>
      <c r="J148" s="18"/>
      <c r="K148" s="5"/>
      <c r="L148" s="5"/>
      <c r="M148" s="5"/>
      <c r="N148" s="5"/>
      <c r="O148" s="5"/>
      <c r="P148" s="5"/>
      <c r="Q148" s="5"/>
      <c r="R148" s="5"/>
      <c r="S148" s="5"/>
      <c r="T148" s="5"/>
      <c r="U148" s="5"/>
      <c r="V148" s="5"/>
      <c r="W148" s="5"/>
      <c r="X148" s="5"/>
      <c r="Y148" s="5"/>
    </row>
    <row r="149" spans="1:25" ht="15" thickBot="1" x14ac:dyDescent="0.35">
      <c r="A149" s="27">
        <v>147</v>
      </c>
      <c r="B149" s="21">
        <v>148</v>
      </c>
      <c r="C149" s="22">
        <v>0.19700000000000001</v>
      </c>
      <c r="D149" s="21">
        <v>0.37</v>
      </c>
      <c r="E149" s="21">
        <v>0.32840000000000003</v>
      </c>
      <c r="F149" s="21">
        <v>16</v>
      </c>
      <c r="G149" s="21">
        <v>47</v>
      </c>
      <c r="H149" s="23">
        <v>63</v>
      </c>
      <c r="I149" s="23">
        <v>0.19700000000000001</v>
      </c>
      <c r="J149" s="18"/>
      <c r="K149" s="5"/>
      <c r="L149" s="5"/>
      <c r="M149" s="5"/>
      <c r="N149" s="5"/>
      <c r="O149" s="5"/>
      <c r="P149" s="5"/>
      <c r="Q149" s="5"/>
      <c r="R149" s="5"/>
      <c r="S149" s="5"/>
      <c r="T149" s="5"/>
      <c r="U149" s="5"/>
      <c r="V149" s="5"/>
      <c r="W149" s="5"/>
      <c r="X149" s="5"/>
      <c r="Y149" s="5"/>
    </row>
    <row r="150" spans="1:25" ht="15" thickBot="1" x14ac:dyDescent="0.35">
      <c r="A150" s="27">
        <v>148</v>
      </c>
      <c r="B150" s="21">
        <v>149</v>
      </c>
      <c r="C150" s="22">
        <v>0.19700000000000001</v>
      </c>
      <c r="D150" s="21">
        <v>0.4</v>
      </c>
      <c r="E150" s="21">
        <v>0.22389999999999999</v>
      </c>
      <c r="F150" s="21">
        <v>19</v>
      </c>
      <c r="G150" s="21">
        <v>48</v>
      </c>
      <c r="H150" s="23">
        <v>67</v>
      </c>
      <c r="I150" s="23">
        <v>0.19700000000000001</v>
      </c>
      <c r="J150" s="18"/>
      <c r="K150" s="5"/>
      <c r="L150" s="5"/>
      <c r="M150" s="5"/>
      <c r="N150" s="5"/>
      <c r="O150" s="5"/>
      <c r="P150" s="5"/>
      <c r="Q150" s="5"/>
      <c r="R150" s="5"/>
      <c r="S150" s="5"/>
      <c r="T150" s="5"/>
      <c r="U150" s="5"/>
      <c r="V150" s="5"/>
      <c r="W150" s="5"/>
      <c r="X150" s="5"/>
      <c r="Y150" s="5"/>
    </row>
    <row r="151" spans="1:25" ht="15" thickBot="1" x14ac:dyDescent="0.35">
      <c r="A151" s="27">
        <v>149</v>
      </c>
      <c r="B151" s="21">
        <v>150</v>
      </c>
      <c r="C151" s="22">
        <v>0.19700000000000001</v>
      </c>
      <c r="D151" s="21">
        <v>0.37</v>
      </c>
      <c r="E151" s="21">
        <v>0.25369999999999998</v>
      </c>
      <c r="F151" s="21">
        <v>9</v>
      </c>
      <c r="G151" s="21">
        <v>50</v>
      </c>
      <c r="H151" s="23">
        <v>59</v>
      </c>
      <c r="I151" s="23">
        <v>0.19700000000000001</v>
      </c>
      <c r="J151" s="18"/>
      <c r="K151" s="5"/>
      <c r="L151" s="5"/>
      <c r="M151" s="5"/>
      <c r="N151" s="5"/>
      <c r="O151" s="5"/>
      <c r="P151" s="5"/>
      <c r="Q151" s="5"/>
      <c r="R151" s="5"/>
      <c r="S151" s="5"/>
      <c r="T151" s="5"/>
      <c r="U151" s="5"/>
      <c r="V151" s="5"/>
      <c r="W151" s="5"/>
      <c r="X151" s="5"/>
      <c r="Y151" s="5"/>
    </row>
    <row r="152" spans="1:25" ht="15" thickBot="1" x14ac:dyDescent="0.35">
      <c r="A152" s="27">
        <v>150</v>
      </c>
      <c r="B152" s="21">
        <v>151</v>
      </c>
      <c r="C152" s="22">
        <v>0.18179999999999999</v>
      </c>
      <c r="D152" s="21">
        <v>0.37</v>
      </c>
      <c r="E152" s="21">
        <v>0.28360000000000002</v>
      </c>
      <c r="F152" s="21">
        <v>9</v>
      </c>
      <c r="G152" s="21">
        <v>64</v>
      </c>
      <c r="H152" s="23">
        <v>73</v>
      </c>
      <c r="I152" s="23">
        <v>0.18179999999999999</v>
      </c>
      <c r="J152" s="18"/>
      <c r="K152" s="5"/>
      <c r="L152" s="5"/>
      <c r="M152" s="5"/>
      <c r="N152" s="5"/>
      <c r="O152" s="5"/>
      <c r="P152" s="5"/>
      <c r="Q152" s="5"/>
      <c r="R152" s="5"/>
      <c r="S152" s="5"/>
      <c r="T152" s="5"/>
      <c r="U152" s="5"/>
      <c r="V152" s="5"/>
      <c r="W152" s="5"/>
      <c r="X152" s="5"/>
      <c r="Y152" s="5"/>
    </row>
    <row r="153" spans="1:25" ht="15" thickBot="1" x14ac:dyDescent="0.35">
      <c r="A153" s="27">
        <v>151</v>
      </c>
      <c r="B153" s="21">
        <v>152</v>
      </c>
      <c r="C153" s="22">
        <v>0.19700000000000001</v>
      </c>
      <c r="D153" s="21">
        <v>0.4</v>
      </c>
      <c r="E153" s="21">
        <v>0.25369999999999998</v>
      </c>
      <c r="F153" s="21">
        <v>7</v>
      </c>
      <c r="G153" s="21">
        <v>43</v>
      </c>
      <c r="H153" s="23">
        <v>50</v>
      </c>
      <c r="I153" s="23">
        <v>0.19700000000000001</v>
      </c>
      <c r="J153" s="18"/>
      <c r="K153" s="5"/>
      <c r="L153" s="5"/>
      <c r="M153" s="5"/>
      <c r="N153" s="5"/>
      <c r="O153" s="5"/>
      <c r="P153" s="5"/>
      <c r="Q153" s="5"/>
      <c r="R153" s="5"/>
      <c r="S153" s="5"/>
      <c r="T153" s="5"/>
      <c r="U153" s="5"/>
      <c r="V153" s="5"/>
      <c r="W153" s="5"/>
      <c r="X153" s="5"/>
      <c r="Y153" s="5"/>
    </row>
    <row r="154" spans="1:25" ht="15" thickBot="1" x14ac:dyDescent="0.35">
      <c r="A154" s="27">
        <v>152</v>
      </c>
      <c r="B154" s="21">
        <v>153</v>
      </c>
      <c r="C154" s="22">
        <v>0.21210000000000001</v>
      </c>
      <c r="D154" s="21">
        <v>0.37</v>
      </c>
      <c r="E154" s="21">
        <v>0.16420000000000001</v>
      </c>
      <c r="F154" s="21">
        <v>9</v>
      </c>
      <c r="G154" s="21">
        <v>63</v>
      </c>
      <c r="H154" s="23">
        <v>72</v>
      </c>
      <c r="I154" s="23">
        <v>0.21210000000000001</v>
      </c>
      <c r="J154" s="18"/>
      <c r="K154" s="5"/>
      <c r="L154" s="5"/>
      <c r="M154" s="5"/>
      <c r="N154" s="5"/>
      <c r="O154" s="5"/>
      <c r="P154" s="5"/>
      <c r="Q154" s="5"/>
      <c r="R154" s="5"/>
      <c r="S154" s="5"/>
      <c r="T154" s="5"/>
      <c r="U154" s="5"/>
      <c r="V154" s="5"/>
      <c r="W154" s="5"/>
      <c r="X154" s="5"/>
      <c r="Y154" s="5"/>
    </row>
    <row r="155" spans="1:25" ht="15" thickBot="1" x14ac:dyDescent="0.35">
      <c r="A155" s="27">
        <v>153</v>
      </c>
      <c r="B155" s="21">
        <v>154</v>
      </c>
      <c r="C155" s="22">
        <v>0.21210000000000001</v>
      </c>
      <c r="D155" s="21">
        <v>0.37</v>
      </c>
      <c r="E155" s="21">
        <v>0.16420000000000001</v>
      </c>
      <c r="F155" s="21">
        <v>5</v>
      </c>
      <c r="G155" s="21">
        <v>82</v>
      </c>
      <c r="H155" s="23">
        <v>87</v>
      </c>
      <c r="I155" s="23">
        <v>0.21210000000000001</v>
      </c>
      <c r="J155" s="18"/>
      <c r="K155" s="5"/>
      <c r="L155" s="5"/>
      <c r="M155" s="5"/>
      <c r="N155" s="5"/>
      <c r="O155" s="5"/>
      <c r="P155" s="5"/>
      <c r="Q155" s="5"/>
      <c r="R155" s="5"/>
      <c r="S155" s="5"/>
      <c r="T155" s="5"/>
      <c r="U155" s="5"/>
      <c r="V155" s="5"/>
      <c r="W155" s="5"/>
      <c r="X155" s="5"/>
      <c r="Y155" s="5"/>
    </row>
    <row r="156" spans="1:25" ht="15" thickBot="1" x14ac:dyDescent="0.35">
      <c r="A156" s="27">
        <v>154</v>
      </c>
      <c r="B156" s="21">
        <v>155</v>
      </c>
      <c r="C156" s="22">
        <v>0.2576</v>
      </c>
      <c r="D156" s="21">
        <v>0.37</v>
      </c>
      <c r="E156" s="22">
        <v>0.20485098360655737</v>
      </c>
      <c r="F156" s="21">
        <v>9</v>
      </c>
      <c r="G156" s="21">
        <v>178</v>
      </c>
      <c r="H156" s="23">
        <v>187</v>
      </c>
      <c r="I156" s="23">
        <v>0.2576</v>
      </c>
      <c r="J156" s="18"/>
      <c r="K156" s="5"/>
      <c r="L156" s="5"/>
      <c r="M156" s="5"/>
      <c r="N156" s="5"/>
      <c r="O156" s="5"/>
      <c r="P156" s="5"/>
      <c r="Q156" s="5"/>
      <c r="R156" s="5"/>
      <c r="S156" s="5"/>
      <c r="T156" s="5"/>
      <c r="U156" s="5"/>
      <c r="V156" s="5"/>
      <c r="W156" s="5"/>
      <c r="X156" s="5"/>
      <c r="Y156" s="5"/>
    </row>
    <row r="157" spans="1:25" ht="15" thickBot="1" x14ac:dyDescent="0.35">
      <c r="A157" s="27">
        <v>155</v>
      </c>
      <c r="B157" s="21">
        <v>156</v>
      </c>
      <c r="C157" s="22">
        <v>0.2273</v>
      </c>
      <c r="D157" s="21">
        <v>0.4</v>
      </c>
      <c r="E157" s="21">
        <v>8.9599999999999999E-2</v>
      </c>
      <c r="F157" s="21">
        <v>7</v>
      </c>
      <c r="G157" s="21">
        <v>116</v>
      </c>
      <c r="H157" s="23">
        <v>123</v>
      </c>
      <c r="I157" s="23">
        <v>0.2273</v>
      </c>
      <c r="J157" s="18"/>
      <c r="K157" s="5"/>
      <c r="L157" s="5"/>
      <c r="M157" s="5"/>
      <c r="N157" s="5"/>
      <c r="O157" s="5"/>
      <c r="P157" s="5"/>
      <c r="Q157" s="5"/>
      <c r="R157" s="5"/>
      <c r="S157" s="5"/>
      <c r="T157" s="5"/>
      <c r="U157" s="5"/>
      <c r="V157" s="5"/>
      <c r="W157" s="5"/>
      <c r="X157" s="5"/>
      <c r="Y157" s="5"/>
    </row>
    <row r="158" spans="1:25" ht="15" thickBot="1" x14ac:dyDescent="0.35">
      <c r="A158" s="27">
        <v>156</v>
      </c>
      <c r="B158" s="21">
        <v>157</v>
      </c>
      <c r="C158" s="22">
        <v>0.19700000000000001</v>
      </c>
      <c r="D158" s="21">
        <v>0.55000000000000004</v>
      </c>
      <c r="E158" s="21">
        <v>8.9599999999999999E-2</v>
      </c>
      <c r="F158" s="21">
        <v>3</v>
      </c>
      <c r="G158" s="21">
        <v>92</v>
      </c>
      <c r="H158" s="23">
        <v>95</v>
      </c>
      <c r="I158" s="23">
        <v>0.19700000000000001</v>
      </c>
      <c r="J158" s="18"/>
      <c r="K158" s="5"/>
      <c r="L158" s="5"/>
      <c r="M158" s="5"/>
      <c r="N158" s="5"/>
      <c r="O158" s="5"/>
      <c r="P158" s="5"/>
      <c r="Q158" s="5"/>
      <c r="R158" s="5"/>
      <c r="S158" s="5"/>
      <c r="T158" s="5"/>
      <c r="U158" s="5"/>
      <c r="V158" s="5"/>
      <c r="W158" s="5"/>
      <c r="X158" s="5"/>
      <c r="Y158" s="5"/>
    </row>
    <row r="159" spans="1:25" ht="15" thickBot="1" x14ac:dyDescent="0.35">
      <c r="A159" s="27">
        <v>157</v>
      </c>
      <c r="B159" s="21">
        <v>158</v>
      </c>
      <c r="C159" s="22">
        <v>0.21210000000000001</v>
      </c>
      <c r="D159" s="21">
        <v>0.47</v>
      </c>
      <c r="E159" s="21">
        <v>0.1045</v>
      </c>
      <c r="F159" s="21">
        <v>1</v>
      </c>
      <c r="G159" s="21">
        <v>50</v>
      </c>
      <c r="H159" s="23">
        <v>51</v>
      </c>
      <c r="I159" s="23">
        <v>0.21210000000000001</v>
      </c>
      <c r="J159" s="18"/>
      <c r="K159" s="5"/>
      <c r="L159" s="5"/>
      <c r="M159" s="5"/>
      <c r="N159" s="5"/>
      <c r="O159" s="5"/>
      <c r="P159" s="5"/>
      <c r="Q159" s="5"/>
      <c r="R159" s="5"/>
      <c r="S159" s="5"/>
      <c r="T159" s="5"/>
      <c r="U159" s="5"/>
      <c r="V159" s="5"/>
      <c r="W159" s="5"/>
      <c r="X159" s="5"/>
      <c r="Y159" s="5"/>
    </row>
    <row r="160" spans="1:25" ht="15" thickBot="1" x14ac:dyDescent="0.35">
      <c r="A160" s="27">
        <v>158</v>
      </c>
      <c r="B160" s="21">
        <v>159</v>
      </c>
      <c r="C160" s="22">
        <v>0.19700000000000001</v>
      </c>
      <c r="D160" s="21">
        <v>0.47</v>
      </c>
      <c r="E160" s="21">
        <v>0.1343</v>
      </c>
      <c r="F160" s="21">
        <v>0</v>
      </c>
      <c r="G160" s="21">
        <v>39</v>
      </c>
      <c r="H160" s="23">
        <v>39</v>
      </c>
      <c r="I160" s="23">
        <v>0.19700000000000001</v>
      </c>
      <c r="J160" s="18"/>
      <c r="K160" s="5"/>
      <c r="L160" s="5"/>
      <c r="M160" s="5"/>
      <c r="N160" s="5"/>
      <c r="O160" s="5"/>
      <c r="P160" s="5"/>
      <c r="Q160" s="5"/>
      <c r="R160" s="5"/>
      <c r="S160" s="5"/>
      <c r="T160" s="5"/>
      <c r="U160" s="5"/>
      <c r="V160" s="5"/>
      <c r="W160" s="5"/>
      <c r="X160" s="5"/>
      <c r="Y160" s="5"/>
    </row>
    <row r="161" spans="1:25" ht="15" thickBot="1" x14ac:dyDescent="0.35">
      <c r="A161" s="27">
        <v>159</v>
      </c>
      <c r="B161" s="21">
        <v>160</v>
      </c>
      <c r="C161" s="22">
        <v>0.19700000000000001</v>
      </c>
      <c r="D161" s="21">
        <v>0.43</v>
      </c>
      <c r="E161" s="21">
        <v>0.16420000000000001</v>
      </c>
      <c r="F161" s="21">
        <v>2</v>
      </c>
      <c r="G161" s="21">
        <v>34</v>
      </c>
      <c r="H161" s="23">
        <v>36</v>
      </c>
      <c r="I161" s="23">
        <v>0.19700000000000001</v>
      </c>
      <c r="J161" s="18"/>
      <c r="K161" s="5"/>
      <c r="L161" s="5"/>
      <c r="M161" s="5"/>
      <c r="N161" s="5"/>
      <c r="O161" s="5"/>
      <c r="P161" s="5"/>
      <c r="Q161" s="5"/>
      <c r="R161" s="5"/>
      <c r="S161" s="5"/>
      <c r="T161" s="5"/>
      <c r="U161" s="5"/>
      <c r="V161" s="5"/>
      <c r="W161" s="5"/>
      <c r="X161" s="5"/>
      <c r="Y161" s="5"/>
    </row>
    <row r="162" spans="1:25" ht="15" thickBot="1" x14ac:dyDescent="0.35">
      <c r="A162" s="27">
        <v>160</v>
      </c>
      <c r="B162" s="21">
        <v>161</v>
      </c>
      <c r="C162" s="22">
        <v>0.19700000000000001</v>
      </c>
      <c r="D162" s="21">
        <v>0.51</v>
      </c>
      <c r="E162" s="21">
        <v>0.16420000000000001</v>
      </c>
      <c r="F162" s="21">
        <v>1</v>
      </c>
      <c r="G162" s="21">
        <v>14</v>
      </c>
      <c r="H162" s="23">
        <v>15</v>
      </c>
      <c r="I162" s="23">
        <v>0.19700000000000001</v>
      </c>
      <c r="J162" s="18"/>
      <c r="K162" s="5"/>
      <c r="L162" s="5"/>
      <c r="M162" s="5"/>
      <c r="N162" s="5"/>
      <c r="O162" s="5"/>
      <c r="P162" s="5"/>
      <c r="Q162" s="5"/>
      <c r="R162" s="5"/>
      <c r="S162" s="5"/>
      <c r="T162" s="5"/>
      <c r="U162" s="5"/>
      <c r="V162" s="5"/>
      <c r="W162" s="5"/>
      <c r="X162" s="5"/>
      <c r="Y162" s="5"/>
    </row>
    <row r="163" spans="1:25" ht="15" thickBot="1" x14ac:dyDescent="0.35">
      <c r="A163" s="27">
        <v>161</v>
      </c>
      <c r="B163" s="21">
        <v>162</v>
      </c>
      <c r="C163" s="22">
        <v>0.19700000000000001</v>
      </c>
      <c r="D163" s="21">
        <v>0.51</v>
      </c>
      <c r="E163" s="21">
        <v>0.16420000000000001</v>
      </c>
      <c r="F163" s="21">
        <v>1</v>
      </c>
      <c r="G163" s="21">
        <v>24</v>
      </c>
      <c r="H163" s="23">
        <v>25</v>
      </c>
      <c r="I163" s="23">
        <v>0.19700000000000001</v>
      </c>
      <c r="J163" s="18"/>
      <c r="K163" s="5"/>
      <c r="L163" s="5"/>
      <c r="M163" s="5"/>
      <c r="N163" s="5"/>
      <c r="O163" s="5"/>
      <c r="P163" s="5"/>
      <c r="Q163" s="5"/>
      <c r="R163" s="5"/>
      <c r="S163" s="5"/>
      <c r="T163" s="5"/>
      <c r="U163" s="5"/>
      <c r="V163" s="5"/>
      <c r="W163" s="5"/>
      <c r="X163" s="5"/>
      <c r="Y163" s="5"/>
    </row>
    <row r="164" spans="1:25" ht="15" thickBot="1" x14ac:dyDescent="0.35">
      <c r="A164" s="27">
        <v>162</v>
      </c>
      <c r="B164" s="21">
        <v>163</v>
      </c>
      <c r="C164" s="22">
        <v>0.21210000000000001</v>
      </c>
      <c r="D164" s="21">
        <v>0.55000000000000004</v>
      </c>
      <c r="E164" s="21">
        <v>8.9599999999999999E-2</v>
      </c>
      <c r="F164" s="21">
        <v>1</v>
      </c>
      <c r="G164" s="21">
        <v>15</v>
      </c>
      <c r="H164" s="23">
        <v>16</v>
      </c>
      <c r="I164" s="23">
        <v>0.21210000000000001</v>
      </c>
      <c r="J164" s="18"/>
      <c r="K164" s="5"/>
      <c r="L164" s="5"/>
      <c r="M164" s="5"/>
      <c r="N164" s="5"/>
      <c r="O164" s="5"/>
      <c r="P164" s="5"/>
      <c r="Q164" s="5"/>
      <c r="R164" s="5"/>
      <c r="S164" s="5"/>
      <c r="T164" s="5"/>
      <c r="U164" s="5"/>
      <c r="V164" s="5"/>
      <c r="W164" s="5"/>
      <c r="X164" s="5"/>
      <c r="Y164" s="5"/>
    </row>
    <row r="165" spans="1:25" ht="15" thickBot="1" x14ac:dyDescent="0.35">
      <c r="A165" s="27">
        <v>163</v>
      </c>
      <c r="B165" s="21">
        <v>164</v>
      </c>
      <c r="C165" s="22">
        <v>0.2424</v>
      </c>
      <c r="D165" s="21">
        <v>0.55000000000000004</v>
      </c>
      <c r="E165" s="22">
        <v>0.20485098360655737</v>
      </c>
      <c r="F165" s="21">
        <v>3</v>
      </c>
      <c r="G165" s="21">
        <v>13</v>
      </c>
      <c r="H165" s="23">
        <v>16</v>
      </c>
      <c r="I165" s="23">
        <v>0.2424</v>
      </c>
      <c r="J165" s="18"/>
      <c r="K165" s="5"/>
      <c r="L165" s="5"/>
      <c r="M165" s="5"/>
      <c r="N165" s="5"/>
      <c r="O165" s="5"/>
      <c r="P165" s="5"/>
      <c r="Q165" s="5"/>
      <c r="R165" s="5"/>
      <c r="S165" s="5"/>
      <c r="T165" s="5"/>
      <c r="U165" s="5"/>
      <c r="V165" s="5"/>
      <c r="W165" s="5"/>
      <c r="X165" s="5"/>
      <c r="Y165" s="5"/>
    </row>
    <row r="166" spans="1:25" ht="15" thickBot="1" x14ac:dyDescent="0.35">
      <c r="A166" s="27">
        <v>164</v>
      </c>
      <c r="B166" s="21">
        <v>165</v>
      </c>
      <c r="C166" s="22">
        <v>0.19700000000000001</v>
      </c>
      <c r="D166" s="21">
        <v>0.55000000000000004</v>
      </c>
      <c r="E166" s="21">
        <v>0.16420000000000001</v>
      </c>
      <c r="F166" s="21">
        <v>0</v>
      </c>
      <c r="G166" s="21">
        <v>7</v>
      </c>
      <c r="H166" s="23">
        <v>7</v>
      </c>
      <c r="I166" s="23">
        <v>0.19700000000000001</v>
      </c>
      <c r="J166" s="18"/>
      <c r="K166" s="5"/>
      <c r="L166" s="5"/>
      <c r="M166" s="5"/>
      <c r="N166" s="5"/>
      <c r="O166" s="5"/>
      <c r="P166" s="5"/>
      <c r="Q166" s="5"/>
      <c r="R166" s="5"/>
      <c r="S166" s="5"/>
      <c r="T166" s="5"/>
      <c r="U166" s="5"/>
      <c r="V166" s="5"/>
      <c r="W166" s="5"/>
      <c r="X166" s="5"/>
      <c r="Y166" s="5"/>
    </row>
    <row r="167" spans="1:25" ht="15" thickBot="1" x14ac:dyDescent="0.35">
      <c r="A167" s="27">
        <v>165</v>
      </c>
      <c r="B167" s="21">
        <v>166</v>
      </c>
      <c r="C167" s="22">
        <v>0.19700000000000001</v>
      </c>
      <c r="D167" s="21">
        <v>0.55000000000000004</v>
      </c>
      <c r="E167" s="21">
        <v>0.16420000000000001</v>
      </c>
      <c r="F167" s="21">
        <v>0</v>
      </c>
      <c r="G167" s="21">
        <v>1</v>
      </c>
      <c r="H167" s="23">
        <v>1</v>
      </c>
      <c r="I167" s="23">
        <v>0.19700000000000001</v>
      </c>
      <c r="J167" s="18"/>
      <c r="K167" s="5"/>
      <c r="L167" s="5"/>
      <c r="M167" s="5"/>
      <c r="N167" s="5"/>
      <c r="O167" s="5"/>
      <c r="P167" s="5"/>
      <c r="Q167" s="5"/>
      <c r="R167" s="5"/>
      <c r="S167" s="5"/>
      <c r="T167" s="5"/>
      <c r="U167" s="5"/>
      <c r="V167" s="5"/>
      <c r="W167" s="5"/>
      <c r="X167" s="5"/>
      <c r="Y167" s="5"/>
    </row>
    <row r="168" spans="1:25" ht="15" thickBot="1" x14ac:dyDescent="0.35">
      <c r="A168" s="27">
        <v>166</v>
      </c>
      <c r="B168" s="21">
        <v>167</v>
      </c>
      <c r="C168" s="22">
        <v>0.16669999999999999</v>
      </c>
      <c r="D168" s="21">
        <v>0.74</v>
      </c>
      <c r="E168" s="21">
        <v>0.16420000000000001</v>
      </c>
      <c r="F168" s="21">
        <v>0</v>
      </c>
      <c r="G168" s="21">
        <v>5</v>
      </c>
      <c r="H168" s="23">
        <v>5</v>
      </c>
      <c r="I168" s="23">
        <v>0.16669999999999999</v>
      </c>
      <c r="J168" s="18"/>
      <c r="K168" s="5"/>
      <c r="L168" s="5"/>
      <c r="M168" s="5"/>
      <c r="N168" s="5"/>
      <c r="O168" s="5"/>
      <c r="P168" s="5"/>
      <c r="Q168" s="5"/>
      <c r="R168" s="5"/>
      <c r="S168" s="5"/>
      <c r="T168" s="5"/>
      <c r="U168" s="5"/>
      <c r="V168" s="5"/>
      <c r="W168" s="5"/>
      <c r="X168" s="5"/>
      <c r="Y168" s="5"/>
    </row>
    <row r="169" spans="1:25" ht="15" thickBot="1" x14ac:dyDescent="0.35">
      <c r="A169" s="27">
        <v>167</v>
      </c>
      <c r="B169" s="21">
        <v>168</v>
      </c>
      <c r="C169" s="22">
        <v>0.16669999999999999</v>
      </c>
      <c r="D169" s="21">
        <v>0.74</v>
      </c>
      <c r="E169" s="21">
        <v>0.16420000000000001</v>
      </c>
      <c r="F169" s="21">
        <v>0</v>
      </c>
      <c r="G169" s="21">
        <v>2</v>
      </c>
      <c r="H169" s="23">
        <v>2</v>
      </c>
      <c r="I169" s="23">
        <v>0.16669999999999999</v>
      </c>
      <c r="J169" s="18"/>
      <c r="K169" s="5"/>
      <c r="L169" s="5"/>
      <c r="M169" s="5"/>
      <c r="N169" s="5"/>
      <c r="O169" s="5"/>
      <c r="P169" s="5"/>
      <c r="Q169" s="5"/>
      <c r="R169" s="5"/>
      <c r="S169" s="5"/>
      <c r="T169" s="5"/>
      <c r="U169" s="5"/>
      <c r="V169" s="5"/>
      <c r="W169" s="5"/>
      <c r="X169" s="5"/>
      <c r="Y169" s="5"/>
    </row>
    <row r="170" spans="1:25" ht="15" thickBot="1" x14ac:dyDescent="0.35">
      <c r="A170" s="27">
        <v>168</v>
      </c>
      <c r="B170" s="21">
        <v>169</v>
      </c>
      <c r="C170" s="22">
        <v>0.18179999999999999</v>
      </c>
      <c r="D170" s="21">
        <v>0.74</v>
      </c>
      <c r="E170" s="21">
        <v>0.1045</v>
      </c>
      <c r="F170" s="21">
        <v>1</v>
      </c>
      <c r="G170" s="21">
        <v>8</v>
      </c>
      <c r="H170" s="23">
        <v>9</v>
      </c>
      <c r="I170" s="23">
        <v>0.18179999999999999</v>
      </c>
      <c r="J170" s="18"/>
      <c r="K170" s="5"/>
      <c r="L170" s="5"/>
      <c r="M170" s="5"/>
      <c r="N170" s="5"/>
      <c r="O170" s="5"/>
      <c r="P170" s="5"/>
      <c r="Q170" s="5"/>
      <c r="R170" s="5"/>
      <c r="S170" s="5"/>
      <c r="T170" s="5"/>
      <c r="U170" s="5"/>
      <c r="V170" s="5"/>
      <c r="W170" s="5"/>
      <c r="X170" s="5"/>
      <c r="Y170" s="5"/>
    </row>
    <row r="171" spans="1:25" ht="15" thickBot="1" x14ac:dyDescent="0.35">
      <c r="A171" s="27">
        <v>169</v>
      </c>
      <c r="B171" s="21">
        <v>170</v>
      </c>
      <c r="C171" s="22">
        <v>0.18179999999999999</v>
      </c>
      <c r="D171" s="21">
        <v>0.93</v>
      </c>
      <c r="E171" s="21">
        <v>0.1045</v>
      </c>
      <c r="F171" s="21">
        <v>0</v>
      </c>
      <c r="G171" s="21">
        <v>15</v>
      </c>
      <c r="H171" s="23">
        <v>15</v>
      </c>
      <c r="I171" s="23">
        <v>0.18179999999999999</v>
      </c>
      <c r="J171" s="18"/>
      <c r="K171" s="5"/>
      <c r="L171" s="5"/>
      <c r="M171" s="5"/>
      <c r="N171" s="5"/>
      <c r="O171" s="5"/>
      <c r="P171" s="5"/>
      <c r="Q171" s="5"/>
      <c r="R171" s="5"/>
      <c r="S171" s="5"/>
      <c r="T171" s="5"/>
      <c r="U171" s="5"/>
      <c r="V171" s="5"/>
      <c r="W171" s="5"/>
      <c r="X171" s="5"/>
      <c r="Y171" s="5"/>
    </row>
    <row r="172" spans="1:25" ht="15" thickBot="1" x14ac:dyDescent="0.35">
      <c r="A172" s="27">
        <v>170</v>
      </c>
      <c r="B172" s="21">
        <v>171</v>
      </c>
      <c r="C172" s="22">
        <v>0.18179999999999999</v>
      </c>
      <c r="D172" s="21">
        <v>0.93</v>
      </c>
      <c r="E172" s="21">
        <v>0.1045</v>
      </c>
      <c r="F172" s="21">
        <v>0</v>
      </c>
      <c r="G172" s="21">
        <v>20</v>
      </c>
      <c r="H172" s="23">
        <v>20</v>
      </c>
      <c r="I172" s="23">
        <v>0.18179999999999999</v>
      </c>
      <c r="J172" s="18"/>
      <c r="K172" s="5"/>
      <c r="L172" s="5"/>
      <c r="M172" s="5"/>
      <c r="N172" s="5"/>
      <c r="O172" s="5"/>
      <c r="P172" s="5"/>
      <c r="Q172" s="5"/>
      <c r="R172" s="5"/>
      <c r="S172" s="5"/>
      <c r="T172" s="5"/>
      <c r="U172" s="5"/>
      <c r="V172" s="5"/>
      <c r="W172" s="5"/>
      <c r="X172" s="5"/>
      <c r="Y172" s="5"/>
    </row>
    <row r="173" spans="1:25" ht="15" thickBot="1" x14ac:dyDescent="0.35">
      <c r="A173" s="27">
        <v>171</v>
      </c>
      <c r="B173" s="21">
        <v>172</v>
      </c>
      <c r="C173" s="22">
        <v>0.19700000000000001</v>
      </c>
      <c r="D173" s="21">
        <v>0.8</v>
      </c>
      <c r="E173" s="21">
        <v>0.16420000000000001</v>
      </c>
      <c r="F173" s="21">
        <v>5</v>
      </c>
      <c r="G173" s="21">
        <v>56</v>
      </c>
      <c r="H173" s="23">
        <v>61</v>
      </c>
      <c r="I173" s="23">
        <v>0.19700000000000001</v>
      </c>
      <c r="J173" s="18"/>
      <c r="K173" s="5"/>
      <c r="L173" s="5"/>
      <c r="M173" s="5"/>
      <c r="N173" s="5"/>
      <c r="O173" s="5"/>
      <c r="P173" s="5"/>
      <c r="Q173" s="5"/>
      <c r="R173" s="5"/>
      <c r="S173" s="5"/>
      <c r="T173" s="5"/>
      <c r="U173" s="5"/>
      <c r="V173" s="5"/>
      <c r="W173" s="5"/>
      <c r="X173" s="5"/>
      <c r="Y173" s="5"/>
    </row>
    <row r="174" spans="1:25" ht="15" thickBot="1" x14ac:dyDescent="0.35">
      <c r="A174" s="27">
        <v>172</v>
      </c>
      <c r="B174" s="21">
        <v>173</v>
      </c>
      <c r="C174" s="22">
        <v>0.18179999999999999</v>
      </c>
      <c r="D174" s="21">
        <v>0.69</v>
      </c>
      <c r="E174" s="21">
        <v>0.3881</v>
      </c>
      <c r="F174" s="21">
        <v>2</v>
      </c>
      <c r="G174" s="21">
        <v>60</v>
      </c>
      <c r="H174" s="23">
        <v>62</v>
      </c>
      <c r="I174" s="23">
        <v>0.18179999999999999</v>
      </c>
      <c r="J174" s="18"/>
      <c r="K174" s="5"/>
      <c r="L174" s="5"/>
      <c r="M174" s="5"/>
      <c r="N174" s="5"/>
      <c r="O174" s="5"/>
      <c r="P174" s="5"/>
      <c r="Q174" s="5"/>
      <c r="R174" s="5"/>
      <c r="S174" s="5"/>
      <c r="T174" s="5"/>
      <c r="U174" s="5"/>
      <c r="V174" s="5"/>
      <c r="W174" s="5"/>
      <c r="X174" s="5"/>
      <c r="Y174" s="5"/>
    </row>
    <row r="175" spans="1:25" ht="15" thickBot="1" x14ac:dyDescent="0.35">
      <c r="A175" s="27">
        <v>173</v>
      </c>
      <c r="B175" s="21">
        <v>174</v>
      </c>
      <c r="C175" s="22">
        <v>0.18179999999999999</v>
      </c>
      <c r="D175" s="21">
        <v>0.59</v>
      </c>
      <c r="E175" s="21">
        <v>0.35820000000000002</v>
      </c>
      <c r="F175" s="21">
        <v>8</v>
      </c>
      <c r="G175" s="21">
        <v>90</v>
      </c>
      <c r="H175" s="23">
        <v>98</v>
      </c>
      <c r="I175" s="23">
        <v>0.18179999999999999</v>
      </c>
      <c r="J175" s="18"/>
      <c r="K175" s="5"/>
      <c r="L175" s="5"/>
      <c r="M175" s="5"/>
      <c r="N175" s="5"/>
      <c r="O175" s="5"/>
      <c r="P175" s="5"/>
      <c r="Q175" s="5"/>
      <c r="R175" s="5"/>
      <c r="S175" s="5"/>
      <c r="T175" s="5"/>
      <c r="U175" s="5"/>
      <c r="V175" s="5"/>
      <c r="W175" s="5"/>
      <c r="X175" s="5"/>
      <c r="Y175" s="5"/>
    </row>
    <row r="176" spans="1:25" ht="15" thickBot="1" x14ac:dyDescent="0.35">
      <c r="A176" s="27">
        <v>174</v>
      </c>
      <c r="B176" s="21">
        <v>175</v>
      </c>
      <c r="C176" s="22">
        <v>0.18179999999999999</v>
      </c>
      <c r="D176" s="21">
        <v>0.44</v>
      </c>
      <c r="E176" s="21">
        <v>0.32840000000000003</v>
      </c>
      <c r="F176" s="21">
        <v>7</v>
      </c>
      <c r="G176" s="21">
        <v>95</v>
      </c>
      <c r="H176" s="23">
        <v>102</v>
      </c>
      <c r="I176" s="23">
        <v>0.18179999999999999</v>
      </c>
      <c r="J176" s="18"/>
      <c r="K176" s="5"/>
      <c r="L176" s="5"/>
      <c r="M176" s="5"/>
      <c r="N176" s="5"/>
      <c r="O176" s="5"/>
      <c r="P176" s="5"/>
      <c r="Q176" s="5"/>
      <c r="R176" s="5"/>
      <c r="S176" s="5"/>
      <c r="T176" s="5"/>
      <c r="U176" s="5"/>
      <c r="V176" s="5"/>
      <c r="W176" s="5"/>
      <c r="X176" s="5"/>
      <c r="Y176" s="5"/>
    </row>
    <row r="177" spans="1:25" ht="15" thickBot="1" x14ac:dyDescent="0.35">
      <c r="A177" s="27">
        <v>175</v>
      </c>
      <c r="B177" s="21">
        <v>176</v>
      </c>
      <c r="C177" s="22">
        <v>0.16669999999999999</v>
      </c>
      <c r="D177" s="21">
        <v>0.32</v>
      </c>
      <c r="E177" s="21">
        <v>0.49249999999999999</v>
      </c>
      <c r="F177" s="21">
        <v>12</v>
      </c>
      <c r="G177" s="21">
        <v>83</v>
      </c>
      <c r="H177" s="23">
        <v>95</v>
      </c>
      <c r="I177" s="23">
        <v>0.16669999999999999</v>
      </c>
      <c r="J177" s="18"/>
      <c r="K177" s="5"/>
      <c r="L177" s="5"/>
      <c r="M177" s="5"/>
      <c r="N177" s="5"/>
      <c r="O177" s="5"/>
      <c r="P177" s="5"/>
      <c r="Q177" s="5"/>
      <c r="R177" s="5"/>
      <c r="S177" s="5"/>
      <c r="T177" s="5"/>
      <c r="U177" s="5"/>
      <c r="V177" s="5"/>
      <c r="W177" s="5"/>
      <c r="X177" s="5"/>
      <c r="Y177" s="5"/>
    </row>
    <row r="178" spans="1:25" ht="15" thickBot="1" x14ac:dyDescent="0.35">
      <c r="A178" s="27">
        <v>176</v>
      </c>
      <c r="B178" s="21">
        <v>177</v>
      </c>
      <c r="C178" s="22">
        <v>0.16669999999999999</v>
      </c>
      <c r="D178" s="21">
        <v>0.32</v>
      </c>
      <c r="E178" s="21">
        <v>0.44779999999999998</v>
      </c>
      <c r="F178" s="21">
        <v>5</v>
      </c>
      <c r="G178" s="21">
        <v>69</v>
      </c>
      <c r="H178" s="23">
        <v>74</v>
      </c>
      <c r="I178" s="23">
        <v>0.16669999999999999</v>
      </c>
      <c r="J178" s="18"/>
      <c r="K178" s="5"/>
      <c r="L178" s="5"/>
      <c r="M178" s="5"/>
      <c r="N178" s="5"/>
      <c r="O178" s="5"/>
      <c r="P178" s="5"/>
      <c r="Q178" s="5"/>
      <c r="R178" s="5"/>
      <c r="S178" s="5"/>
      <c r="T178" s="5"/>
      <c r="U178" s="5"/>
      <c r="V178" s="5"/>
      <c r="W178" s="5"/>
      <c r="X178" s="5"/>
      <c r="Y178" s="5"/>
    </row>
    <row r="179" spans="1:25" ht="15" thickBot="1" x14ac:dyDescent="0.35">
      <c r="A179" s="27">
        <v>177</v>
      </c>
      <c r="B179" s="21">
        <v>178</v>
      </c>
      <c r="C179" s="22">
        <v>0.13639999999999999</v>
      </c>
      <c r="D179" s="21">
        <v>0.28999999999999998</v>
      </c>
      <c r="E179" s="21">
        <v>0.44779999999999998</v>
      </c>
      <c r="F179" s="21">
        <v>8</v>
      </c>
      <c r="G179" s="21">
        <v>68</v>
      </c>
      <c r="H179" s="23">
        <v>76</v>
      </c>
      <c r="I179" s="23">
        <v>0.13639999999999999</v>
      </c>
      <c r="J179" s="18"/>
      <c r="K179" s="5"/>
      <c r="L179" s="5"/>
      <c r="M179" s="5"/>
      <c r="N179" s="5"/>
      <c r="O179" s="5"/>
      <c r="P179" s="5"/>
      <c r="Q179" s="5"/>
      <c r="R179" s="5"/>
      <c r="S179" s="5"/>
      <c r="T179" s="5"/>
      <c r="U179" s="5"/>
      <c r="V179" s="5"/>
      <c r="W179" s="5"/>
      <c r="X179" s="5"/>
      <c r="Y179" s="5"/>
    </row>
    <row r="180" spans="1:25" ht="15" thickBot="1" x14ac:dyDescent="0.35">
      <c r="A180" s="27">
        <v>178</v>
      </c>
      <c r="B180" s="21">
        <v>179</v>
      </c>
      <c r="C180" s="22">
        <v>0.1212</v>
      </c>
      <c r="D180" s="21">
        <v>0.37</v>
      </c>
      <c r="E180" s="21">
        <v>0.55220000000000002</v>
      </c>
      <c r="F180" s="21">
        <v>5</v>
      </c>
      <c r="G180" s="21">
        <v>64</v>
      </c>
      <c r="H180" s="23">
        <v>69</v>
      </c>
      <c r="I180" s="23">
        <v>0.1212</v>
      </c>
      <c r="J180" s="18"/>
      <c r="K180" s="5"/>
      <c r="L180" s="5"/>
      <c r="M180" s="5"/>
      <c r="N180" s="5"/>
      <c r="O180" s="5"/>
      <c r="P180" s="5"/>
      <c r="Q180" s="5"/>
      <c r="R180" s="5"/>
      <c r="S180" s="5"/>
      <c r="T180" s="5"/>
      <c r="U180" s="5"/>
      <c r="V180" s="5"/>
      <c r="W180" s="5"/>
      <c r="X180" s="5"/>
      <c r="Y180" s="5"/>
    </row>
    <row r="181" spans="1:25" ht="15" thickBot="1" x14ac:dyDescent="0.35">
      <c r="A181" s="27">
        <v>179</v>
      </c>
      <c r="B181" s="21">
        <v>180</v>
      </c>
      <c r="C181" s="22">
        <v>0.1212</v>
      </c>
      <c r="D181" s="21">
        <v>0.39</v>
      </c>
      <c r="E181" s="21">
        <v>0.29849999999999999</v>
      </c>
      <c r="F181" s="21">
        <v>3</v>
      </c>
      <c r="G181" s="21">
        <v>52</v>
      </c>
      <c r="H181" s="23">
        <v>55</v>
      </c>
      <c r="I181" s="23">
        <v>0.1212</v>
      </c>
      <c r="J181" s="18"/>
      <c r="K181" s="5"/>
      <c r="L181" s="5"/>
      <c r="M181" s="5"/>
      <c r="N181" s="5"/>
      <c r="O181" s="5"/>
      <c r="P181" s="5"/>
      <c r="Q181" s="5"/>
      <c r="R181" s="5"/>
      <c r="S181" s="5"/>
      <c r="T181" s="5"/>
      <c r="U181" s="5"/>
      <c r="V181" s="5"/>
      <c r="W181" s="5"/>
      <c r="X181" s="5"/>
      <c r="Y181" s="5"/>
    </row>
    <row r="182" spans="1:25" ht="15" thickBot="1" x14ac:dyDescent="0.35">
      <c r="A182" s="27">
        <v>180</v>
      </c>
      <c r="B182" s="21">
        <v>181</v>
      </c>
      <c r="C182" s="22">
        <v>0.1212</v>
      </c>
      <c r="D182" s="21">
        <v>0.36</v>
      </c>
      <c r="E182" s="21">
        <v>0.25369999999999998</v>
      </c>
      <c r="F182" s="21">
        <v>4</v>
      </c>
      <c r="G182" s="21">
        <v>26</v>
      </c>
      <c r="H182" s="23">
        <v>30</v>
      </c>
      <c r="I182" s="23">
        <v>0.1212</v>
      </c>
      <c r="J182" s="18"/>
      <c r="K182" s="5"/>
      <c r="L182" s="5"/>
      <c r="M182" s="5"/>
      <c r="N182" s="5"/>
      <c r="O182" s="5"/>
      <c r="P182" s="5"/>
      <c r="Q182" s="5"/>
      <c r="R182" s="5"/>
      <c r="S182" s="5"/>
      <c r="T182" s="5"/>
      <c r="U182" s="5"/>
      <c r="V182" s="5"/>
      <c r="W182" s="5"/>
      <c r="X182" s="5"/>
      <c r="Y182" s="5"/>
    </row>
    <row r="183" spans="1:25" ht="15" thickBot="1" x14ac:dyDescent="0.35">
      <c r="A183" s="27">
        <v>181</v>
      </c>
      <c r="B183" s="21">
        <v>182</v>
      </c>
      <c r="C183" s="22">
        <v>0.1212</v>
      </c>
      <c r="D183" s="21">
        <v>0.36</v>
      </c>
      <c r="E183" s="21">
        <v>0.25369999999999998</v>
      </c>
      <c r="F183" s="21">
        <v>0</v>
      </c>
      <c r="G183" s="21">
        <v>28</v>
      </c>
      <c r="H183" s="23">
        <v>28</v>
      </c>
      <c r="I183" s="23">
        <v>0.1212</v>
      </c>
      <c r="J183" s="18"/>
      <c r="K183" s="5"/>
      <c r="L183" s="5"/>
      <c r="M183" s="5"/>
      <c r="N183" s="5"/>
      <c r="O183" s="5"/>
      <c r="P183" s="5"/>
      <c r="Q183" s="5"/>
      <c r="R183" s="5"/>
      <c r="S183" s="5"/>
      <c r="T183" s="5"/>
      <c r="U183" s="5"/>
      <c r="V183" s="5"/>
      <c r="W183" s="5"/>
      <c r="X183" s="5"/>
      <c r="Y183" s="5"/>
    </row>
    <row r="184" spans="1:25" ht="15" thickBot="1" x14ac:dyDescent="0.35">
      <c r="A184" s="27">
        <v>182</v>
      </c>
      <c r="B184" s="21">
        <v>183</v>
      </c>
      <c r="C184" s="22">
        <v>0.1061</v>
      </c>
      <c r="D184" s="21">
        <v>0.39</v>
      </c>
      <c r="E184" s="21">
        <v>0.35820000000000002</v>
      </c>
      <c r="F184" s="21">
        <v>2</v>
      </c>
      <c r="G184" s="21">
        <v>35</v>
      </c>
      <c r="H184" s="23">
        <v>37</v>
      </c>
      <c r="I184" s="23">
        <v>0.1061</v>
      </c>
      <c r="J184" s="18"/>
      <c r="K184" s="5"/>
      <c r="L184" s="5"/>
      <c r="M184" s="5"/>
      <c r="N184" s="5"/>
      <c r="O184" s="5"/>
      <c r="P184" s="5"/>
      <c r="Q184" s="5"/>
      <c r="R184" s="5"/>
      <c r="S184" s="5"/>
      <c r="T184" s="5"/>
      <c r="U184" s="5"/>
      <c r="V184" s="5"/>
      <c r="W184" s="5"/>
      <c r="X184" s="5"/>
      <c r="Y184" s="5"/>
    </row>
    <row r="185" spans="1:25" ht="15" thickBot="1" x14ac:dyDescent="0.35">
      <c r="A185" s="27">
        <v>183</v>
      </c>
      <c r="B185" s="21">
        <v>184</v>
      </c>
      <c r="C185" s="22">
        <v>0.1061</v>
      </c>
      <c r="D185" s="21">
        <v>0.36</v>
      </c>
      <c r="E185" s="21">
        <v>0.3881</v>
      </c>
      <c r="F185" s="21">
        <v>1</v>
      </c>
      <c r="G185" s="21">
        <v>33</v>
      </c>
      <c r="H185" s="23">
        <v>34</v>
      </c>
      <c r="I185" s="23">
        <v>0.1061</v>
      </c>
      <c r="J185" s="18"/>
      <c r="K185" s="5"/>
      <c r="L185" s="5"/>
      <c r="M185" s="5"/>
      <c r="N185" s="5"/>
      <c r="O185" s="5"/>
      <c r="P185" s="5"/>
      <c r="Q185" s="5"/>
      <c r="R185" s="5"/>
      <c r="S185" s="5"/>
      <c r="T185" s="5"/>
      <c r="U185" s="5"/>
      <c r="V185" s="5"/>
      <c r="W185" s="5"/>
      <c r="X185" s="5"/>
      <c r="Y185" s="5"/>
    </row>
    <row r="186" spans="1:25" ht="15" thickBot="1" x14ac:dyDescent="0.35">
      <c r="A186" s="27">
        <v>184</v>
      </c>
      <c r="B186" s="21">
        <v>185</v>
      </c>
      <c r="C186" s="22">
        <v>6.0600000000000001E-2</v>
      </c>
      <c r="D186" s="21">
        <v>0.39</v>
      </c>
      <c r="E186" s="21">
        <v>0.44779999999999998</v>
      </c>
      <c r="F186" s="21">
        <v>0</v>
      </c>
      <c r="G186" s="21">
        <v>22</v>
      </c>
      <c r="H186" s="23">
        <v>22</v>
      </c>
      <c r="I186" s="23">
        <v>6.0600000000000001E-2</v>
      </c>
      <c r="J186" s="18"/>
      <c r="K186" s="5"/>
      <c r="L186" s="5"/>
      <c r="M186" s="5"/>
      <c r="N186" s="5"/>
      <c r="O186" s="5"/>
      <c r="P186" s="5"/>
      <c r="Q186" s="5"/>
      <c r="R186" s="5"/>
      <c r="S186" s="5"/>
      <c r="T186" s="5"/>
      <c r="U186" s="5"/>
      <c r="V186" s="5"/>
      <c r="W186" s="5"/>
      <c r="X186" s="5"/>
      <c r="Y186" s="5"/>
    </row>
    <row r="187" spans="1:25" ht="15" thickBot="1" x14ac:dyDescent="0.35">
      <c r="A187" s="27">
        <v>185</v>
      </c>
      <c r="B187" s="21">
        <v>186</v>
      </c>
      <c r="C187" s="22">
        <v>7.5800000000000006E-2</v>
      </c>
      <c r="D187" s="21">
        <v>0.42</v>
      </c>
      <c r="E187" s="21">
        <v>0.3881</v>
      </c>
      <c r="F187" s="21">
        <v>1</v>
      </c>
      <c r="G187" s="21">
        <v>24</v>
      </c>
      <c r="H187" s="23">
        <v>25</v>
      </c>
      <c r="I187" s="23">
        <v>7.5800000000000006E-2</v>
      </c>
      <c r="J187" s="18"/>
      <c r="K187" s="5"/>
      <c r="L187" s="5"/>
      <c r="M187" s="5"/>
      <c r="N187" s="5"/>
      <c r="O187" s="5"/>
      <c r="P187" s="5"/>
      <c r="Q187" s="5"/>
      <c r="R187" s="5"/>
      <c r="S187" s="5"/>
      <c r="T187" s="5"/>
      <c r="U187" s="5"/>
      <c r="V187" s="5"/>
      <c r="W187" s="5"/>
      <c r="X187" s="5"/>
      <c r="Y187" s="5"/>
    </row>
    <row r="188" spans="1:25" ht="15" thickBot="1" x14ac:dyDescent="0.35">
      <c r="A188" s="27">
        <v>186</v>
      </c>
      <c r="B188" s="21">
        <v>187</v>
      </c>
      <c r="C188" s="22">
        <v>6.0600000000000001E-2</v>
      </c>
      <c r="D188" s="21">
        <v>0.42</v>
      </c>
      <c r="E188" s="21">
        <v>0.4627</v>
      </c>
      <c r="F188" s="21">
        <v>0</v>
      </c>
      <c r="G188" s="21">
        <v>12</v>
      </c>
      <c r="H188" s="23">
        <v>12</v>
      </c>
      <c r="I188" s="23">
        <v>6.0600000000000001E-2</v>
      </c>
      <c r="J188" s="18"/>
      <c r="K188" s="5"/>
      <c r="L188" s="5"/>
      <c r="M188" s="5"/>
      <c r="N188" s="5"/>
      <c r="O188" s="5"/>
      <c r="P188" s="5"/>
      <c r="Q188" s="5"/>
      <c r="R188" s="5"/>
      <c r="S188" s="5"/>
      <c r="T188" s="5"/>
      <c r="U188" s="5"/>
      <c r="V188" s="5"/>
      <c r="W188" s="5"/>
      <c r="X188" s="5"/>
      <c r="Y188" s="5"/>
    </row>
    <row r="189" spans="1:25" ht="15" thickBot="1" x14ac:dyDescent="0.35">
      <c r="A189" s="27">
        <v>187</v>
      </c>
      <c r="B189" s="21">
        <v>188</v>
      </c>
      <c r="C189" s="22">
        <v>6.0600000000000001E-2</v>
      </c>
      <c r="D189" s="21">
        <v>0.46</v>
      </c>
      <c r="E189" s="21">
        <v>0.4627</v>
      </c>
      <c r="F189" s="21">
        <v>0</v>
      </c>
      <c r="G189" s="21">
        <v>11</v>
      </c>
      <c r="H189" s="23">
        <v>11</v>
      </c>
      <c r="I189" s="23">
        <v>6.0600000000000001E-2</v>
      </c>
      <c r="J189" s="18"/>
      <c r="K189" s="5"/>
      <c r="L189" s="5"/>
      <c r="M189" s="5"/>
      <c r="N189" s="5"/>
      <c r="O189" s="5"/>
      <c r="P189" s="5"/>
      <c r="Q189" s="5"/>
      <c r="R189" s="5"/>
      <c r="S189" s="5"/>
      <c r="T189" s="5"/>
      <c r="U189" s="5"/>
      <c r="V189" s="5"/>
      <c r="W189" s="5"/>
      <c r="X189" s="5"/>
      <c r="Y189" s="5"/>
    </row>
    <row r="190" spans="1:25" ht="15" thickBot="1" x14ac:dyDescent="0.35">
      <c r="A190" s="27">
        <v>188</v>
      </c>
      <c r="B190" s="21">
        <v>189</v>
      </c>
      <c r="C190" s="22">
        <v>7.5800000000000006E-2</v>
      </c>
      <c r="D190" s="21">
        <v>0.46</v>
      </c>
      <c r="E190" s="21">
        <v>0.41789999999999999</v>
      </c>
      <c r="F190" s="21">
        <v>0</v>
      </c>
      <c r="G190" s="21">
        <v>4</v>
      </c>
      <c r="H190" s="23">
        <v>4</v>
      </c>
      <c r="I190" s="23">
        <v>7.5800000000000006E-2</v>
      </c>
      <c r="J190" s="18"/>
      <c r="K190" s="5"/>
      <c r="L190" s="5"/>
      <c r="M190" s="5"/>
      <c r="N190" s="5"/>
      <c r="O190" s="5"/>
      <c r="P190" s="5"/>
      <c r="Q190" s="5"/>
      <c r="R190" s="5"/>
      <c r="S190" s="5"/>
      <c r="T190" s="5"/>
      <c r="U190" s="5"/>
      <c r="V190" s="5"/>
      <c r="W190" s="5"/>
      <c r="X190" s="5"/>
      <c r="Y190" s="5"/>
    </row>
    <row r="191" spans="1:25" ht="15" thickBot="1" x14ac:dyDescent="0.35">
      <c r="A191" s="27">
        <v>189</v>
      </c>
      <c r="B191" s="21">
        <v>190</v>
      </c>
      <c r="C191" s="22">
        <v>9.0899999999999995E-2</v>
      </c>
      <c r="D191" s="21">
        <v>0.53</v>
      </c>
      <c r="E191" s="21">
        <v>0.19400000000000001</v>
      </c>
      <c r="F191" s="21">
        <v>0</v>
      </c>
      <c r="G191" s="21">
        <v>1</v>
      </c>
      <c r="H191" s="23">
        <v>1</v>
      </c>
      <c r="I191" s="23">
        <v>9.0899999999999995E-2</v>
      </c>
      <c r="J191" s="18"/>
      <c r="K191" s="5"/>
      <c r="L191" s="5"/>
      <c r="M191" s="5"/>
      <c r="N191" s="5"/>
      <c r="O191" s="5"/>
      <c r="P191" s="5"/>
      <c r="Q191" s="5"/>
      <c r="R191" s="5"/>
      <c r="S191" s="5"/>
      <c r="T191" s="5"/>
      <c r="U191" s="5"/>
      <c r="V191" s="5"/>
      <c r="W191" s="5"/>
      <c r="X191" s="5"/>
      <c r="Y191" s="5"/>
    </row>
    <row r="192" spans="1:25" ht="15" thickBot="1" x14ac:dyDescent="0.35">
      <c r="A192" s="27">
        <v>190</v>
      </c>
      <c r="B192" s="21">
        <v>191</v>
      </c>
      <c r="C192" s="22">
        <v>9.0899999999999995E-2</v>
      </c>
      <c r="D192" s="21">
        <v>0.53</v>
      </c>
      <c r="E192" s="21">
        <v>0.19400000000000001</v>
      </c>
      <c r="F192" s="21">
        <v>0</v>
      </c>
      <c r="G192" s="21">
        <v>1</v>
      </c>
      <c r="H192" s="23">
        <v>1</v>
      </c>
      <c r="I192" s="23">
        <v>9.0899999999999995E-2</v>
      </c>
      <c r="J192" s="18"/>
      <c r="K192" s="5"/>
      <c r="L192" s="5"/>
      <c r="M192" s="5"/>
      <c r="N192" s="5"/>
      <c r="O192" s="5"/>
      <c r="P192" s="5"/>
      <c r="Q192" s="5"/>
      <c r="R192" s="5"/>
      <c r="S192" s="5"/>
      <c r="T192" s="5"/>
      <c r="U192" s="5"/>
      <c r="V192" s="5"/>
      <c r="W192" s="5"/>
      <c r="X192" s="5"/>
      <c r="Y192" s="5"/>
    </row>
    <row r="193" spans="1:25" ht="15" thickBot="1" x14ac:dyDescent="0.35">
      <c r="A193" s="27">
        <v>191</v>
      </c>
      <c r="B193" s="21">
        <v>192</v>
      </c>
      <c r="C193" s="22">
        <v>9.0899999999999995E-2</v>
      </c>
      <c r="D193" s="21">
        <v>0.49</v>
      </c>
      <c r="E193" s="21">
        <v>0.28360000000000002</v>
      </c>
      <c r="F193" s="21">
        <v>0</v>
      </c>
      <c r="G193" s="21">
        <v>1</v>
      </c>
      <c r="H193" s="23">
        <v>1</v>
      </c>
      <c r="I193" s="23">
        <v>9.0899999999999995E-2</v>
      </c>
      <c r="J193" s="18"/>
      <c r="K193" s="5"/>
      <c r="L193" s="5"/>
      <c r="M193" s="5"/>
      <c r="N193" s="5"/>
      <c r="O193" s="5"/>
      <c r="P193" s="5"/>
      <c r="Q193" s="5"/>
      <c r="R193" s="5"/>
      <c r="S193" s="5"/>
      <c r="T193" s="5"/>
      <c r="U193" s="5"/>
      <c r="V193" s="5"/>
      <c r="W193" s="5"/>
      <c r="X193" s="5"/>
      <c r="Y193" s="5"/>
    </row>
    <row r="194" spans="1:25" ht="15" thickBot="1" x14ac:dyDescent="0.35">
      <c r="A194" s="27">
        <v>192</v>
      </c>
      <c r="B194" s="21">
        <v>193</v>
      </c>
      <c r="C194" s="22">
        <v>9.0899999999999995E-2</v>
      </c>
      <c r="D194" s="21">
        <v>0.53</v>
      </c>
      <c r="E194" s="21">
        <v>0.19400000000000001</v>
      </c>
      <c r="F194" s="21">
        <v>1</v>
      </c>
      <c r="G194" s="21">
        <v>5</v>
      </c>
      <c r="H194" s="23">
        <v>6</v>
      </c>
      <c r="I194" s="23">
        <v>9.0899999999999995E-2</v>
      </c>
      <c r="J194" s="18"/>
      <c r="K194" s="5"/>
      <c r="L194" s="5"/>
      <c r="M194" s="5"/>
      <c r="N194" s="5"/>
      <c r="O194" s="5"/>
      <c r="P194" s="5"/>
      <c r="Q194" s="5"/>
      <c r="R194" s="5"/>
      <c r="S194" s="5"/>
      <c r="T194" s="5"/>
      <c r="U194" s="5"/>
      <c r="V194" s="5"/>
      <c r="W194" s="5"/>
      <c r="X194" s="5"/>
      <c r="Y194" s="5"/>
    </row>
    <row r="195" spans="1:25" ht="15" thickBot="1" x14ac:dyDescent="0.35">
      <c r="A195" s="27">
        <v>193</v>
      </c>
      <c r="B195" s="21">
        <v>194</v>
      </c>
      <c r="C195" s="22">
        <v>9.0899999999999995E-2</v>
      </c>
      <c r="D195" s="21">
        <v>0.49</v>
      </c>
      <c r="E195" s="21">
        <v>0.28360000000000002</v>
      </c>
      <c r="F195" s="21">
        <v>0</v>
      </c>
      <c r="G195" s="21">
        <v>10</v>
      </c>
      <c r="H195" s="23">
        <v>10</v>
      </c>
      <c r="I195" s="23">
        <v>9.0899999999999995E-2</v>
      </c>
      <c r="J195" s="18"/>
      <c r="K195" s="5"/>
      <c r="L195" s="5"/>
      <c r="M195" s="5"/>
      <c r="N195" s="5"/>
      <c r="O195" s="5"/>
      <c r="P195" s="5"/>
      <c r="Q195" s="5"/>
      <c r="R195" s="5"/>
      <c r="S195" s="5"/>
      <c r="T195" s="5"/>
      <c r="U195" s="5"/>
      <c r="V195" s="5"/>
      <c r="W195" s="5"/>
      <c r="X195" s="5"/>
      <c r="Y195" s="5"/>
    </row>
    <row r="196" spans="1:25" ht="15" thickBot="1" x14ac:dyDescent="0.35">
      <c r="A196" s="27">
        <v>194</v>
      </c>
      <c r="B196" s="21">
        <v>195</v>
      </c>
      <c r="C196" s="22">
        <v>7.5800000000000006E-2</v>
      </c>
      <c r="D196" s="21">
        <v>0.46</v>
      </c>
      <c r="E196" s="21">
        <v>0.52239999999999998</v>
      </c>
      <c r="F196" s="21">
        <v>0</v>
      </c>
      <c r="G196" s="21">
        <v>19</v>
      </c>
      <c r="H196" s="23">
        <v>19</v>
      </c>
      <c r="I196" s="23">
        <v>7.5800000000000006E-2</v>
      </c>
      <c r="J196" s="18"/>
      <c r="K196" s="5"/>
      <c r="L196" s="5"/>
      <c r="M196" s="5"/>
      <c r="N196" s="5"/>
      <c r="O196" s="5"/>
      <c r="P196" s="5"/>
      <c r="Q196" s="5"/>
      <c r="R196" s="5"/>
      <c r="S196" s="5"/>
      <c r="T196" s="5"/>
      <c r="U196" s="5"/>
      <c r="V196" s="5"/>
      <c r="W196" s="5"/>
      <c r="X196" s="5"/>
      <c r="Y196" s="5"/>
    </row>
    <row r="197" spans="1:25" ht="15" thickBot="1" x14ac:dyDescent="0.35">
      <c r="A197" s="27">
        <v>195</v>
      </c>
      <c r="B197" s="21">
        <v>196</v>
      </c>
      <c r="C197" s="22">
        <v>0.1061</v>
      </c>
      <c r="D197" s="21">
        <v>0.43</v>
      </c>
      <c r="E197" s="21">
        <v>0.3881</v>
      </c>
      <c r="F197" s="21">
        <v>0</v>
      </c>
      <c r="G197" s="21">
        <v>49</v>
      </c>
      <c r="H197" s="23">
        <v>49</v>
      </c>
      <c r="I197" s="23">
        <v>0.1061</v>
      </c>
      <c r="J197" s="18"/>
      <c r="K197" s="5"/>
      <c r="L197" s="5"/>
      <c r="M197" s="5"/>
      <c r="N197" s="5"/>
      <c r="O197" s="5"/>
      <c r="P197" s="5"/>
      <c r="Q197" s="5"/>
      <c r="R197" s="5"/>
      <c r="S197" s="5"/>
      <c r="T197" s="5"/>
      <c r="U197" s="5"/>
      <c r="V197" s="5"/>
      <c r="W197" s="5"/>
      <c r="X197" s="5"/>
      <c r="Y197" s="5"/>
    </row>
    <row r="198" spans="1:25" ht="15" thickBot="1" x14ac:dyDescent="0.35">
      <c r="A198" s="27">
        <v>196</v>
      </c>
      <c r="B198" s="21">
        <v>197</v>
      </c>
      <c r="C198" s="22">
        <v>0.1212</v>
      </c>
      <c r="D198" s="21">
        <v>0.4</v>
      </c>
      <c r="E198" s="21">
        <v>0.52239999999999998</v>
      </c>
      <c r="F198" s="21">
        <v>2</v>
      </c>
      <c r="G198" s="21">
        <v>47</v>
      </c>
      <c r="H198" s="23">
        <v>49</v>
      </c>
      <c r="I198" s="23">
        <v>0.1212</v>
      </c>
      <c r="J198" s="18"/>
      <c r="K198" s="5"/>
      <c r="L198" s="5"/>
      <c r="M198" s="5"/>
      <c r="N198" s="5"/>
      <c r="O198" s="5"/>
      <c r="P198" s="5"/>
      <c r="Q198" s="5"/>
      <c r="R198" s="5"/>
      <c r="S198" s="5"/>
      <c r="T198" s="5"/>
      <c r="U198" s="5"/>
      <c r="V198" s="5"/>
      <c r="W198" s="5"/>
      <c r="X198" s="5"/>
      <c r="Y198" s="5"/>
    </row>
    <row r="199" spans="1:25" ht="15" thickBot="1" x14ac:dyDescent="0.35">
      <c r="A199" s="27">
        <v>197</v>
      </c>
      <c r="B199" s="21">
        <v>198</v>
      </c>
      <c r="C199" s="22">
        <v>0.13639999999999999</v>
      </c>
      <c r="D199" s="21">
        <v>0.37</v>
      </c>
      <c r="E199" s="21">
        <v>0.44779999999999998</v>
      </c>
      <c r="F199" s="21">
        <v>4</v>
      </c>
      <c r="G199" s="21">
        <v>79</v>
      </c>
      <c r="H199" s="23">
        <v>83</v>
      </c>
      <c r="I199" s="23">
        <v>0.13639999999999999</v>
      </c>
      <c r="J199" s="18"/>
      <c r="K199" s="5"/>
      <c r="L199" s="5"/>
      <c r="M199" s="5"/>
      <c r="N199" s="5"/>
      <c r="O199" s="5"/>
      <c r="P199" s="5"/>
      <c r="Q199" s="5"/>
      <c r="R199" s="5"/>
      <c r="S199" s="5"/>
      <c r="T199" s="5"/>
      <c r="U199" s="5"/>
      <c r="V199" s="5"/>
      <c r="W199" s="5"/>
      <c r="X199" s="5"/>
      <c r="Y199" s="5"/>
    </row>
    <row r="200" spans="1:25" ht="15" thickBot="1" x14ac:dyDescent="0.35">
      <c r="A200" s="27">
        <v>198</v>
      </c>
      <c r="B200" s="21">
        <v>199</v>
      </c>
      <c r="C200" s="22">
        <v>0.16669999999999999</v>
      </c>
      <c r="D200" s="21">
        <v>0.34</v>
      </c>
      <c r="E200" s="21">
        <v>0.44779999999999998</v>
      </c>
      <c r="F200" s="21">
        <v>6</v>
      </c>
      <c r="G200" s="21">
        <v>69</v>
      </c>
      <c r="H200" s="23">
        <v>75</v>
      </c>
      <c r="I200" s="23">
        <v>0.16669999999999999</v>
      </c>
      <c r="J200" s="18"/>
      <c r="K200" s="5"/>
      <c r="L200" s="5"/>
      <c r="M200" s="5"/>
      <c r="N200" s="5"/>
      <c r="O200" s="5"/>
      <c r="P200" s="5"/>
      <c r="Q200" s="5"/>
      <c r="R200" s="5"/>
      <c r="S200" s="5"/>
      <c r="T200" s="5"/>
      <c r="U200" s="5"/>
      <c r="V200" s="5"/>
      <c r="W200" s="5"/>
      <c r="X200" s="5"/>
      <c r="Y200" s="5"/>
    </row>
    <row r="201" spans="1:25" ht="15" thickBot="1" x14ac:dyDescent="0.35">
      <c r="A201" s="27">
        <v>199</v>
      </c>
      <c r="B201" s="21">
        <v>200</v>
      </c>
      <c r="C201" s="22">
        <v>0.18179999999999999</v>
      </c>
      <c r="D201" s="21">
        <v>0.32</v>
      </c>
      <c r="E201" s="21">
        <v>0.4627</v>
      </c>
      <c r="F201" s="21">
        <v>8</v>
      </c>
      <c r="G201" s="21">
        <v>64</v>
      </c>
      <c r="H201" s="23">
        <v>72</v>
      </c>
      <c r="I201" s="23">
        <v>0.18179999999999999</v>
      </c>
      <c r="J201" s="18"/>
      <c r="K201" s="5"/>
      <c r="L201" s="5"/>
      <c r="M201" s="5"/>
      <c r="N201" s="5"/>
      <c r="O201" s="5"/>
      <c r="P201" s="5"/>
      <c r="Q201" s="5"/>
      <c r="R201" s="5"/>
      <c r="S201" s="5"/>
      <c r="T201" s="5"/>
      <c r="U201" s="5"/>
      <c r="V201" s="5"/>
      <c r="W201" s="5"/>
      <c r="X201" s="5"/>
      <c r="Y201" s="5"/>
    </row>
    <row r="202" spans="1:25" ht="15" thickBot="1" x14ac:dyDescent="0.35">
      <c r="A202" s="27">
        <v>200</v>
      </c>
      <c r="B202" s="21">
        <v>201</v>
      </c>
      <c r="C202" s="22">
        <v>0.19700000000000001</v>
      </c>
      <c r="D202" s="21">
        <v>0.35</v>
      </c>
      <c r="E202" s="21">
        <v>0.35820000000000002</v>
      </c>
      <c r="F202" s="21">
        <v>5</v>
      </c>
      <c r="G202" s="21">
        <v>77</v>
      </c>
      <c r="H202" s="23">
        <v>82</v>
      </c>
      <c r="I202" s="23">
        <v>0.19700000000000001</v>
      </c>
      <c r="J202" s="18"/>
      <c r="K202" s="5"/>
      <c r="L202" s="5"/>
      <c r="M202" s="5"/>
      <c r="N202" s="5"/>
      <c r="O202" s="5"/>
      <c r="P202" s="5"/>
      <c r="Q202" s="5"/>
      <c r="R202" s="5"/>
      <c r="S202" s="5"/>
      <c r="T202" s="5"/>
      <c r="U202" s="5"/>
      <c r="V202" s="5"/>
      <c r="W202" s="5"/>
      <c r="X202" s="5"/>
      <c r="Y202" s="5"/>
    </row>
    <row r="203" spans="1:25" ht="15" thickBot="1" x14ac:dyDescent="0.35">
      <c r="A203" s="27">
        <v>201</v>
      </c>
      <c r="B203" s="21">
        <v>202</v>
      </c>
      <c r="C203" s="22">
        <v>0.16669999999999999</v>
      </c>
      <c r="D203" s="21">
        <v>0.34</v>
      </c>
      <c r="E203" s="21">
        <v>0.44779999999999998</v>
      </c>
      <c r="F203" s="21">
        <v>13</v>
      </c>
      <c r="G203" s="21">
        <v>79</v>
      </c>
      <c r="H203" s="23">
        <v>92</v>
      </c>
      <c r="I203" s="23">
        <v>0.16669999999999999</v>
      </c>
      <c r="J203" s="18"/>
      <c r="K203" s="5"/>
      <c r="L203" s="5"/>
      <c r="M203" s="5"/>
      <c r="N203" s="5"/>
      <c r="O203" s="5"/>
      <c r="P203" s="5"/>
      <c r="Q203" s="5"/>
      <c r="R203" s="5"/>
      <c r="S203" s="5"/>
      <c r="T203" s="5"/>
      <c r="U203" s="5"/>
      <c r="V203" s="5"/>
      <c r="W203" s="5"/>
      <c r="X203" s="5"/>
      <c r="Y203" s="5"/>
    </row>
    <row r="204" spans="1:25" ht="15" thickBot="1" x14ac:dyDescent="0.35">
      <c r="A204" s="27">
        <v>202</v>
      </c>
      <c r="B204" s="21">
        <v>203</v>
      </c>
      <c r="C204" s="22">
        <v>0.1515</v>
      </c>
      <c r="D204" s="21">
        <v>0.37</v>
      </c>
      <c r="E204" s="21">
        <v>0.3881</v>
      </c>
      <c r="F204" s="21">
        <v>3</v>
      </c>
      <c r="G204" s="21">
        <v>59</v>
      </c>
      <c r="H204" s="23">
        <v>62</v>
      </c>
      <c r="I204" s="23">
        <v>0.1515</v>
      </c>
      <c r="J204" s="18"/>
      <c r="K204" s="5"/>
      <c r="L204" s="5"/>
      <c r="M204" s="5"/>
      <c r="N204" s="5"/>
      <c r="O204" s="5"/>
      <c r="P204" s="5"/>
      <c r="Q204" s="5"/>
      <c r="R204" s="5"/>
      <c r="S204" s="5"/>
      <c r="T204" s="5"/>
      <c r="U204" s="5"/>
      <c r="V204" s="5"/>
      <c r="W204" s="5"/>
      <c r="X204" s="5"/>
      <c r="Y204" s="5"/>
    </row>
    <row r="205" spans="1:25" ht="15" thickBot="1" x14ac:dyDescent="0.35">
      <c r="A205" s="27">
        <v>203</v>
      </c>
      <c r="B205" s="21">
        <v>204</v>
      </c>
      <c r="C205" s="22">
        <v>0.13639999999999999</v>
      </c>
      <c r="D205" s="21">
        <v>0.4</v>
      </c>
      <c r="E205" s="21">
        <v>0.32840000000000003</v>
      </c>
      <c r="F205" s="21">
        <v>4</v>
      </c>
      <c r="G205" s="21">
        <v>44</v>
      </c>
      <c r="H205" s="23">
        <v>48</v>
      </c>
      <c r="I205" s="23">
        <v>0.13639999999999999</v>
      </c>
      <c r="J205" s="18"/>
      <c r="K205" s="5"/>
      <c r="L205" s="5"/>
      <c r="M205" s="5"/>
      <c r="N205" s="5"/>
      <c r="O205" s="5"/>
      <c r="P205" s="5"/>
      <c r="Q205" s="5"/>
      <c r="R205" s="5"/>
      <c r="S205" s="5"/>
      <c r="T205" s="5"/>
      <c r="U205" s="5"/>
      <c r="V205" s="5"/>
      <c r="W205" s="5"/>
      <c r="X205" s="5"/>
      <c r="Y205" s="5"/>
    </row>
    <row r="206" spans="1:25" ht="15" thickBot="1" x14ac:dyDescent="0.35">
      <c r="A206" s="27">
        <v>204</v>
      </c>
      <c r="B206" s="21">
        <v>205</v>
      </c>
      <c r="C206" s="22">
        <v>0.13639999999999999</v>
      </c>
      <c r="D206" s="21">
        <v>0.43</v>
      </c>
      <c r="E206" s="21">
        <v>0.32840000000000003</v>
      </c>
      <c r="F206" s="21">
        <v>1</v>
      </c>
      <c r="G206" s="21">
        <v>40</v>
      </c>
      <c r="H206" s="23">
        <v>41</v>
      </c>
      <c r="I206" s="23">
        <v>0.13639999999999999</v>
      </c>
      <c r="J206" s="18"/>
      <c r="K206" s="5"/>
      <c r="L206" s="5"/>
      <c r="M206" s="5"/>
      <c r="N206" s="5"/>
      <c r="O206" s="5"/>
      <c r="P206" s="5"/>
      <c r="Q206" s="5"/>
      <c r="R206" s="5"/>
      <c r="S206" s="5"/>
      <c r="T206" s="5"/>
      <c r="U206" s="5"/>
      <c r="V206" s="5"/>
      <c r="W206" s="5"/>
      <c r="X206" s="5"/>
      <c r="Y206" s="5"/>
    </row>
    <row r="207" spans="1:25" ht="15" thickBot="1" x14ac:dyDescent="0.35">
      <c r="A207" s="27">
        <v>205</v>
      </c>
      <c r="B207" s="21">
        <v>206</v>
      </c>
      <c r="C207" s="22">
        <v>0.1212</v>
      </c>
      <c r="D207" s="21">
        <v>0.46</v>
      </c>
      <c r="E207" s="21">
        <v>0.25369999999999998</v>
      </c>
      <c r="F207" s="21">
        <v>0</v>
      </c>
      <c r="G207" s="21">
        <v>38</v>
      </c>
      <c r="H207" s="23">
        <v>38</v>
      </c>
      <c r="I207" s="23">
        <v>0.1212</v>
      </c>
      <c r="J207" s="18"/>
      <c r="K207" s="5"/>
      <c r="L207" s="5"/>
      <c r="M207" s="5"/>
      <c r="N207" s="5"/>
      <c r="O207" s="5"/>
      <c r="P207" s="5"/>
      <c r="Q207" s="5"/>
      <c r="R207" s="5"/>
      <c r="S207" s="5"/>
      <c r="T207" s="5"/>
      <c r="U207" s="5"/>
      <c r="V207" s="5"/>
      <c r="W207" s="5"/>
      <c r="X207" s="5"/>
      <c r="Y207" s="5"/>
    </row>
    <row r="208" spans="1:25" ht="15" thickBot="1" x14ac:dyDescent="0.35">
      <c r="A208" s="27">
        <v>206</v>
      </c>
      <c r="B208" s="21">
        <v>207</v>
      </c>
      <c r="C208" s="22">
        <v>0.1061</v>
      </c>
      <c r="D208" s="21">
        <v>0.46</v>
      </c>
      <c r="E208" s="21">
        <v>0.41789999999999999</v>
      </c>
      <c r="F208" s="21">
        <v>1</v>
      </c>
      <c r="G208" s="21">
        <v>19</v>
      </c>
      <c r="H208" s="23">
        <v>20</v>
      </c>
      <c r="I208" s="23">
        <v>0.1061</v>
      </c>
      <c r="J208" s="18"/>
      <c r="K208" s="5"/>
      <c r="L208" s="5"/>
      <c r="M208" s="5"/>
      <c r="N208" s="5"/>
      <c r="O208" s="5"/>
      <c r="P208" s="5"/>
      <c r="Q208" s="5"/>
      <c r="R208" s="5"/>
      <c r="S208" s="5"/>
      <c r="T208" s="5"/>
      <c r="U208" s="5"/>
      <c r="V208" s="5"/>
      <c r="W208" s="5"/>
      <c r="X208" s="5"/>
      <c r="Y208" s="5"/>
    </row>
    <row r="209" spans="1:25" ht="15" thickBot="1" x14ac:dyDescent="0.35">
      <c r="A209" s="27">
        <v>207</v>
      </c>
      <c r="B209" s="21">
        <v>208</v>
      </c>
      <c r="C209" s="22">
        <v>0.1212</v>
      </c>
      <c r="D209" s="21">
        <v>0.46</v>
      </c>
      <c r="E209" s="21">
        <v>0.29849999999999999</v>
      </c>
      <c r="F209" s="21">
        <v>5</v>
      </c>
      <c r="G209" s="21">
        <v>10</v>
      </c>
      <c r="H209" s="23">
        <v>15</v>
      </c>
      <c r="I209" s="23">
        <v>0.1212</v>
      </c>
      <c r="J209" s="18"/>
      <c r="K209" s="5"/>
      <c r="L209" s="5"/>
      <c r="M209" s="5"/>
      <c r="N209" s="5"/>
      <c r="O209" s="5"/>
      <c r="P209" s="5"/>
      <c r="Q209" s="5"/>
      <c r="R209" s="5"/>
      <c r="S209" s="5"/>
      <c r="T209" s="5"/>
      <c r="U209" s="5"/>
      <c r="V209" s="5"/>
      <c r="W209" s="5"/>
      <c r="X209" s="5"/>
      <c r="Y209" s="5"/>
    </row>
    <row r="210" spans="1:25" ht="15" thickBot="1" x14ac:dyDescent="0.35">
      <c r="A210" s="27">
        <v>208</v>
      </c>
      <c r="B210" s="21">
        <v>209</v>
      </c>
      <c r="C210" s="22">
        <v>0.13639999999999999</v>
      </c>
      <c r="D210" s="21">
        <v>0.5</v>
      </c>
      <c r="E210" s="21">
        <v>0.19400000000000001</v>
      </c>
      <c r="F210" s="21">
        <v>0</v>
      </c>
      <c r="G210" s="21">
        <v>6</v>
      </c>
      <c r="H210" s="23">
        <v>6</v>
      </c>
      <c r="I210" s="23">
        <v>0.13639999999999999</v>
      </c>
      <c r="J210" s="18"/>
      <c r="K210" s="5"/>
      <c r="L210" s="5"/>
      <c r="M210" s="5"/>
      <c r="N210" s="5"/>
      <c r="O210" s="5"/>
      <c r="P210" s="5"/>
      <c r="Q210" s="5"/>
      <c r="R210" s="5"/>
      <c r="S210" s="5"/>
      <c r="T210" s="5"/>
      <c r="U210" s="5"/>
      <c r="V210" s="5"/>
      <c r="W210" s="5"/>
      <c r="X210" s="5"/>
      <c r="Y210" s="5"/>
    </row>
    <row r="211" spans="1:25" ht="15" thickBot="1" x14ac:dyDescent="0.35">
      <c r="A211" s="27">
        <v>209</v>
      </c>
      <c r="B211" s="21">
        <v>210</v>
      </c>
      <c r="C211" s="22">
        <v>0.1212</v>
      </c>
      <c r="D211" s="21">
        <v>0.5</v>
      </c>
      <c r="E211" s="21">
        <v>0.28360000000000002</v>
      </c>
      <c r="F211" s="21">
        <v>2</v>
      </c>
      <c r="G211" s="21">
        <v>3</v>
      </c>
      <c r="H211" s="23">
        <v>5</v>
      </c>
      <c r="I211" s="23">
        <v>0.1212</v>
      </c>
      <c r="J211" s="18"/>
      <c r="K211" s="5"/>
      <c r="L211" s="5"/>
      <c r="M211" s="5"/>
      <c r="N211" s="5"/>
      <c r="O211" s="5"/>
      <c r="P211" s="5"/>
      <c r="Q211" s="5"/>
      <c r="R211" s="5"/>
      <c r="S211" s="5"/>
      <c r="T211" s="5"/>
      <c r="U211" s="5"/>
      <c r="V211" s="5"/>
      <c r="W211" s="5"/>
      <c r="X211" s="5"/>
      <c r="Y211" s="5"/>
    </row>
    <row r="212" spans="1:25" ht="15" thickBot="1" x14ac:dyDescent="0.35">
      <c r="A212" s="27">
        <v>210</v>
      </c>
      <c r="B212" s="21">
        <v>211</v>
      </c>
      <c r="C212" s="22">
        <v>0.1212</v>
      </c>
      <c r="D212" s="21">
        <v>0.5</v>
      </c>
      <c r="E212" s="21">
        <v>0.28360000000000002</v>
      </c>
      <c r="F212" s="21">
        <v>1</v>
      </c>
      <c r="G212" s="21">
        <v>0</v>
      </c>
      <c r="H212" s="23">
        <v>1</v>
      </c>
      <c r="I212" s="23">
        <v>0.1212</v>
      </c>
      <c r="J212" s="18"/>
      <c r="K212" s="5"/>
      <c r="L212" s="5"/>
      <c r="M212" s="5"/>
      <c r="N212" s="5"/>
      <c r="O212" s="5"/>
      <c r="P212" s="5"/>
      <c r="Q212" s="5"/>
      <c r="R212" s="5"/>
      <c r="S212" s="5"/>
      <c r="T212" s="5"/>
      <c r="U212" s="5"/>
      <c r="V212" s="5"/>
      <c r="W212" s="5"/>
      <c r="X212" s="5"/>
      <c r="Y212" s="5"/>
    </row>
    <row r="213" spans="1:25" ht="15" thickBot="1" x14ac:dyDescent="0.35">
      <c r="A213" s="27">
        <v>211</v>
      </c>
      <c r="B213" s="21">
        <v>212</v>
      </c>
      <c r="C213" s="22">
        <v>0.1212</v>
      </c>
      <c r="D213" s="21">
        <v>0.5</v>
      </c>
      <c r="E213" s="21">
        <v>0.22389999999999999</v>
      </c>
      <c r="F213" s="21">
        <v>0</v>
      </c>
      <c r="G213" s="21">
        <v>3</v>
      </c>
      <c r="H213" s="23">
        <v>3</v>
      </c>
      <c r="I213" s="23">
        <v>0.1212</v>
      </c>
      <c r="J213" s="18"/>
      <c r="K213" s="5"/>
      <c r="L213" s="5"/>
      <c r="M213" s="5"/>
      <c r="N213" s="5"/>
      <c r="O213" s="5"/>
      <c r="P213" s="5"/>
      <c r="Q213" s="5"/>
      <c r="R213" s="5"/>
      <c r="S213" s="5"/>
      <c r="T213" s="5"/>
      <c r="U213" s="5"/>
      <c r="V213" s="5"/>
      <c r="W213" s="5"/>
      <c r="X213" s="5"/>
      <c r="Y213" s="5"/>
    </row>
    <row r="214" spans="1:25" ht="15" thickBot="1" x14ac:dyDescent="0.35">
      <c r="A214" s="27">
        <v>212</v>
      </c>
      <c r="B214" s="21">
        <v>213</v>
      </c>
      <c r="C214" s="22">
        <v>0.1212</v>
      </c>
      <c r="D214" s="21">
        <v>0.5</v>
      </c>
      <c r="E214" s="21">
        <v>0.22389999999999999</v>
      </c>
      <c r="F214" s="21">
        <v>0</v>
      </c>
      <c r="G214" s="21">
        <v>1</v>
      </c>
      <c r="H214" s="23">
        <v>1</v>
      </c>
      <c r="I214" s="23">
        <v>0.1212</v>
      </c>
      <c r="J214" s="18"/>
      <c r="K214" s="5"/>
      <c r="L214" s="5"/>
      <c r="M214" s="5"/>
      <c r="N214" s="5"/>
      <c r="O214" s="5"/>
      <c r="P214" s="5"/>
      <c r="Q214" s="5"/>
      <c r="R214" s="5"/>
      <c r="S214" s="5"/>
      <c r="T214" s="5"/>
      <c r="U214" s="5"/>
      <c r="V214" s="5"/>
      <c r="W214" s="5"/>
      <c r="X214" s="5"/>
      <c r="Y214" s="5"/>
    </row>
    <row r="215" spans="1:25" ht="15" thickBot="1" x14ac:dyDescent="0.35">
      <c r="A215" s="27">
        <v>213</v>
      </c>
      <c r="B215" s="21">
        <v>214</v>
      </c>
      <c r="C215" s="22">
        <v>0.1212</v>
      </c>
      <c r="D215" s="21">
        <v>0.54</v>
      </c>
      <c r="E215" s="21">
        <v>0.1343</v>
      </c>
      <c r="F215" s="21">
        <v>1</v>
      </c>
      <c r="G215" s="21">
        <v>2</v>
      </c>
      <c r="H215" s="23">
        <v>3</v>
      </c>
      <c r="I215" s="23">
        <v>0.1212</v>
      </c>
      <c r="J215" s="18"/>
      <c r="K215" s="5"/>
      <c r="L215" s="5"/>
      <c r="M215" s="5"/>
      <c r="N215" s="5"/>
      <c r="O215" s="5"/>
      <c r="P215" s="5"/>
      <c r="Q215" s="5"/>
      <c r="R215" s="5"/>
      <c r="S215" s="5"/>
      <c r="T215" s="5"/>
      <c r="U215" s="5"/>
      <c r="V215" s="5"/>
      <c r="W215" s="5"/>
      <c r="X215" s="5"/>
      <c r="Y215" s="5"/>
    </row>
    <row r="216" spans="1:25" ht="15" thickBot="1" x14ac:dyDescent="0.35">
      <c r="A216" s="27">
        <v>214</v>
      </c>
      <c r="B216" s="21">
        <v>215</v>
      </c>
      <c r="C216" s="22">
        <v>0.1061</v>
      </c>
      <c r="D216" s="21">
        <v>0.54</v>
      </c>
      <c r="E216" s="21">
        <v>0.25369999999999998</v>
      </c>
      <c r="F216" s="21">
        <v>0</v>
      </c>
      <c r="G216" s="21">
        <v>3</v>
      </c>
      <c r="H216" s="23">
        <v>3</v>
      </c>
      <c r="I216" s="23">
        <v>0.1061</v>
      </c>
      <c r="J216" s="18"/>
      <c r="K216" s="5"/>
      <c r="L216" s="5"/>
      <c r="M216" s="5"/>
      <c r="N216" s="5"/>
      <c r="O216" s="5"/>
      <c r="P216" s="5"/>
      <c r="Q216" s="5"/>
      <c r="R216" s="5"/>
      <c r="S216" s="5"/>
      <c r="T216" s="5"/>
      <c r="U216" s="5"/>
      <c r="V216" s="5"/>
      <c r="W216" s="5"/>
      <c r="X216" s="5"/>
      <c r="Y216" s="5"/>
    </row>
    <row r="217" spans="1:25" ht="15" thickBot="1" x14ac:dyDescent="0.35">
      <c r="A217" s="27">
        <v>215</v>
      </c>
      <c r="B217" s="21">
        <v>216</v>
      </c>
      <c r="C217" s="22">
        <v>0.1212</v>
      </c>
      <c r="D217" s="21">
        <v>0.5</v>
      </c>
      <c r="E217" s="21">
        <v>0.28360000000000002</v>
      </c>
      <c r="F217" s="21">
        <v>0</v>
      </c>
      <c r="G217" s="21">
        <v>31</v>
      </c>
      <c r="H217" s="23">
        <v>31</v>
      </c>
      <c r="I217" s="23">
        <v>0.1212</v>
      </c>
      <c r="J217" s="18"/>
      <c r="K217" s="5"/>
      <c r="L217" s="5"/>
      <c r="M217" s="5"/>
      <c r="N217" s="5"/>
      <c r="O217" s="5"/>
      <c r="P217" s="5"/>
      <c r="Q217" s="5"/>
      <c r="R217" s="5"/>
      <c r="S217" s="5"/>
      <c r="T217" s="5"/>
      <c r="U217" s="5"/>
      <c r="V217" s="5"/>
      <c r="W217" s="5"/>
      <c r="X217" s="5"/>
      <c r="Y217" s="5"/>
    </row>
    <row r="218" spans="1:25" ht="15" thickBot="1" x14ac:dyDescent="0.35">
      <c r="A218" s="27">
        <v>216</v>
      </c>
      <c r="B218" s="21">
        <v>217</v>
      </c>
      <c r="C218" s="22">
        <v>0.1212</v>
      </c>
      <c r="D218" s="21">
        <v>0.5</v>
      </c>
      <c r="E218" s="21">
        <v>0.22389999999999999</v>
      </c>
      <c r="F218" s="21">
        <v>2</v>
      </c>
      <c r="G218" s="21">
        <v>75</v>
      </c>
      <c r="H218" s="23">
        <v>77</v>
      </c>
      <c r="I218" s="23">
        <v>0.1212</v>
      </c>
      <c r="J218" s="18"/>
      <c r="K218" s="5"/>
      <c r="L218" s="5"/>
      <c r="M218" s="5"/>
      <c r="N218" s="5"/>
      <c r="O218" s="5"/>
      <c r="P218" s="5"/>
      <c r="Q218" s="5"/>
      <c r="R218" s="5"/>
      <c r="S218" s="5"/>
      <c r="T218" s="5"/>
      <c r="U218" s="5"/>
      <c r="V218" s="5"/>
      <c r="W218" s="5"/>
      <c r="X218" s="5"/>
      <c r="Y218" s="5"/>
    </row>
    <row r="219" spans="1:25" ht="15" thickBot="1" x14ac:dyDescent="0.35">
      <c r="A219" s="27">
        <v>217</v>
      </c>
      <c r="B219" s="21">
        <v>218</v>
      </c>
      <c r="C219" s="22">
        <v>0.1212</v>
      </c>
      <c r="D219" s="21">
        <v>0.5</v>
      </c>
      <c r="E219" s="21">
        <v>0.28360000000000002</v>
      </c>
      <c r="F219" s="21">
        <v>4</v>
      </c>
      <c r="G219" s="21">
        <v>184</v>
      </c>
      <c r="H219" s="23">
        <v>188</v>
      </c>
      <c r="I219" s="23">
        <v>0.1212</v>
      </c>
      <c r="J219" s="18"/>
      <c r="K219" s="5"/>
      <c r="L219" s="5"/>
      <c r="M219" s="5"/>
      <c r="N219" s="5"/>
      <c r="O219" s="5"/>
      <c r="P219" s="5"/>
      <c r="Q219" s="5"/>
      <c r="R219" s="5"/>
      <c r="S219" s="5"/>
      <c r="T219" s="5"/>
      <c r="U219" s="5"/>
      <c r="V219" s="5"/>
      <c r="W219" s="5"/>
      <c r="X219" s="5"/>
      <c r="Y219" s="5"/>
    </row>
    <row r="220" spans="1:25" ht="15" thickBot="1" x14ac:dyDescent="0.35">
      <c r="A220" s="27">
        <v>218</v>
      </c>
      <c r="B220" s="21">
        <v>219</v>
      </c>
      <c r="C220" s="22">
        <v>0.1212</v>
      </c>
      <c r="D220" s="21">
        <v>0.5</v>
      </c>
      <c r="E220" s="21">
        <v>0.25369999999999998</v>
      </c>
      <c r="F220" s="21">
        <v>2</v>
      </c>
      <c r="G220" s="21">
        <v>92</v>
      </c>
      <c r="H220" s="23">
        <v>94</v>
      </c>
      <c r="I220" s="23">
        <v>0.1212</v>
      </c>
      <c r="J220" s="18"/>
      <c r="K220" s="5"/>
      <c r="L220" s="5"/>
      <c r="M220" s="5"/>
      <c r="N220" s="5"/>
      <c r="O220" s="5"/>
      <c r="P220" s="5"/>
      <c r="Q220" s="5"/>
      <c r="R220" s="5"/>
      <c r="S220" s="5"/>
      <c r="T220" s="5"/>
      <c r="U220" s="5"/>
      <c r="V220" s="5"/>
      <c r="W220" s="5"/>
      <c r="X220" s="5"/>
      <c r="Y220" s="5"/>
    </row>
    <row r="221" spans="1:25" ht="15" thickBot="1" x14ac:dyDescent="0.35">
      <c r="A221" s="27">
        <v>219</v>
      </c>
      <c r="B221" s="21">
        <v>220</v>
      </c>
      <c r="C221" s="22">
        <v>0.1212</v>
      </c>
      <c r="D221" s="21">
        <v>0.5</v>
      </c>
      <c r="E221" s="21">
        <v>0.29849999999999999</v>
      </c>
      <c r="F221" s="21">
        <v>0</v>
      </c>
      <c r="G221" s="21">
        <v>31</v>
      </c>
      <c r="H221" s="23">
        <v>31</v>
      </c>
      <c r="I221" s="23">
        <v>0.1212</v>
      </c>
      <c r="J221" s="18"/>
      <c r="K221" s="5"/>
      <c r="L221" s="5"/>
      <c r="M221" s="5"/>
      <c r="N221" s="5"/>
      <c r="O221" s="5"/>
      <c r="P221" s="5"/>
      <c r="Q221" s="5"/>
      <c r="R221" s="5"/>
      <c r="S221" s="5"/>
      <c r="T221" s="5"/>
      <c r="U221" s="5"/>
      <c r="V221" s="5"/>
      <c r="W221" s="5"/>
      <c r="X221" s="5"/>
      <c r="Y221" s="5"/>
    </row>
    <row r="222" spans="1:25" ht="15" thickBot="1" x14ac:dyDescent="0.35">
      <c r="A222" s="27">
        <v>220</v>
      </c>
      <c r="B222" s="21">
        <v>221</v>
      </c>
      <c r="C222" s="22">
        <v>0.13639999999999999</v>
      </c>
      <c r="D222" s="21">
        <v>0.47</v>
      </c>
      <c r="E222" s="21">
        <v>0.28360000000000002</v>
      </c>
      <c r="F222" s="21">
        <v>2</v>
      </c>
      <c r="G222" s="21">
        <v>28</v>
      </c>
      <c r="H222" s="23">
        <v>30</v>
      </c>
      <c r="I222" s="23">
        <v>0.13639999999999999</v>
      </c>
      <c r="J222" s="18"/>
      <c r="K222" s="5"/>
      <c r="L222" s="5"/>
      <c r="M222" s="5"/>
      <c r="N222" s="5"/>
      <c r="O222" s="5"/>
      <c r="P222" s="5"/>
      <c r="Q222" s="5"/>
      <c r="R222" s="5"/>
      <c r="S222" s="5"/>
      <c r="T222" s="5"/>
      <c r="U222" s="5"/>
      <c r="V222" s="5"/>
      <c r="W222" s="5"/>
      <c r="X222" s="5"/>
      <c r="Y222" s="5"/>
    </row>
    <row r="223" spans="1:25" ht="15" thickBot="1" x14ac:dyDescent="0.35">
      <c r="A223" s="27">
        <v>221</v>
      </c>
      <c r="B223" s="21">
        <v>222</v>
      </c>
      <c r="C223" s="22">
        <v>0.18179999999999999</v>
      </c>
      <c r="D223" s="21">
        <v>0.4</v>
      </c>
      <c r="E223" s="21">
        <v>0.28360000000000002</v>
      </c>
      <c r="F223" s="21">
        <v>5</v>
      </c>
      <c r="G223" s="21">
        <v>47</v>
      </c>
      <c r="H223" s="23">
        <v>52</v>
      </c>
      <c r="I223" s="23">
        <v>0.18179999999999999</v>
      </c>
      <c r="J223" s="18"/>
      <c r="K223" s="5"/>
      <c r="L223" s="5"/>
      <c r="M223" s="5"/>
      <c r="N223" s="5"/>
      <c r="O223" s="5"/>
      <c r="P223" s="5"/>
      <c r="Q223" s="5"/>
      <c r="R223" s="5"/>
      <c r="S223" s="5"/>
      <c r="T223" s="5"/>
      <c r="U223" s="5"/>
      <c r="V223" s="5"/>
      <c r="W223" s="5"/>
      <c r="X223" s="5"/>
      <c r="Y223" s="5"/>
    </row>
    <row r="224" spans="1:25" ht="15" thickBot="1" x14ac:dyDescent="0.35">
      <c r="A224" s="27">
        <v>222</v>
      </c>
      <c r="B224" s="21">
        <v>223</v>
      </c>
      <c r="C224" s="22">
        <v>0.18179999999999999</v>
      </c>
      <c r="D224" s="21">
        <v>0.4</v>
      </c>
      <c r="E224" s="21">
        <v>0.28360000000000002</v>
      </c>
      <c r="F224" s="21">
        <v>4</v>
      </c>
      <c r="G224" s="21">
        <v>50</v>
      </c>
      <c r="H224" s="23">
        <v>54</v>
      </c>
      <c r="I224" s="23">
        <v>0.18179999999999999</v>
      </c>
      <c r="J224" s="18"/>
      <c r="K224" s="5"/>
      <c r="L224" s="5"/>
      <c r="M224" s="5"/>
      <c r="N224" s="5"/>
      <c r="O224" s="5"/>
      <c r="P224" s="5"/>
      <c r="Q224" s="5"/>
      <c r="R224" s="5"/>
      <c r="S224" s="5"/>
      <c r="T224" s="5"/>
      <c r="U224" s="5"/>
      <c r="V224" s="5"/>
      <c r="W224" s="5"/>
      <c r="X224" s="5"/>
      <c r="Y224" s="5"/>
    </row>
    <row r="225" spans="1:25" ht="15" thickBot="1" x14ac:dyDescent="0.35">
      <c r="A225" s="27">
        <v>223</v>
      </c>
      <c r="B225" s="21">
        <v>224</v>
      </c>
      <c r="C225" s="22">
        <v>0.19700000000000001</v>
      </c>
      <c r="D225" s="21">
        <v>0.4</v>
      </c>
      <c r="E225" s="21">
        <v>0.22389999999999999</v>
      </c>
      <c r="F225" s="21">
        <v>0</v>
      </c>
      <c r="G225" s="21">
        <v>47</v>
      </c>
      <c r="H225" s="23">
        <v>47</v>
      </c>
      <c r="I225" s="23">
        <v>0.19700000000000001</v>
      </c>
      <c r="J225" s="18"/>
      <c r="K225" s="5"/>
      <c r="L225" s="5"/>
      <c r="M225" s="5"/>
      <c r="N225" s="5"/>
      <c r="O225" s="5"/>
      <c r="P225" s="5"/>
      <c r="Q225" s="5"/>
      <c r="R225" s="5"/>
      <c r="S225" s="5"/>
      <c r="T225" s="5"/>
      <c r="U225" s="5"/>
      <c r="V225" s="5"/>
      <c r="W225" s="5"/>
      <c r="X225" s="5"/>
      <c r="Y225" s="5"/>
    </row>
    <row r="226" spans="1:25" ht="15" thickBot="1" x14ac:dyDescent="0.35">
      <c r="A226" s="27">
        <v>224</v>
      </c>
      <c r="B226" s="21">
        <v>225</v>
      </c>
      <c r="C226" s="22">
        <v>0.19700000000000001</v>
      </c>
      <c r="D226" s="21">
        <v>0.4</v>
      </c>
      <c r="E226" s="21">
        <v>0.22389999999999999</v>
      </c>
      <c r="F226" s="21">
        <v>2</v>
      </c>
      <c r="G226" s="21">
        <v>43</v>
      </c>
      <c r="H226" s="23">
        <v>45</v>
      </c>
      <c r="I226" s="23">
        <v>0.19700000000000001</v>
      </c>
      <c r="J226" s="18"/>
      <c r="K226" s="5"/>
      <c r="L226" s="5"/>
      <c r="M226" s="5"/>
      <c r="N226" s="5"/>
      <c r="O226" s="5"/>
      <c r="P226" s="5"/>
      <c r="Q226" s="5"/>
      <c r="R226" s="5"/>
      <c r="S226" s="5"/>
      <c r="T226" s="5"/>
      <c r="U226" s="5"/>
      <c r="V226" s="5"/>
      <c r="W226" s="5"/>
      <c r="X226" s="5"/>
      <c r="Y226" s="5"/>
    </row>
    <row r="227" spans="1:25" ht="15" thickBot="1" x14ac:dyDescent="0.35">
      <c r="A227" s="27">
        <v>225</v>
      </c>
      <c r="B227" s="21">
        <v>226</v>
      </c>
      <c r="C227" s="22">
        <v>0.21210000000000001</v>
      </c>
      <c r="D227" s="21">
        <v>0.4</v>
      </c>
      <c r="E227" s="21">
        <v>0.1343</v>
      </c>
      <c r="F227" s="21">
        <v>4</v>
      </c>
      <c r="G227" s="21">
        <v>70</v>
      </c>
      <c r="H227" s="23">
        <v>74</v>
      </c>
      <c r="I227" s="23">
        <v>0.21210000000000001</v>
      </c>
      <c r="J227" s="18"/>
      <c r="K227" s="5"/>
      <c r="L227" s="5"/>
      <c r="M227" s="5"/>
      <c r="N227" s="5"/>
      <c r="O227" s="5"/>
      <c r="P227" s="5"/>
      <c r="Q227" s="5"/>
      <c r="R227" s="5"/>
      <c r="S227" s="5"/>
      <c r="T227" s="5"/>
      <c r="U227" s="5"/>
      <c r="V227" s="5"/>
      <c r="W227" s="5"/>
      <c r="X227" s="5"/>
      <c r="Y227" s="5"/>
    </row>
    <row r="228" spans="1:25" ht="15" thickBot="1" x14ac:dyDescent="0.35">
      <c r="A228" s="27">
        <v>226</v>
      </c>
      <c r="B228" s="21">
        <v>227</v>
      </c>
      <c r="C228" s="22">
        <v>0.2273</v>
      </c>
      <c r="D228" s="21">
        <v>0.4</v>
      </c>
      <c r="E228" s="21">
        <v>0.1045</v>
      </c>
      <c r="F228" s="21">
        <v>4</v>
      </c>
      <c r="G228" s="21">
        <v>174</v>
      </c>
      <c r="H228" s="23">
        <v>178</v>
      </c>
      <c r="I228" s="23">
        <v>0.2273</v>
      </c>
      <c r="J228" s="18"/>
      <c r="K228" s="5"/>
      <c r="L228" s="5"/>
      <c r="M228" s="5"/>
      <c r="N228" s="5"/>
      <c r="O228" s="5"/>
      <c r="P228" s="5"/>
      <c r="Q228" s="5"/>
      <c r="R228" s="5"/>
      <c r="S228" s="5"/>
      <c r="T228" s="5"/>
      <c r="U228" s="5"/>
      <c r="V228" s="5"/>
      <c r="W228" s="5"/>
      <c r="X228" s="5"/>
      <c r="Y228" s="5"/>
    </row>
    <row r="229" spans="1:25" ht="15" thickBot="1" x14ac:dyDescent="0.35">
      <c r="A229" s="27">
        <v>227</v>
      </c>
      <c r="B229" s="21">
        <v>228</v>
      </c>
      <c r="C229" s="22">
        <v>0.19700000000000001</v>
      </c>
      <c r="D229" s="21">
        <v>0.4</v>
      </c>
      <c r="E229" s="21">
        <v>0.22389999999999999</v>
      </c>
      <c r="F229" s="21">
        <v>1</v>
      </c>
      <c r="G229" s="21">
        <v>154</v>
      </c>
      <c r="H229" s="23">
        <v>155</v>
      </c>
      <c r="I229" s="23">
        <v>0.19700000000000001</v>
      </c>
      <c r="J229" s="18"/>
      <c r="K229" s="5"/>
      <c r="L229" s="5"/>
      <c r="M229" s="5"/>
      <c r="N229" s="5"/>
      <c r="O229" s="5"/>
      <c r="P229" s="5"/>
      <c r="Q229" s="5"/>
      <c r="R229" s="5"/>
      <c r="S229" s="5"/>
      <c r="T229" s="5"/>
      <c r="U229" s="5"/>
      <c r="V229" s="5"/>
      <c r="W229" s="5"/>
      <c r="X229" s="5"/>
      <c r="Y229" s="5"/>
    </row>
    <row r="230" spans="1:25" ht="15" thickBot="1" x14ac:dyDescent="0.35">
      <c r="A230" s="27">
        <v>228</v>
      </c>
      <c r="B230" s="21">
        <v>229</v>
      </c>
      <c r="C230" s="22">
        <v>0.16669999999999999</v>
      </c>
      <c r="D230" s="21">
        <v>0.47</v>
      </c>
      <c r="E230" s="21">
        <v>0.16420000000000001</v>
      </c>
      <c r="F230" s="21">
        <v>3</v>
      </c>
      <c r="G230" s="21">
        <v>92</v>
      </c>
      <c r="H230" s="23">
        <v>95</v>
      </c>
      <c r="I230" s="23">
        <v>0.16669999999999999</v>
      </c>
      <c r="J230" s="18"/>
      <c r="K230" s="5"/>
      <c r="L230" s="5"/>
      <c r="M230" s="5"/>
      <c r="N230" s="5"/>
      <c r="O230" s="5"/>
      <c r="P230" s="5"/>
      <c r="Q230" s="5"/>
      <c r="R230" s="5"/>
      <c r="S230" s="5"/>
      <c r="T230" s="5"/>
      <c r="U230" s="5"/>
      <c r="V230" s="5"/>
      <c r="W230" s="5"/>
      <c r="X230" s="5"/>
      <c r="Y230" s="5"/>
    </row>
    <row r="231" spans="1:25" ht="15" thickBot="1" x14ac:dyDescent="0.35">
      <c r="A231" s="27">
        <v>229</v>
      </c>
      <c r="B231" s="21">
        <v>230</v>
      </c>
      <c r="C231" s="22">
        <v>0.16669999999999999</v>
      </c>
      <c r="D231" s="21">
        <v>0.5</v>
      </c>
      <c r="E231" s="21">
        <v>0.16420000000000001</v>
      </c>
      <c r="F231" s="21">
        <v>1</v>
      </c>
      <c r="G231" s="21">
        <v>73</v>
      </c>
      <c r="H231" s="23">
        <v>74</v>
      </c>
      <c r="I231" s="23">
        <v>0.16669999999999999</v>
      </c>
      <c r="J231" s="18"/>
      <c r="K231" s="5"/>
      <c r="L231" s="5"/>
      <c r="M231" s="5"/>
      <c r="N231" s="5"/>
      <c r="O231" s="5"/>
      <c r="P231" s="5"/>
      <c r="Q231" s="5"/>
      <c r="R231" s="5"/>
      <c r="S231" s="5"/>
      <c r="T231" s="5"/>
      <c r="U231" s="5"/>
      <c r="V231" s="5"/>
      <c r="W231" s="5"/>
      <c r="X231" s="5"/>
      <c r="Y231" s="5"/>
    </row>
    <row r="232" spans="1:25" ht="15" thickBot="1" x14ac:dyDescent="0.35">
      <c r="A232" s="27">
        <v>230</v>
      </c>
      <c r="B232" s="21">
        <v>231</v>
      </c>
      <c r="C232" s="22">
        <v>0.13639999999999999</v>
      </c>
      <c r="D232" s="21">
        <v>0.59</v>
      </c>
      <c r="E232" s="21">
        <v>0.19400000000000001</v>
      </c>
      <c r="F232" s="21">
        <v>1</v>
      </c>
      <c r="G232" s="21">
        <v>37</v>
      </c>
      <c r="H232" s="23">
        <v>38</v>
      </c>
      <c r="I232" s="23">
        <v>0.13639999999999999</v>
      </c>
      <c r="J232" s="18"/>
      <c r="K232" s="5"/>
      <c r="L232" s="5"/>
      <c r="M232" s="5"/>
      <c r="N232" s="5"/>
      <c r="O232" s="5"/>
      <c r="P232" s="5"/>
      <c r="Q232" s="5"/>
      <c r="R232" s="5"/>
      <c r="S232" s="5"/>
      <c r="T232" s="5"/>
      <c r="U232" s="5"/>
      <c r="V232" s="5"/>
      <c r="W232" s="5"/>
      <c r="X232" s="5"/>
      <c r="Y232" s="5"/>
    </row>
    <row r="233" spans="1:25" ht="15" thickBot="1" x14ac:dyDescent="0.35">
      <c r="A233" s="27">
        <v>231</v>
      </c>
      <c r="B233" s="21">
        <v>232</v>
      </c>
      <c r="C233" s="22">
        <v>0.1515</v>
      </c>
      <c r="D233" s="21">
        <v>0.59</v>
      </c>
      <c r="E233" s="21">
        <v>0.16420000000000001</v>
      </c>
      <c r="F233" s="21">
        <v>2</v>
      </c>
      <c r="G233" s="21">
        <v>22</v>
      </c>
      <c r="H233" s="23">
        <v>24</v>
      </c>
      <c r="I233" s="23">
        <v>0.1515</v>
      </c>
      <c r="J233" s="18"/>
      <c r="K233" s="5"/>
      <c r="L233" s="5"/>
      <c r="M233" s="5"/>
      <c r="N233" s="5"/>
      <c r="O233" s="5"/>
      <c r="P233" s="5"/>
      <c r="Q233" s="5"/>
      <c r="R233" s="5"/>
      <c r="S233" s="5"/>
      <c r="T233" s="5"/>
      <c r="U233" s="5"/>
      <c r="V233" s="5"/>
      <c r="W233" s="5"/>
      <c r="X233" s="5"/>
      <c r="Y233" s="5"/>
    </row>
    <row r="234" spans="1:25" ht="15" thickBot="1" x14ac:dyDescent="0.35">
      <c r="A234" s="27">
        <v>232</v>
      </c>
      <c r="B234" s="21">
        <v>233</v>
      </c>
      <c r="C234" s="22">
        <v>0.1515</v>
      </c>
      <c r="D234" s="21">
        <v>0.59</v>
      </c>
      <c r="E234" s="21">
        <v>0.16420000000000001</v>
      </c>
      <c r="F234" s="21">
        <v>0</v>
      </c>
      <c r="G234" s="21">
        <v>18</v>
      </c>
      <c r="H234" s="23">
        <v>18</v>
      </c>
      <c r="I234" s="23">
        <v>0.1515</v>
      </c>
      <c r="J234" s="18"/>
      <c r="K234" s="5"/>
      <c r="L234" s="5"/>
      <c r="M234" s="5"/>
      <c r="N234" s="5"/>
      <c r="O234" s="5"/>
      <c r="P234" s="5"/>
      <c r="Q234" s="5"/>
      <c r="R234" s="5"/>
      <c r="S234" s="5"/>
      <c r="T234" s="5"/>
      <c r="U234" s="5"/>
      <c r="V234" s="5"/>
      <c r="W234" s="5"/>
      <c r="X234" s="5"/>
      <c r="Y234" s="5"/>
    </row>
    <row r="235" spans="1:25" ht="15" thickBot="1" x14ac:dyDescent="0.35">
      <c r="A235" s="27">
        <v>233</v>
      </c>
      <c r="B235" s="21">
        <v>234</v>
      </c>
      <c r="C235" s="22">
        <v>0.16669999999999999</v>
      </c>
      <c r="D235" s="21">
        <v>0.59</v>
      </c>
      <c r="E235" s="21">
        <v>0.1045</v>
      </c>
      <c r="F235" s="21">
        <v>2</v>
      </c>
      <c r="G235" s="21">
        <v>10</v>
      </c>
      <c r="H235" s="23">
        <v>12</v>
      </c>
      <c r="I235" s="23">
        <v>0.16669999999999999</v>
      </c>
      <c r="J235" s="18"/>
      <c r="K235" s="5"/>
      <c r="L235" s="5"/>
      <c r="M235" s="5"/>
      <c r="N235" s="5"/>
      <c r="O235" s="5"/>
      <c r="P235" s="5"/>
      <c r="Q235" s="5"/>
      <c r="R235" s="5"/>
      <c r="S235" s="5"/>
      <c r="T235" s="5"/>
      <c r="U235" s="5"/>
      <c r="V235" s="5"/>
      <c r="W235" s="5"/>
      <c r="X235" s="5"/>
      <c r="Y235" s="5"/>
    </row>
    <row r="236" spans="1:25" ht="15" thickBot="1" x14ac:dyDescent="0.35">
      <c r="A236" s="27">
        <v>234</v>
      </c>
      <c r="B236" s="21">
        <v>235</v>
      </c>
      <c r="C236" s="22">
        <v>0.1515</v>
      </c>
      <c r="D236" s="21">
        <v>0.59</v>
      </c>
      <c r="E236" s="21">
        <v>0.16420000000000001</v>
      </c>
      <c r="F236" s="21">
        <v>0</v>
      </c>
      <c r="G236" s="21">
        <v>3</v>
      </c>
      <c r="H236" s="23">
        <v>3</v>
      </c>
      <c r="I236" s="23">
        <v>0.1515</v>
      </c>
      <c r="J236" s="18"/>
      <c r="K236" s="5"/>
      <c r="L236" s="5"/>
      <c r="M236" s="5"/>
      <c r="N236" s="5"/>
      <c r="O236" s="5"/>
      <c r="P236" s="5"/>
      <c r="Q236" s="5"/>
      <c r="R236" s="5"/>
      <c r="S236" s="5"/>
      <c r="T236" s="5"/>
      <c r="U236" s="5"/>
      <c r="V236" s="5"/>
      <c r="W236" s="5"/>
      <c r="X236" s="5"/>
      <c r="Y236" s="5"/>
    </row>
    <row r="237" spans="1:25" ht="15" thickBot="1" x14ac:dyDescent="0.35">
      <c r="A237" s="27">
        <v>235</v>
      </c>
      <c r="B237" s="21">
        <v>236</v>
      </c>
      <c r="C237" s="22">
        <v>0.1515</v>
      </c>
      <c r="D237" s="21">
        <v>0.55000000000000004</v>
      </c>
      <c r="E237" s="21">
        <v>0.19400000000000001</v>
      </c>
      <c r="F237" s="21">
        <v>0</v>
      </c>
      <c r="G237" s="21">
        <v>3</v>
      </c>
      <c r="H237" s="23">
        <v>3</v>
      </c>
      <c r="I237" s="23">
        <v>0.1515</v>
      </c>
      <c r="J237" s="18"/>
      <c r="K237" s="5"/>
      <c r="L237" s="5"/>
      <c r="M237" s="5"/>
      <c r="N237" s="5"/>
      <c r="O237" s="5"/>
      <c r="P237" s="5"/>
      <c r="Q237" s="5"/>
      <c r="R237" s="5"/>
      <c r="S237" s="5"/>
      <c r="T237" s="5"/>
      <c r="U237" s="5"/>
      <c r="V237" s="5"/>
      <c r="W237" s="5"/>
      <c r="X237" s="5"/>
      <c r="Y237" s="5"/>
    </row>
    <row r="238" spans="1:25" ht="15" thickBot="1" x14ac:dyDescent="0.35">
      <c r="A238" s="27">
        <v>236</v>
      </c>
      <c r="B238" s="21">
        <v>237</v>
      </c>
      <c r="C238" s="22">
        <v>0.18179999999999999</v>
      </c>
      <c r="D238" s="21">
        <v>0.55000000000000004</v>
      </c>
      <c r="E238" s="21">
        <v>0.1343</v>
      </c>
      <c r="F238" s="21">
        <v>0</v>
      </c>
      <c r="G238" s="21">
        <v>6</v>
      </c>
      <c r="H238" s="23">
        <v>6</v>
      </c>
      <c r="I238" s="23">
        <v>0.18179999999999999</v>
      </c>
      <c r="J238" s="18"/>
      <c r="K238" s="5"/>
      <c r="L238" s="5"/>
      <c r="M238" s="5"/>
      <c r="N238" s="5"/>
      <c r="O238" s="5"/>
      <c r="P238" s="5"/>
      <c r="Q238" s="5"/>
      <c r="R238" s="5"/>
      <c r="S238" s="5"/>
      <c r="T238" s="5"/>
      <c r="U238" s="5"/>
      <c r="V238" s="5"/>
      <c r="W238" s="5"/>
      <c r="X238" s="5"/>
      <c r="Y238" s="5"/>
    </row>
    <row r="239" spans="1:25" ht="15" thickBot="1" x14ac:dyDescent="0.35">
      <c r="A239" s="27">
        <v>237</v>
      </c>
      <c r="B239" s="21">
        <v>238</v>
      </c>
      <c r="C239" s="22">
        <v>0.18179999999999999</v>
      </c>
      <c r="D239" s="21">
        <v>0.55000000000000004</v>
      </c>
      <c r="E239" s="21">
        <v>0.1343</v>
      </c>
      <c r="F239" s="21">
        <v>0</v>
      </c>
      <c r="G239" s="21">
        <v>27</v>
      </c>
      <c r="H239" s="23">
        <v>27</v>
      </c>
      <c r="I239" s="23">
        <v>0.18179999999999999</v>
      </c>
      <c r="J239" s="18"/>
      <c r="K239" s="5"/>
      <c r="L239" s="5"/>
      <c r="M239" s="5"/>
      <c r="N239" s="5"/>
      <c r="O239" s="5"/>
      <c r="P239" s="5"/>
      <c r="Q239" s="5"/>
      <c r="R239" s="5"/>
      <c r="S239" s="5"/>
      <c r="T239" s="5"/>
      <c r="U239" s="5"/>
      <c r="V239" s="5"/>
      <c r="W239" s="5"/>
      <c r="X239" s="5"/>
      <c r="Y239" s="5"/>
    </row>
    <row r="240" spans="1:25" ht="15" thickBot="1" x14ac:dyDescent="0.35">
      <c r="A240" s="27">
        <v>238</v>
      </c>
      <c r="B240" s="21">
        <v>239</v>
      </c>
      <c r="C240" s="22">
        <v>0.2273</v>
      </c>
      <c r="D240" s="21">
        <v>0.55000000000000004</v>
      </c>
      <c r="E240" s="22">
        <v>0.20485098360655737</v>
      </c>
      <c r="F240" s="21">
        <v>2</v>
      </c>
      <c r="G240" s="21">
        <v>97</v>
      </c>
      <c r="H240" s="23">
        <v>99</v>
      </c>
      <c r="I240" s="23">
        <v>0.2273</v>
      </c>
      <c r="J240" s="18"/>
      <c r="K240" s="5"/>
      <c r="L240" s="5"/>
      <c r="M240" s="5"/>
      <c r="N240" s="5"/>
      <c r="O240" s="5"/>
      <c r="P240" s="5"/>
      <c r="Q240" s="5"/>
      <c r="R240" s="5"/>
      <c r="S240" s="5"/>
      <c r="T240" s="5"/>
      <c r="U240" s="5"/>
      <c r="V240" s="5"/>
      <c r="W240" s="5"/>
      <c r="X240" s="5"/>
      <c r="Y240" s="5"/>
    </row>
    <row r="241" spans="1:25" ht="15" thickBot="1" x14ac:dyDescent="0.35">
      <c r="A241" s="27">
        <v>239</v>
      </c>
      <c r="B241" s="21">
        <v>240</v>
      </c>
      <c r="C241" s="22">
        <v>0.21210000000000001</v>
      </c>
      <c r="D241" s="21">
        <v>0.51</v>
      </c>
      <c r="E241" s="21">
        <v>8.9599999999999999E-2</v>
      </c>
      <c r="F241" s="21">
        <v>3</v>
      </c>
      <c r="G241" s="21">
        <v>214</v>
      </c>
      <c r="H241" s="23">
        <v>217</v>
      </c>
      <c r="I241" s="23">
        <v>0.21210000000000001</v>
      </c>
      <c r="J241" s="18"/>
      <c r="K241" s="5"/>
      <c r="L241" s="5"/>
      <c r="M241" s="5"/>
      <c r="N241" s="5"/>
      <c r="O241" s="5"/>
      <c r="P241" s="5"/>
      <c r="Q241" s="5"/>
      <c r="R241" s="5"/>
      <c r="S241" s="5"/>
      <c r="T241" s="5"/>
      <c r="U241" s="5"/>
      <c r="V241" s="5"/>
      <c r="W241" s="5"/>
      <c r="X241" s="5"/>
      <c r="Y241" s="5"/>
    </row>
    <row r="242" spans="1:25" ht="15" thickBot="1" x14ac:dyDescent="0.35">
      <c r="A242" s="27">
        <v>240</v>
      </c>
      <c r="B242" s="21">
        <v>241</v>
      </c>
      <c r="C242" s="22">
        <v>0.19700000000000001</v>
      </c>
      <c r="D242" s="21">
        <v>0.51</v>
      </c>
      <c r="E242" s="21">
        <v>0.16420000000000001</v>
      </c>
      <c r="F242" s="21">
        <v>3</v>
      </c>
      <c r="G242" s="21">
        <v>127</v>
      </c>
      <c r="H242" s="23">
        <v>130</v>
      </c>
      <c r="I242" s="23">
        <v>0.19700000000000001</v>
      </c>
      <c r="J242" s="18"/>
      <c r="K242" s="5"/>
      <c r="L242" s="5"/>
      <c r="M242" s="5"/>
      <c r="N242" s="5"/>
      <c r="O242" s="5"/>
      <c r="P242" s="5"/>
      <c r="Q242" s="5"/>
      <c r="R242" s="5"/>
      <c r="S242" s="5"/>
      <c r="T242" s="5"/>
      <c r="U242" s="5"/>
      <c r="V242" s="5"/>
      <c r="W242" s="5"/>
      <c r="X242" s="5"/>
      <c r="Y242" s="5"/>
    </row>
    <row r="243" spans="1:25" ht="15" thickBot="1" x14ac:dyDescent="0.35">
      <c r="A243" s="27">
        <v>241</v>
      </c>
      <c r="B243" s="21">
        <v>242</v>
      </c>
      <c r="C243" s="22">
        <v>0.21210000000000001</v>
      </c>
      <c r="D243" s="21">
        <v>0.51</v>
      </c>
      <c r="E243" s="21">
        <v>0.16420000000000001</v>
      </c>
      <c r="F243" s="21">
        <v>3</v>
      </c>
      <c r="G243" s="21">
        <v>51</v>
      </c>
      <c r="H243" s="23">
        <v>54</v>
      </c>
      <c r="I243" s="23">
        <v>0.21210000000000001</v>
      </c>
      <c r="J243" s="18"/>
      <c r="K243" s="5"/>
      <c r="L243" s="5"/>
      <c r="M243" s="5"/>
      <c r="N243" s="5"/>
      <c r="O243" s="5"/>
      <c r="P243" s="5"/>
      <c r="Q243" s="5"/>
      <c r="R243" s="5"/>
      <c r="S243" s="5"/>
      <c r="T243" s="5"/>
      <c r="U243" s="5"/>
      <c r="V243" s="5"/>
      <c r="W243" s="5"/>
      <c r="X243" s="5"/>
      <c r="Y243" s="5"/>
    </row>
    <row r="244" spans="1:25" ht="15" thickBot="1" x14ac:dyDescent="0.35">
      <c r="A244" s="27">
        <v>242</v>
      </c>
      <c r="B244" s="21">
        <v>243</v>
      </c>
      <c r="C244" s="22">
        <v>0.21210000000000001</v>
      </c>
      <c r="D244" s="21">
        <v>0.47</v>
      </c>
      <c r="E244" s="21">
        <v>0.1343</v>
      </c>
      <c r="F244" s="21">
        <v>4</v>
      </c>
      <c r="G244" s="21">
        <v>31</v>
      </c>
      <c r="H244" s="23">
        <v>35</v>
      </c>
      <c r="I244" s="23">
        <v>0.21210000000000001</v>
      </c>
      <c r="J244" s="18"/>
      <c r="K244" s="5"/>
      <c r="L244" s="5"/>
      <c r="M244" s="5"/>
      <c r="N244" s="5"/>
      <c r="O244" s="5"/>
      <c r="P244" s="5"/>
      <c r="Q244" s="5"/>
      <c r="R244" s="5"/>
      <c r="S244" s="5"/>
      <c r="T244" s="5"/>
      <c r="U244" s="5"/>
      <c r="V244" s="5"/>
      <c r="W244" s="5"/>
      <c r="X244" s="5"/>
      <c r="Y244" s="5"/>
    </row>
    <row r="245" spans="1:25" ht="15" thickBot="1" x14ac:dyDescent="0.35">
      <c r="A245" s="27">
        <v>243</v>
      </c>
      <c r="B245" s="21">
        <v>244</v>
      </c>
      <c r="C245" s="22">
        <v>0.2273</v>
      </c>
      <c r="D245" s="21">
        <v>0.51</v>
      </c>
      <c r="E245" s="21">
        <v>0.1045</v>
      </c>
      <c r="F245" s="21">
        <v>2</v>
      </c>
      <c r="G245" s="21">
        <v>55</v>
      </c>
      <c r="H245" s="23">
        <v>57</v>
      </c>
      <c r="I245" s="23">
        <v>0.2273</v>
      </c>
      <c r="J245" s="18"/>
      <c r="K245" s="5"/>
      <c r="L245" s="5"/>
      <c r="M245" s="5"/>
      <c r="N245" s="5"/>
      <c r="O245" s="5"/>
      <c r="P245" s="5"/>
      <c r="Q245" s="5"/>
      <c r="R245" s="5"/>
      <c r="S245" s="5"/>
      <c r="T245" s="5"/>
      <c r="U245" s="5"/>
      <c r="V245" s="5"/>
      <c r="W245" s="5"/>
      <c r="X245" s="5"/>
      <c r="Y245" s="5"/>
    </row>
    <row r="246" spans="1:25" ht="15" thickBot="1" x14ac:dyDescent="0.35">
      <c r="A246" s="27">
        <v>244</v>
      </c>
      <c r="B246" s="21">
        <v>245</v>
      </c>
      <c r="C246" s="22">
        <v>0.2273</v>
      </c>
      <c r="D246" s="21">
        <v>0.59</v>
      </c>
      <c r="E246" s="21">
        <v>8.9599999999999999E-2</v>
      </c>
      <c r="F246" s="21">
        <v>6</v>
      </c>
      <c r="G246" s="21">
        <v>46</v>
      </c>
      <c r="H246" s="23">
        <v>52</v>
      </c>
      <c r="I246" s="23">
        <v>0.2273</v>
      </c>
      <c r="J246" s="18"/>
      <c r="K246" s="5"/>
      <c r="L246" s="5"/>
      <c r="M246" s="5"/>
      <c r="N246" s="5"/>
      <c r="O246" s="5"/>
      <c r="P246" s="5"/>
      <c r="Q246" s="5"/>
      <c r="R246" s="5"/>
      <c r="S246" s="5"/>
      <c r="T246" s="5"/>
      <c r="U246" s="5"/>
      <c r="V246" s="5"/>
      <c r="W246" s="5"/>
      <c r="X246" s="5"/>
      <c r="Y246" s="5"/>
    </row>
    <row r="247" spans="1:25" ht="15" thickBot="1" x14ac:dyDescent="0.35">
      <c r="A247" s="27">
        <v>245</v>
      </c>
      <c r="B247" s="21">
        <v>246</v>
      </c>
      <c r="C247" s="22">
        <v>0.2273</v>
      </c>
      <c r="D247" s="21">
        <v>0.59</v>
      </c>
      <c r="E247" s="21">
        <v>8.9599999999999999E-2</v>
      </c>
      <c r="F247" s="21">
        <v>3</v>
      </c>
      <c r="G247" s="21">
        <v>60</v>
      </c>
      <c r="H247" s="23">
        <v>63</v>
      </c>
      <c r="I247" s="23">
        <v>0.2273</v>
      </c>
      <c r="J247" s="18"/>
      <c r="K247" s="5"/>
      <c r="L247" s="5"/>
      <c r="M247" s="5"/>
      <c r="N247" s="5"/>
      <c r="O247" s="5"/>
      <c r="P247" s="5"/>
      <c r="Q247" s="5"/>
      <c r="R247" s="5"/>
      <c r="S247" s="5"/>
      <c r="T247" s="5"/>
      <c r="U247" s="5"/>
      <c r="V247" s="5"/>
      <c r="W247" s="5"/>
      <c r="X247" s="5"/>
      <c r="Y247" s="5"/>
    </row>
    <row r="248" spans="1:25" ht="15" thickBot="1" x14ac:dyDescent="0.35">
      <c r="A248" s="27">
        <v>246</v>
      </c>
      <c r="B248" s="21">
        <v>247</v>
      </c>
      <c r="C248" s="22">
        <v>0.19700000000000001</v>
      </c>
      <c r="D248" s="21">
        <v>0.8</v>
      </c>
      <c r="E248" s="21">
        <v>8.9599999999999999E-2</v>
      </c>
      <c r="F248" s="21">
        <v>2</v>
      </c>
      <c r="G248" s="21">
        <v>45</v>
      </c>
      <c r="H248" s="23">
        <v>47</v>
      </c>
      <c r="I248" s="23">
        <v>0.19700000000000001</v>
      </c>
      <c r="J248" s="18"/>
      <c r="K248" s="5"/>
      <c r="L248" s="5"/>
      <c r="M248" s="5"/>
      <c r="N248" s="5"/>
      <c r="O248" s="5"/>
      <c r="P248" s="5"/>
      <c r="Q248" s="5"/>
      <c r="R248" s="5"/>
      <c r="S248" s="5"/>
      <c r="T248" s="5"/>
      <c r="U248" s="5"/>
      <c r="V248" s="5"/>
      <c r="W248" s="5"/>
      <c r="X248" s="5"/>
      <c r="Y248" s="5"/>
    </row>
    <row r="249" spans="1:25" ht="15" thickBot="1" x14ac:dyDescent="0.35">
      <c r="A249" s="27">
        <v>247</v>
      </c>
      <c r="B249" s="21">
        <v>248</v>
      </c>
      <c r="C249" s="22">
        <v>0.1515</v>
      </c>
      <c r="D249" s="21">
        <v>0.86</v>
      </c>
      <c r="E249" s="21">
        <v>0.22389999999999999</v>
      </c>
      <c r="F249" s="21">
        <v>4</v>
      </c>
      <c r="G249" s="21">
        <v>72</v>
      </c>
      <c r="H249" s="23">
        <v>76</v>
      </c>
      <c r="I249" s="23">
        <v>0.1515</v>
      </c>
      <c r="J249" s="18"/>
      <c r="K249" s="5"/>
      <c r="L249" s="5"/>
      <c r="M249" s="5"/>
      <c r="N249" s="5"/>
      <c r="O249" s="5"/>
      <c r="P249" s="5"/>
      <c r="Q249" s="5"/>
      <c r="R249" s="5"/>
      <c r="S249" s="5"/>
      <c r="T249" s="5"/>
      <c r="U249" s="5"/>
      <c r="V249" s="5"/>
      <c r="W249" s="5"/>
      <c r="X249" s="5"/>
      <c r="Y249" s="5"/>
    </row>
    <row r="250" spans="1:25" ht="15" thickBot="1" x14ac:dyDescent="0.35">
      <c r="A250" s="27">
        <v>248</v>
      </c>
      <c r="B250" s="21">
        <v>249</v>
      </c>
      <c r="C250" s="22">
        <v>0.1515</v>
      </c>
      <c r="D250" s="21">
        <v>0.86</v>
      </c>
      <c r="E250" s="21">
        <v>0.22389999999999999</v>
      </c>
      <c r="F250" s="21">
        <v>6</v>
      </c>
      <c r="G250" s="21">
        <v>130</v>
      </c>
      <c r="H250" s="23">
        <v>136</v>
      </c>
      <c r="I250" s="23">
        <v>0.1515</v>
      </c>
      <c r="J250" s="18"/>
      <c r="K250" s="5"/>
      <c r="L250" s="5"/>
      <c r="M250" s="5"/>
      <c r="N250" s="5"/>
      <c r="O250" s="5"/>
      <c r="P250" s="5"/>
      <c r="Q250" s="5"/>
      <c r="R250" s="5"/>
      <c r="S250" s="5"/>
      <c r="T250" s="5"/>
      <c r="U250" s="5"/>
      <c r="V250" s="5"/>
      <c r="W250" s="5"/>
      <c r="X250" s="5"/>
      <c r="Y250" s="5"/>
    </row>
    <row r="251" spans="1:25" ht="15" thickBot="1" x14ac:dyDescent="0.35">
      <c r="A251" s="27">
        <v>249</v>
      </c>
      <c r="B251" s="21">
        <v>250</v>
      </c>
      <c r="C251" s="22">
        <v>0.18179999999999999</v>
      </c>
      <c r="D251" s="21">
        <v>0.93</v>
      </c>
      <c r="E251" s="21">
        <v>0.1045</v>
      </c>
      <c r="F251" s="21">
        <v>1</v>
      </c>
      <c r="G251" s="21">
        <v>94</v>
      </c>
      <c r="H251" s="23">
        <v>95</v>
      </c>
      <c r="I251" s="23">
        <v>0.18179999999999999</v>
      </c>
      <c r="J251" s="18"/>
      <c r="K251" s="5"/>
      <c r="L251" s="5"/>
      <c r="M251" s="5"/>
      <c r="N251" s="5"/>
      <c r="O251" s="5"/>
      <c r="P251" s="5"/>
      <c r="Q251" s="5"/>
      <c r="R251" s="5"/>
      <c r="S251" s="5"/>
      <c r="T251" s="5"/>
      <c r="U251" s="5"/>
      <c r="V251" s="5"/>
      <c r="W251" s="5"/>
      <c r="X251" s="5"/>
      <c r="Y251" s="5"/>
    </row>
    <row r="252" spans="1:25" ht="15" thickBot="1" x14ac:dyDescent="0.35">
      <c r="A252" s="27">
        <v>250</v>
      </c>
      <c r="B252" s="21">
        <v>251</v>
      </c>
      <c r="C252" s="22">
        <v>0.2273</v>
      </c>
      <c r="D252" s="21">
        <v>0.93</v>
      </c>
      <c r="E252" s="22">
        <v>0.20485098360655737</v>
      </c>
      <c r="F252" s="21">
        <v>0</v>
      </c>
      <c r="G252" s="21">
        <v>51</v>
      </c>
      <c r="H252" s="23">
        <v>51</v>
      </c>
      <c r="I252" s="23">
        <v>0.2273</v>
      </c>
      <c r="J252" s="18"/>
      <c r="K252" s="5"/>
      <c r="L252" s="5"/>
      <c r="M252" s="5"/>
      <c r="N252" s="5"/>
      <c r="O252" s="5"/>
      <c r="P252" s="5"/>
      <c r="Q252" s="5"/>
      <c r="R252" s="5"/>
      <c r="S252" s="5"/>
      <c r="T252" s="5"/>
      <c r="U252" s="5"/>
      <c r="V252" s="5"/>
      <c r="W252" s="5"/>
      <c r="X252" s="5"/>
      <c r="Y252" s="5"/>
    </row>
    <row r="253" spans="1:25" ht="15" thickBot="1" x14ac:dyDescent="0.35">
      <c r="A253" s="27">
        <v>251</v>
      </c>
      <c r="B253" s="21">
        <v>252</v>
      </c>
      <c r="C253" s="22">
        <v>0.1515</v>
      </c>
      <c r="D253" s="21">
        <v>0.93</v>
      </c>
      <c r="E253" s="21">
        <v>0.19400000000000001</v>
      </c>
      <c r="F253" s="21">
        <v>0</v>
      </c>
      <c r="G253" s="21">
        <v>32</v>
      </c>
      <c r="H253" s="23">
        <v>32</v>
      </c>
      <c r="I253" s="23">
        <v>0.1515</v>
      </c>
      <c r="J253" s="18"/>
      <c r="K253" s="5"/>
      <c r="L253" s="5"/>
      <c r="M253" s="5"/>
      <c r="N253" s="5"/>
      <c r="O253" s="5"/>
      <c r="P253" s="5"/>
      <c r="Q253" s="5"/>
      <c r="R253" s="5"/>
      <c r="S253" s="5"/>
      <c r="T253" s="5"/>
      <c r="U253" s="5"/>
      <c r="V253" s="5"/>
      <c r="W253" s="5"/>
      <c r="X253" s="5"/>
      <c r="Y253" s="5"/>
    </row>
    <row r="254" spans="1:25" ht="15" thickBot="1" x14ac:dyDescent="0.35">
      <c r="A254" s="27">
        <v>252</v>
      </c>
      <c r="B254" s="21">
        <v>253</v>
      </c>
      <c r="C254" s="22">
        <v>0.19700000000000001</v>
      </c>
      <c r="D254" s="21">
        <v>0.86</v>
      </c>
      <c r="E254" s="21">
        <v>8.9599999999999999E-2</v>
      </c>
      <c r="F254" s="21">
        <v>0</v>
      </c>
      <c r="G254" s="21">
        <v>20</v>
      </c>
      <c r="H254" s="23">
        <v>20</v>
      </c>
      <c r="I254" s="23">
        <v>0.19700000000000001</v>
      </c>
      <c r="J254" s="18"/>
      <c r="K254" s="5"/>
      <c r="L254" s="5"/>
      <c r="M254" s="5"/>
      <c r="N254" s="5"/>
      <c r="O254" s="5"/>
      <c r="P254" s="5"/>
      <c r="Q254" s="5"/>
      <c r="R254" s="5"/>
      <c r="S254" s="5"/>
      <c r="T254" s="5"/>
      <c r="U254" s="5"/>
      <c r="V254" s="5"/>
      <c r="W254" s="5"/>
      <c r="X254" s="5"/>
      <c r="Y254" s="5"/>
    </row>
    <row r="255" spans="1:25" ht="15" thickBot="1" x14ac:dyDescent="0.35">
      <c r="A255" s="27">
        <v>253</v>
      </c>
      <c r="B255" s="21">
        <v>254</v>
      </c>
      <c r="C255" s="22">
        <v>0.18179999999999999</v>
      </c>
      <c r="D255" s="21">
        <v>0.93</v>
      </c>
      <c r="E255" s="21">
        <v>0.1045</v>
      </c>
      <c r="F255" s="21">
        <v>1</v>
      </c>
      <c r="G255" s="21">
        <v>28</v>
      </c>
      <c r="H255" s="23">
        <v>29</v>
      </c>
      <c r="I255" s="23">
        <v>0.18179999999999999</v>
      </c>
      <c r="J255" s="18"/>
      <c r="K255" s="5"/>
      <c r="L255" s="5"/>
      <c r="M255" s="5"/>
      <c r="N255" s="5"/>
      <c r="O255" s="5"/>
      <c r="P255" s="5"/>
      <c r="Q255" s="5"/>
      <c r="R255" s="5"/>
      <c r="S255" s="5"/>
      <c r="T255" s="5"/>
      <c r="U255" s="5"/>
      <c r="V255" s="5"/>
      <c r="W255" s="5"/>
      <c r="X255" s="5"/>
      <c r="Y255" s="5"/>
    </row>
    <row r="256" spans="1:25" ht="15" thickBot="1" x14ac:dyDescent="0.35">
      <c r="A256" s="27">
        <v>254</v>
      </c>
      <c r="B256" s="21">
        <v>255</v>
      </c>
      <c r="C256" s="22">
        <v>0.19700000000000001</v>
      </c>
      <c r="D256" s="21">
        <v>0.93</v>
      </c>
      <c r="E256" s="21">
        <v>8.9599999999999999E-2</v>
      </c>
      <c r="F256" s="21">
        <v>1</v>
      </c>
      <c r="G256" s="21">
        <v>18</v>
      </c>
      <c r="H256" s="23">
        <v>19</v>
      </c>
      <c r="I256" s="23">
        <v>0.19700000000000001</v>
      </c>
      <c r="J256" s="18"/>
      <c r="K256" s="5"/>
      <c r="L256" s="5"/>
      <c r="M256" s="5"/>
      <c r="N256" s="5"/>
      <c r="O256" s="5"/>
      <c r="P256" s="5"/>
      <c r="Q256" s="5"/>
      <c r="R256" s="5"/>
      <c r="S256" s="5"/>
      <c r="T256" s="5"/>
      <c r="U256" s="5"/>
      <c r="V256" s="5"/>
      <c r="W256" s="5"/>
      <c r="X256" s="5"/>
      <c r="Y256" s="5"/>
    </row>
    <row r="257" spans="1:25" ht="15" thickBot="1" x14ac:dyDescent="0.35">
      <c r="A257" s="27">
        <v>255</v>
      </c>
      <c r="B257" s="21">
        <v>256</v>
      </c>
      <c r="C257" s="22">
        <v>0.19700000000000001</v>
      </c>
      <c r="D257" s="21">
        <v>0.86</v>
      </c>
      <c r="E257" s="21">
        <v>8.9599999999999999E-2</v>
      </c>
      <c r="F257" s="21">
        <v>0</v>
      </c>
      <c r="G257" s="21">
        <v>7</v>
      </c>
      <c r="H257" s="23">
        <v>7</v>
      </c>
      <c r="I257" s="23">
        <v>0.19700000000000001</v>
      </c>
      <c r="J257" s="18"/>
      <c r="K257" s="5"/>
      <c r="L257" s="5"/>
      <c r="M257" s="5"/>
      <c r="N257" s="5"/>
      <c r="O257" s="5"/>
      <c r="P257" s="5"/>
      <c r="Q257" s="5"/>
      <c r="R257" s="5"/>
      <c r="S257" s="5"/>
      <c r="T257" s="5"/>
      <c r="U257" s="5"/>
      <c r="V257" s="5"/>
      <c r="W257" s="5"/>
      <c r="X257" s="5"/>
      <c r="Y257" s="5"/>
    </row>
    <row r="258" spans="1:25" ht="15" thickBot="1" x14ac:dyDescent="0.35">
      <c r="A258" s="27">
        <v>256</v>
      </c>
      <c r="B258" s="21">
        <v>257</v>
      </c>
      <c r="C258" s="22">
        <v>0.18179999999999999</v>
      </c>
      <c r="D258" s="21">
        <v>0.86</v>
      </c>
      <c r="E258" s="21">
        <v>0.1045</v>
      </c>
      <c r="F258" s="21">
        <v>0</v>
      </c>
      <c r="G258" s="21">
        <v>6</v>
      </c>
      <c r="H258" s="23">
        <v>6</v>
      </c>
      <c r="I258" s="23">
        <v>0.18179999999999999</v>
      </c>
      <c r="J258" s="18"/>
      <c r="K258" s="5"/>
      <c r="L258" s="5"/>
      <c r="M258" s="5"/>
      <c r="N258" s="5"/>
      <c r="O258" s="5"/>
      <c r="P258" s="5"/>
      <c r="Q258" s="5"/>
      <c r="R258" s="5"/>
      <c r="S258" s="5"/>
      <c r="T258" s="5"/>
      <c r="U258" s="5"/>
      <c r="V258" s="5"/>
      <c r="W258" s="5"/>
      <c r="X258" s="5"/>
      <c r="Y258" s="5"/>
    </row>
    <row r="259" spans="1:25" ht="15" thickBot="1" x14ac:dyDescent="0.35">
      <c r="A259" s="27">
        <v>257</v>
      </c>
      <c r="B259" s="21">
        <v>258</v>
      </c>
      <c r="C259" s="22">
        <v>0.1515</v>
      </c>
      <c r="D259" s="21">
        <v>0.86</v>
      </c>
      <c r="E259" s="21">
        <v>0.1343</v>
      </c>
      <c r="F259" s="21">
        <v>0</v>
      </c>
      <c r="G259" s="21">
        <v>1</v>
      </c>
      <c r="H259" s="23">
        <v>1</v>
      </c>
      <c r="I259" s="23">
        <v>0.1515</v>
      </c>
      <c r="J259" s="18"/>
      <c r="K259" s="5"/>
      <c r="L259" s="5"/>
      <c r="M259" s="5"/>
      <c r="N259" s="5"/>
      <c r="O259" s="5"/>
      <c r="P259" s="5"/>
      <c r="Q259" s="5"/>
      <c r="R259" s="5"/>
      <c r="S259" s="5"/>
      <c r="T259" s="5"/>
      <c r="U259" s="5"/>
      <c r="V259" s="5"/>
      <c r="W259" s="5"/>
      <c r="X259" s="5"/>
      <c r="Y259" s="5"/>
    </row>
    <row r="260" spans="1:25" ht="15" thickBot="1" x14ac:dyDescent="0.35">
      <c r="A260" s="27">
        <v>258</v>
      </c>
      <c r="B260" s="21">
        <v>259</v>
      </c>
      <c r="C260" s="22">
        <v>0.1515</v>
      </c>
      <c r="D260" s="21">
        <v>0.86</v>
      </c>
      <c r="E260" s="21">
        <v>0.16420000000000001</v>
      </c>
      <c r="F260" s="21">
        <v>0</v>
      </c>
      <c r="G260" s="21">
        <v>5</v>
      </c>
      <c r="H260" s="23">
        <v>5</v>
      </c>
      <c r="I260" s="23">
        <v>0.1515</v>
      </c>
      <c r="J260" s="18"/>
      <c r="K260" s="5"/>
      <c r="L260" s="5"/>
      <c r="M260" s="5"/>
      <c r="N260" s="5"/>
      <c r="O260" s="5"/>
      <c r="P260" s="5"/>
      <c r="Q260" s="5"/>
      <c r="R260" s="5"/>
      <c r="S260" s="5"/>
      <c r="T260" s="5"/>
      <c r="U260" s="5"/>
      <c r="V260" s="5"/>
      <c r="W260" s="5"/>
      <c r="X260" s="5"/>
      <c r="Y260" s="5"/>
    </row>
    <row r="261" spans="1:25" ht="15" thickBot="1" x14ac:dyDescent="0.35">
      <c r="A261" s="27">
        <v>259</v>
      </c>
      <c r="B261" s="21">
        <v>260</v>
      </c>
      <c r="C261" s="22">
        <v>0.1515</v>
      </c>
      <c r="D261" s="21">
        <v>0.93</v>
      </c>
      <c r="E261" s="21">
        <v>0.1343</v>
      </c>
      <c r="F261" s="21">
        <v>0</v>
      </c>
      <c r="G261" s="21">
        <v>16</v>
      </c>
      <c r="H261" s="23">
        <v>16</v>
      </c>
      <c r="I261" s="23">
        <v>0.1515</v>
      </c>
      <c r="J261" s="18"/>
      <c r="K261" s="5"/>
      <c r="L261" s="5"/>
      <c r="M261" s="5"/>
      <c r="N261" s="5"/>
      <c r="O261" s="5"/>
      <c r="P261" s="5"/>
      <c r="Q261" s="5"/>
      <c r="R261" s="5"/>
      <c r="S261" s="5"/>
      <c r="T261" s="5"/>
      <c r="U261" s="5"/>
      <c r="V261" s="5"/>
      <c r="W261" s="5"/>
      <c r="X261" s="5"/>
      <c r="Y261" s="5"/>
    </row>
    <row r="262" spans="1:25" ht="15" thickBot="1" x14ac:dyDescent="0.35">
      <c r="A262" s="27">
        <v>260</v>
      </c>
      <c r="B262" s="21">
        <v>261</v>
      </c>
      <c r="C262" s="22">
        <v>0.1515</v>
      </c>
      <c r="D262" s="21">
        <v>0.69</v>
      </c>
      <c r="E262" s="21">
        <v>0.1343</v>
      </c>
      <c r="F262" s="21">
        <v>0</v>
      </c>
      <c r="G262" s="21">
        <v>54</v>
      </c>
      <c r="H262" s="23">
        <v>54</v>
      </c>
      <c r="I262" s="23">
        <v>0.1515</v>
      </c>
      <c r="J262" s="18"/>
      <c r="K262" s="5"/>
      <c r="L262" s="5"/>
      <c r="M262" s="5"/>
      <c r="N262" s="5"/>
      <c r="O262" s="5"/>
      <c r="P262" s="5"/>
      <c r="Q262" s="5"/>
      <c r="R262" s="5"/>
      <c r="S262" s="5"/>
      <c r="T262" s="5"/>
      <c r="U262" s="5"/>
      <c r="V262" s="5"/>
      <c r="W262" s="5"/>
      <c r="X262" s="5"/>
      <c r="Y262" s="5"/>
    </row>
    <row r="263" spans="1:25" ht="15" thickBot="1" x14ac:dyDescent="0.35">
      <c r="A263" s="27">
        <v>261</v>
      </c>
      <c r="B263" s="21">
        <v>262</v>
      </c>
      <c r="C263" s="22">
        <v>0.16669999999999999</v>
      </c>
      <c r="D263" s="21">
        <v>0.59</v>
      </c>
      <c r="E263" s="21">
        <v>0.16420000000000001</v>
      </c>
      <c r="F263" s="21">
        <v>3</v>
      </c>
      <c r="G263" s="21">
        <v>125</v>
      </c>
      <c r="H263" s="23">
        <v>128</v>
      </c>
      <c r="I263" s="23">
        <v>0.16669999999999999</v>
      </c>
      <c r="J263" s="18"/>
      <c r="K263" s="5"/>
      <c r="L263" s="5"/>
      <c r="M263" s="5"/>
      <c r="N263" s="5"/>
      <c r="O263" s="5"/>
      <c r="P263" s="5"/>
      <c r="Q263" s="5"/>
      <c r="R263" s="5"/>
      <c r="S263" s="5"/>
      <c r="T263" s="5"/>
      <c r="U263" s="5"/>
      <c r="V263" s="5"/>
      <c r="W263" s="5"/>
      <c r="X263" s="5"/>
      <c r="Y263" s="5"/>
    </row>
    <row r="264" spans="1:25" ht="15" thickBot="1" x14ac:dyDescent="0.35">
      <c r="A264" s="27">
        <v>262</v>
      </c>
      <c r="B264" s="21">
        <v>263</v>
      </c>
      <c r="C264" s="22">
        <v>0.13639999999999999</v>
      </c>
      <c r="D264" s="21">
        <v>0.59</v>
      </c>
      <c r="E264" s="21">
        <v>0.32840000000000003</v>
      </c>
      <c r="F264" s="21">
        <v>3</v>
      </c>
      <c r="G264" s="21">
        <v>78</v>
      </c>
      <c r="H264" s="23">
        <v>81</v>
      </c>
      <c r="I264" s="23">
        <v>0.13639999999999999</v>
      </c>
      <c r="J264" s="18"/>
      <c r="K264" s="5"/>
      <c r="L264" s="5"/>
      <c r="M264" s="5"/>
      <c r="N264" s="5"/>
      <c r="O264" s="5"/>
      <c r="P264" s="5"/>
      <c r="Q264" s="5"/>
      <c r="R264" s="5"/>
      <c r="S264" s="5"/>
      <c r="T264" s="5"/>
      <c r="U264" s="5"/>
      <c r="V264" s="5"/>
      <c r="W264" s="5"/>
      <c r="X264" s="5"/>
      <c r="Y264" s="5"/>
    </row>
    <row r="265" spans="1:25" ht="15" thickBot="1" x14ac:dyDescent="0.35">
      <c r="A265" s="27">
        <v>263</v>
      </c>
      <c r="B265" s="21">
        <v>264</v>
      </c>
      <c r="C265" s="22">
        <v>0.18179999999999999</v>
      </c>
      <c r="D265" s="21">
        <v>0.55000000000000004</v>
      </c>
      <c r="E265" s="21">
        <v>0.22389999999999999</v>
      </c>
      <c r="F265" s="21">
        <v>0</v>
      </c>
      <c r="G265" s="21">
        <v>39</v>
      </c>
      <c r="H265" s="23">
        <v>39</v>
      </c>
      <c r="I265" s="23">
        <v>0.18179999999999999</v>
      </c>
      <c r="J265" s="18"/>
      <c r="K265" s="5"/>
      <c r="L265" s="5"/>
      <c r="M265" s="5"/>
      <c r="N265" s="5"/>
      <c r="O265" s="5"/>
      <c r="P265" s="5"/>
      <c r="Q265" s="5"/>
      <c r="R265" s="5"/>
      <c r="S265" s="5"/>
      <c r="T265" s="5"/>
      <c r="U265" s="5"/>
      <c r="V265" s="5"/>
      <c r="W265" s="5"/>
      <c r="X265" s="5"/>
      <c r="Y265" s="5"/>
    </row>
    <row r="266" spans="1:25" ht="15" thickBot="1" x14ac:dyDescent="0.35">
      <c r="A266" s="27">
        <v>264</v>
      </c>
      <c r="B266" s="21">
        <v>265</v>
      </c>
      <c r="C266" s="22">
        <v>0.18179999999999999</v>
      </c>
      <c r="D266" s="21">
        <v>0.51</v>
      </c>
      <c r="E266" s="21">
        <v>0.3881</v>
      </c>
      <c r="F266" s="21">
        <v>3</v>
      </c>
      <c r="G266" s="21">
        <v>32</v>
      </c>
      <c r="H266" s="23">
        <v>35</v>
      </c>
      <c r="I266" s="23">
        <v>0.18179999999999999</v>
      </c>
      <c r="J266" s="18"/>
      <c r="K266" s="5"/>
      <c r="L266" s="5"/>
      <c r="M266" s="5"/>
      <c r="N266" s="5"/>
      <c r="O266" s="5"/>
      <c r="P266" s="5"/>
      <c r="Q266" s="5"/>
      <c r="R266" s="5"/>
      <c r="S266" s="5"/>
      <c r="T266" s="5"/>
      <c r="U266" s="5"/>
      <c r="V266" s="5"/>
      <c r="W266" s="5"/>
      <c r="X266" s="5"/>
      <c r="Y266" s="5"/>
    </row>
    <row r="267" spans="1:25" ht="15" thickBot="1" x14ac:dyDescent="0.35">
      <c r="A267" s="27">
        <v>265</v>
      </c>
      <c r="B267" s="21">
        <v>266</v>
      </c>
      <c r="C267" s="22">
        <v>0.1515</v>
      </c>
      <c r="D267" s="21">
        <v>0.47</v>
      </c>
      <c r="E267" s="21">
        <v>0.58209999999999995</v>
      </c>
      <c r="F267" s="21">
        <v>3</v>
      </c>
      <c r="G267" s="21">
        <v>52</v>
      </c>
      <c r="H267" s="23">
        <v>55</v>
      </c>
      <c r="I267" s="23">
        <v>0.1515</v>
      </c>
      <c r="J267" s="18"/>
      <c r="K267" s="5"/>
      <c r="L267" s="5"/>
      <c r="M267" s="5"/>
      <c r="N267" s="5"/>
      <c r="O267" s="5"/>
      <c r="P267" s="5"/>
      <c r="Q267" s="5"/>
      <c r="R267" s="5"/>
      <c r="S267" s="5"/>
      <c r="T267" s="5"/>
      <c r="U267" s="5"/>
      <c r="V267" s="5"/>
      <c r="W267" s="5"/>
      <c r="X267" s="5"/>
      <c r="Y267" s="5"/>
    </row>
    <row r="268" spans="1:25" ht="15" thickBot="1" x14ac:dyDescent="0.35">
      <c r="A268" s="27">
        <v>266</v>
      </c>
      <c r="B268" s="21">
        <v>267</v>
      </c>
      <c r="C268" s="22">
        <v>0.19700000000000001</v>
      </c>
      <c r="D268" s="21">
        <v>0.44</v>
      </c>
      <c r="E268" s="21">
        <v>0.35820000000000002</v>
      </c>
      <c r="F268" s="21">
        <v>0</v>
      </c>
      <c r="G268" s="21">
        <v>49</v>
      </c>
      <c r="H268" s="23">
        <v>49</v>
      </c>
      <c r="I268" s="23">
        <v>0.19700000000000001</v>
      </c>
      <c r="J268" s="18"/>
      <c r="K268" s="5"/>
      <c r="L268" s="5"/>
      <c r="M268" s="5"/>
      <c r="N268" s="5"/>
      <c r="O268" s="5"/>
      <c r="P268" s="5"/>
      <c r="Q268" s="5"/>
      <c r="R268" s="5"/>
      <c r="S268" s="5"/>
      <c r="T268" s="5"/>
      <c r="U268" s="5"/>
      <c r="V268" s="5"/>
      <c r="W268" s="5"/>
      <c r="X268" s="5"/>
      <c r="Y268" s="5"/>
    </row>
    <row r="269" spans="1:25" ht="15" thickBot="1" x14ac:dyDescent="0.35">
      <c r="A269" s="27">
        <v>267</v>
      </c>
      <c r="B269" s="21">
        <v>268</v>
      </c>
      <c r="C269" s="22">
        <v>0.18179999999999999</v>
      </c>
      <c r="D269" s="21">
        <v>0.47</v>
      </c>
      <c r="E269" s="21">
        <v>0.32840000000000003</v>
      </c>
      <c r="F269" s="21">
        <v>0</v>
      </c>
      <c r="G269" s="21">
        <v>44</v>
      </c>
      <c r="H269" s="23">
        <v>44</v>
      </c>
      <c r="I269" s="23">
        <v>0.18179999999999999</v>
      </c>
      <c r="J269" s="18"/>
      <c r="K269" s="5"/>
      <c r="L269" s="5"/>
      <c r="M269" s="5"/>
      <c r="N269" s="5"/>
      <c r="O269" s="5"/>
      <c r="P269" s="5"/>
      <c r="Q269" s="5"/>
      <c r="R269" s="5"/>
      <c r="S269" s="5"/>
      <c r="T269" s="5"/>
      <c r="U269" s="5"/>
      <c r="V269" s="5"/>
      <c r="W269" s="5"/>
      <c r="X269" s="5"/>
      <c r="Y269" s="5"/>
    </row>
    <row r="270" spans="1:25" ht="15" thickBot="1" x14ac:dyDescent="0.35">
      <c r="A270" s="27">
        <v>268</v>
      </c>
      <c r="B270" s="21">
        <v>269</v>
      </c>
      <c r="C270" s="22">
        <v>0.16669999999999999</v>
      </c>
      <c r="D270" s="21">
        <v>0.47</v>
      </c>
      <c r="E270" s="21">
        <v>0.41789999999999999</v>
      </c>
      <c r="F270" s="21">
        <v>1</v>
      </c>
      <c r="G270" s="21">
        <v>48</v>
      </c>
      <c r="H270" s="23">
        <v>49</v>
      </c>
      <c r="I270" s="23">
        <v>0.16669999999999999</v>
      </c>
      <c r="J270" s="18"/>
      <c r="K270" s="5"/>
      <c r="L270" s="5"/>
      <c r="M270" s="5"/>
      <c r="N270" s="5"/>
      <c r="O270" s="5"/>
      <c r="P270" s="5"/>
      <c r="Q270" s="5"/>
      <c r="R270" s="5"/>
      <c r="S270" s="5"/>
      <c r="T270" s="5"/>
      <c r="U270" s="5"/>
      <c r="V270" s="5"/>
      <c r="W270" s="5"/>
      <c r="X270" s="5"/>
      <c r="Y270" s="5"/>
    </row>
    <row r="271" spans="1:25" ht="15" thickBot="1" x14ac:dyDescent="0.35">
      <c r="A271" s="27">
        <v>269</v>
      </c>
      <c r="B271" s="21">
        <v>270</v>
      </c>
      <c r="C271" s="22">
        <v>0.19700000000000001</v>
      </c>
      <c r="D271" s="21">
        <v>0.44</v>
      </c>
      <c r="E271" s="21">
        <v>0.32840000000000003</v>
      </c>
      <c r="F271" s="21">
        <v>5</v>
      </c>
      <c r="G271" s="21">
        <v>63</v>
      </c>
      <c r="H271" s="23">
        <v>68</v>
      </c>
      <c r="I271" s="23">
        <v>0.19700000000000001</v>
      </c>
      <c r="J271" s="18"/>
      <c r="K271" s="5"/>
      <c r="L271" s="5"/>
      <c r="M271" s="5"/>
      <c r="N271" s="5"/>
      <c r="O271" s="5"/>
      <c r="P271" s="5"/>
      <c r="Q271" s="5"/>
      <c r="R271" s="5"/>
      <c r="S271" s="5"/>
      <c r="T271" s="5"/>
      <c r="U271" s="5"/>
      <c r="V271" s="5"/>
      <c r="W271" s="5"/>
      <c r="X271" s="5"/>
      <c r="Y271" s="5"/>
    </row>
    <row r="272" spans="1:25" ht="15" thickBot="1" x14ac:dyDescent="0.35">
      <c r="A272" s="27">
        <v>270</v>
      </c>
      <c r="B272" s="21">
        <v>271</v>
      </c>
      <c r="C272" s="22">
        <v>0.18179999999999999</v>
      </c>
      <c r="D272" s="21">
        <v>0.47</v>
      </c>
      <c r="E272" s="21">
        <v>0.35820000000000002</v>
      </c>
      <c r="F272" s="21">
        <v>0</v>
      </c>
      <c r="G272" s="21">
        <v>139</v>
      </c>
      <c r="H272" s="23">
        <v>139</v>
      </c>
      <c r="I272" s="23">
        <v>0.18179999999999999</v>
      </c>
      <c r="J272" s="18"/>
      <c r="K272" s="5"/>
      <c r="L272" s="5"/>
      <c r="M272" s="5"/>
      <c r="N272" s="5"/>
      <c r="O272" s="5"/>
      <c r="P272" s="5"/>
      <c r="Q272" s="5"/>
      <c r="R272" s="5"/>
      <c r="S272" s="5"/>
      <c r="T272" s="5"/>
      <c r="U272" s="5"/>
      <c r="V272" s="5"/>
      <c r="W272" s="5"/>
      <c r="X272" s="5"/>
      <c r="Y272" s="5"/>
    </row>
    <row r="273" spans="1:25" ht="15" thickBot="1" x14ac:dyDescent="0.35">
      <c r="A273" s="27">
        <v>271</v>
      </c>
      <c r="B273" s="21">
        <v>272</v>
      </c>
      <c r="C273" s="22">
        <v>0.1515</v>
      </c>
      <c r="D273" s="21">
        <v>0.47</v>
      </c>
      <c r="E273" s="21">
        <v>0.52239999999999998</v>
      </c>
      <c r="F273" s="21">
        <v>2</v>
      </c>
      <c r="G273" s="21">
        <v>135</v>
      </c>
      <c r="H273" s="23">
        <v>137</v>
      </c>
      <c r="I273" s="23">
        <v>0.1515</v>
      </c>
      <c r="J273" s="18"/>
      <c r="K273" s="5"/>
      <c r="L273" s="5"/>
      <c r="M273" s="5"/>
      <c r="N273" s="5"/>
      <c r="O273" s="5"/>
      <c r="P273" s="5"/>
      <c r="Q273" s="5"/>
      <c r="R273" s="5"/>
      <c r="S273" s="5"/>
      <c r="T273" s="5"/>
      <c r="U273" s="5"/>
      <c r="V273" s="5"/>
      <c r="W273" s="5"/>
      <c r="X273" s="5"/>
      <c r="Y273" s="5"/>
    </row>
    <row r="274" spans="1:25" ht="15" thickBot="1" x14ac:dyDescent="0.35">
      <c r="A274" s="27">
        <v>272</v>
      </c>
      <c r="B274" s="21">
        <v>273</v>
      </c>
      <c r="C274" s="22">
        <v>0.1515</v>
      </c>
      <c r="D274" s="21">
        <v>0.47</v>
      </c>
      <c r="E274" s="21">
        <v>0.41789999999999999</v>
      </c>
      <c r="F274" s="21">
        <v>1</v>
      </c>
      <c r="G274" s="21">
        <v>82</v>
      </c>
      <c r="H274" s="23">
        <v>83</v>
      </c>
      <c r="I274" s="23">
        <v>0.1515</v>
      </c>
      <c r="J274" s="18"/>
      <c r="K274" s="5"/>
      <c r="L274" s="5"/>
      <c r="M274" s="5"/>
      <c r="N274" s="5"/>
      <c r="O274" s="5"/>
      <c r="P274" s="5"/>
      <c r="Q274" s="5"/>
      <c r="R274" s="5"/>
      <c r="S274" s="5"/>
      <c r="T274" s="5"/>
      <c r="U274" s="5"/>
      <c r="V274" s="5"/>
      <c r="W274" s="5"/>
      <c r="X274" s="5"/>
      <c r="Y274" s="5"/>
    </row>
    <row r="275" spans="1:25" ht="15" thickBot="1" x14ac:dyDescent="0.35">
      <c r="A275" s="27">
        <v>273</v>
      </c>
      <c r="B275" s="21">
        <v>274</v>
      </c>
      <c r="C275" s="22">
        <v>0.13639999999999999</v>
      </c>
      <c r="D275" s="21">
        <v>0.5</v>
      </c>
      <c r="E275" s="21">
        <v>0.32840000000000003</v>
      </c>
      <c r="F275" s="21">
        <v>2</v>
      </c>
      <c r="G275" s="21">
        <v>54</v>
      </c>
      <c r="H275" s="23">
        <v>56</v>
      </c>
      <c r="I275" s="23">
        <v>0.13639999999999999</v>
      </c>
      <c r="J275" s="18"/>
      <c r="K275" s="5"/>
      <c r="L275" s="5"/>
      <c r="M275" s="5"/>
      <c r="N275" s="5"/>
      <c r="O275" s="5"/>
      <c r="P275" s="5"/>
      <c r="Q275" s="5"/>
      <c r="R275" s="5"/>
      <c r="S275" s="5"/>
      <c r="T275" s="5"/>
      <c r="U275" s="5"/>
      <c r="V275" s="5"/>
      <c r="W275" s="5"/>
      <c r="X275" s="5"/>
      <c r="Y275" s="5"/>
    </row>
    <row r="276" spans="1:25" ht="15" thickBot="1" x14ac:dyDescent="0.35">
      <c r="A276" s="27">
        <v>274</v>
      </c>
      <c r="B276" s="21">
        <v>275</v>
      </c>
      <c r="C276" s="22">
        <v>0.13639999999999999</v>
      </c>
      <c r="D276" s="21">
        <v>0.55000000000000004</v>
      </c>
      <c r="E276" s="21">
        <v>0.32840000000000003</v>
      </c>
      <c r="F276" s="21">
        <v>0</v>
      </c>
      <c r="G276" s="21">
        <v>57</v>
      </c>
      <c r="H276" s="23">
        <v>57</v>
      </c>
      <c r="I276" s="23">
        <v>0.13639999999999999</v>
      </c>
      <c r="J276" s="18"/>
      <c r="K276" s="5"/>
      <c r="L276" s="5"/>
      <c r="M276" s="5"/>
      <c r="N276" s="5"/>
      <c r="O276" s="5"/>
      <c r="P276" s="5"/>
      <c r="Q276" s="5"/>
      <c r="R276" s="5"/>
      <c r="S276" s="5"/>
      <c r="T276" s="5"/>
      <c r="U276" s="5"/>
      <c r="V276" s="5"/>
      <c r="W276" s="5"/>
      <c r="X276" s="5"/>
      <c r="Y276" s="5"/>
    </row>
    <row r="277" spans="1:25" ht="15" thickBot="1" x14ac:dyDescent="0.35">
      <c r="A277" s="27">
        <v>275</v>
      </c>
      <c r="B277" s="21">
        <v>276</v>
      </c>
      <c r="C277" s="22">
        <v>0.1212</v>
      </c>
      <c r="D277" s="21">
        <v>0.55000000000000004</v>
      </c>
      <c r="E277" s="21">
        <v>0.44779999999999998</v>
      </c>
      <c r="F277" s="21">
        <v>1</v>
      </c>
      <c r="G277" s="21">
        <v>32</v>
      </c>
      <c r="H277" s="23">
        <v>33</v>
      </c>
      <c r="I277" s="23">
        <v>0.1212</v>
      </c>
      <c r="J277" s="18"/>
      <c r="K277" s="5"/>
      <c r="L277" s="5"/>
      <c r="M277" s="5"/>
      <c r="N277" s="5"/>
      <c r="O277" s="5"/>
      <c r="P277" s="5"/>
      <c r="Q277" s="5"/>
      <c r="R277" s="5"/>
      <c r="S277" s="5"/>
      <c r="T277" s="5"/>
      <c r="U277" s="5"/>
      <c r="V277" s="5"/>
      <c r="W277" s="5"/>
      <c r="X277" s="5"/>
      <c r="Y277" s="5"/>
    </row>
    <row r="278" spans="1:25" ht="15" thickBot="1" x14ac:dyDescent="0.35">
      <c r="A278" s="27">
        <v>276</v>
      </c>
      <c r="B278" s="21">
        <v>277</v>
      </c>
      <c r="C278" s="22">
        <v>0.1061</v>
      </c>
      <c r="D278" s="21">
        <v>0.59</v>
      </c>
      <c r="E278" s="21">
        <v>0.41789999999999999</v>
      </c>
      <c r="F278" s="21">
        <v>1</v>
      </c>
      <c r="G278" s="21">
        <v>19</v>
      </c>
      <c r="H278" s="23">
        <v>20</v>
      </c>
      <c r="I278" s="23">
        <v>0.1061</v>
      </c>
      <c r="J278" s="18"/>
      <c r="K278" s="5"/>
      <c r="L278" s="5"/>
      <c r="M278" s="5"/>
      <c r="N278" s="5"/>
      <c r="O278" s="5"/>
      <c r="P278" s="5"/>
      <c r="Q278" s="5"/>
      <c r="R278" s="5"/>
      <c r="S278" s="5"/>
      <c r="T278" s="5"/>
      <c r="U278" s="5"/>
      <c r="V278" s="5"/>
      <c r="W278" s="5"/>
      <c r="X278" s="5"/>
      <c r="Y278" s="5"/>
    </row>
    <row r="279" spans="1:25" ht="15" thickBot="1" x14ac:dyDescent="0.35">
      <c r="A279" s="27">
        <v>277</v>
      </c>
      <c r="B279" s="21">
        <v>278</v>
      </c>
      <c r="C279" s="22">
        <v>0.1212</v>
      </c>
      <c r="D279" s="21">
        <v>0.59</v>
      </c>
      <c r="E279" s="21">
        <v>0.28360000000000002</v>
      </c>
      <c r="F279" s="21">
        <v>1</v>
      </c>
      <c r="G279" s="21">
        <v>6</v>
      </c>
      <c r="H279" s="23">
        <v>7</v>
      </c>
      <c r="I279" s="23">
        <v>0.1212</v>
      </c>
      <c r="J279" s="18"/>
      <c r="K279" s="5"/>
      <c r="L279" s="5"/>
      <c r="M279" s="5"/>
      <c r="N279" s="5"/>
      <c r="O279" s="5"/>
      <c r="P279" s="5"/>
      <c r="Q279" s="5"/>
      <c r="R279" s="5"/>
      <c r="S279" s="5"/>
      <c r="T279" s="5"/>
      <c r="U279" s="5"/>
      <c r="V279" s="5"/>
      <c r="W279" s="5"/>
      <c r="X279" s="5"/>
      <c r="Y279" s="5"/>
    </row>
    <row r="280" spans="1:25" ht="15" thickBot="1" x14ac:dyDescent="0.35">
      <c r="A280" s="27">
        <v>278</v>
      </c>
      <c r="B280" s="21">
        <v>279</v>
      </c>
      <c r="C280" s="22">
        <v>0.1212</v>
      </c>
      <c r="D280" s="21">
        <v>0.5</v>
      </c>
      <c r="E280" s="21">
        <v>0.28360000000000002</v>
      </c>
      <c r="F280" s="21">
        <v>0</v>
      </c>
      <c r="G280" s="21">
        <v>2</v>
      </c>
      <c r="H280" s="23">
        <v>2</v>
      </c>
      <c r="I280" s="23">
        <v>0.1212</v>
      </c>
      <c r="J280" s="18"/>
      <c r="K280" s="5"/>
      <c r="L280" s="5"/>
      <c r="M280" s="5"/>
      <c r="N280" s="5"/>
      <c r="O280" s="5"/>
      <c r="P280" s="5"/>
      <c r="Q280" s="5"/>
      <c r="R280" s="5"/>
      <c r="S280" s="5"/>
      <c r="T280" s="5"/>
      <c r="U280" s="5"/>
      <c r="V280" s="5"/>
      <c r="W280" s="5"/>
      <c r="X280" s="5"/>
      <c r="Y280" s="5"/>
    </row>
    <row r="281" spans="1:25" ht="15" thickBot="1" x14ac:dyDescent="0.35">
      <c r="A281" s="27">
        <v>279</v>
      </c>
      <c r="B281" s="21">
        <v>280</v>
      </c>
      <c r="C281" s="22">
        <v>0.1212</v>
      </c>
      <c r="D281" s="21">
        <v>0.5</v>
      </c>
      <c r="E281" s="21">
        <v>0.35820000000000002</v>
      </c>
      <c r="F281" s="21">
        <v>0</v>
      </c>
      <c r="G281" s="21">
        <v>2</v>
      </c>
      <c r="H281" s="23">
        <v>2</v>
      </c>
      <c r="I281" s="23">
        <v>0.1212</v>
      </c>
      <c r="J281" s="18"/>
      <c r="K281" s="5"/>
      <c r="L281" s="5"/>
      <c r="M281" s="5"/>
      <c r="N281" s="5"/>
      <c r="O281" s="5"/>
      <c r="P281" s="5"/>
      <c r="Q281" s="5"/>
      <c r="R281" s="5"/>
      <c r="S281" s="5"/>
      <c r="T281" s="5"/>
      <c r="U281" s="5"/>
      <c r="V281" s="5"/>
      <c r="W281" s="5"/>
      <c r="X281" s="5"/>
      <c r="Y281" s="5"/>
    </row>
    <row r="282" spans="1:25" ht="15" thickBot="1" x14ac:dyDescent="0.35">
      <c r="A282" s="27">
        <v>280</v>
      </c>
      <c r="B282" s="21">
        <v>281</v>
      </c>
      <c r="C282" s="22">
        <v>0.1212</v>
      </c>
      <c r="D282" s="21">
        <v>0.5</v>
      </c>
      <c r="E282" s="21">
        <v>0.32840000000000003</v>
      </c>
      <c r="F282" s="21">
        <v>0</v>
      </c>
      <c r="G282" s="21">
        <v>3</v>
      </c>
      <c r="H282" s="23">
        <v>3</v>
      </c>
      <c r="I282" s="23">
        <v>0.1212</v>
      </c>
      <c r="J282" s="18"/>
      <c r="K282" s="5"/>
      <c r="L282" s="5"/>
      <c r="M282" s="5"/>
      <c r="N282" s="5"/>
      <c r="O282" s="5"/>
      <c r="P282" s="5"/>
      <c r="Q282" s="5"/>
      <c r="R282" s="5"/>
      <c r="S282" s="5"/>
      <c r="T282" s="5"/>
      <c r="U282" s="5"/>
      <c r="V282" s="5"/>
      <c r="W282" s="5"/>
      <c r="X282" s="5"/>
      <c r="Y282" s="5"/>
    </row>
    <row r="283" spans="1:25" ht="15" thickBot="1" x14ac:dyDescent="0.35">
      <c r="A283" s="27">
        <v>281</v>
      </c>
      <c r="B283" s="21">
        <v>282</v>
      </c>
      <c r="C283" s="22">
        <v>0.1212</v>
      </c>
      <c r="D283" s="21">
        <v>0.5</v>
      </c>
      <c r="E283" s="21">
        <v>0.25369999999999998</v>
      </c>
      <c r="F283" s="21">
        <v>0</v>
      </c>
      <c r="G283" s="21">
        <v>4</v>
      </c>
      <c r="H283" s="23">
        <v>4</v>
      </c>
      <c r="I283" s="23">
        <v>0.1212</v>
      </c>
      <c r="J283" s="18"/>
      <c r="K283" s="5"/>
      <c r="L283" s="5"/>
      <c r="M283" s="5"/>
      <c r="N283" s="5"/>
      <c r="O283" s="5"/>
      <c r="P283" s="5"/>
      <c r="Q283" s="5"/>
      <c r="R283" s="5"/>
      <c r="S283" s="5"/>
      <c r="T283" s="5"/>
      <c r="U283" s="5"/>
      <c r="V283" s="5"/>
      <c r="W283" s="5"/>
      <c r="X283" s="5"/>
      <c r="Y283" s="5"/>
    </row>
    <row r="284" spans="1:25" ht="15" thickBot="1" x14ac:dyDescent="0.35">
      <c r="A284" s="27">
        <v>282</v>
      </c>
      <c r="B284" s="21">
        <v>283</v>
      </c>
      <c r="C284" s="22">
        <v>0.1212</v>
      </c>
      <c r="D284" s="21">
        <v>0.5</v>
      </c>
      <c r="E284" s="21">
        <v>0.29849999999999999</v>
      </c>
      <c r="F284" s="21">
        <v>0</v>
      </c>
      <c r="G284" s="21">
        <v>3</v>
      </c>
      <c r="H284" s="23">
        <v>3</v>
      </c>
      <c r="I284" s="23">
        <v>0.1212</v>
      </c>
      <c r="J284" s="18"/>
      <c r="K284" s="5"/>
      <c r="L284" s="5"/>
      <c r="M284" s="5"/>
      <c r="N284" s="5"/>
      <c r="O284" s="5"/>
      <c r="P284" s="5"/>
      <c r="Q284" s="5"/>
      <c r="R284" s="5"/>
      <c r="S284" s="5"/>
      <c r="T284" s="5"/>
      <c r="U284" s="5"/>
      <c r="V284" s="5"/>
      <c r="W284" s="5"/>
      <c r="X284" s="5"/>
      <c r="Y284" s="5"/>
    </row>
    <row r="285" spans="1:25" ht="15" thickBot="1" x14ac:dyDescent="0.35">
      <c r="A285" s="27">
        <v>283</v>
      </c>
      <c r="B285" s="21">
        <v>284</v>
      </c>
      <c r="C285" s="22">
        <v>0.1515</v>
      </c>
      <c r="D285" s="21">
        <v>0.54</v>
      </c>
      <c r="E285" s="21">
        <v>0.1343</v>
      </c>
      <c r="F285" s="21">
        <v>0</v>
      </c>
      <c r="G285" s="21">
        <v>28</v>
      </c>
      <c r="H285" s="23">
        <v>28</v>
      </c>
      <c r="I285" s="23">
        <v>0.1515</v>
      </c>
      <c r="J285" s="18"/>
      <c r="K285" s="5"/>
      <c r="L285" s="5"/>
      <c r="M285" s="5"/>
      <c r="N285" s="5"/>
      <c r="O285" s="5"/>
      <c r="P285" s="5"/>
      <c r="Q285" s="5"/>
      <c r="R285" s="5"/>
      <c r="S285" s="5"/>
      <c r="T285" s="5"/>
      <c r="U285" s="5"/>
      <c r="V285" s="5"/>
      <c r="W285" s="5"/>
      <c r="X285" s="5"/>
      <c r="Y285" s="5"/>
    </row>
    <row r="286" spans="1:25" ht="15" thickBot="1" x14ac:dyDescent="0.35">
      <c r="A286" s="27">
        <v>284</v>
      </c>
      <c r="B286" s="21">
        <v>285</v>
      </c>
      <c r="C286" s="22">
        <v>0.1515</v>
      </c>
      <c r="D286" s="21">
        <v>0.54</v>
      </c>
      <c r="E286" s="21">
        <v>0.1343</v>
      </c>
      <c r="F286" s="21">
        <v>0</v>
      </c>
      <c r="G286" s="21">
        <v>72</v>
      </c>
      <c r="H286" s="23">
        <v>72</v>
      </c>
      <c r="I286" s="23">
        <v>0.1515</v>
      </c>
      <c r="J286" s="18"/>
      <c r="K286" s="5"/>
      <c r="L286" s="5"/>
      <c r="M286" s="5"/>
      <c r="N286" s="5"/>
      <c r="O286" s="5"/>
      <c r="P286" s="5"/>
      <c r="Q286" s="5"/>
      <c r="R286" s="5"/>
      <c r="S286" s="5"/>
      <c r="T286" s="5"/>
      <c r="U286" s="5"/>
      <c r="V286" s="5"/>
      <c r="W286" s="5"/>
      <c r="X286" s="5"/>
      <c r="Y286" s="5"/>
    </row>
    <row r="287" spans="1:25" ht="15" thickBot="1" x14ac:dyDescent="0.35">
      <c r="A287" s="27">
        <v>285</v>
      </c>
      <c r="B287" s="21">
        <v>286</v>
      </c>
      <c r="C287" s="22">
        <v>0.13639999999999999</v>
      </c>
      <c r="D287" s="21">
        <v>0.5</v>
      </c>
      <c r="E287" s="21">
        <v>0.19400000000000001</v>
      </c>
      <c r="F287" s="21">
        <v>5</v>
      </c>
      <c r="G287" s="21">
        <v>197</v>
      </c>
      <c r="H287" s="23">
        <v>202</v>
      </c>
      <c r="I287" s="23">
        <v>0.13639999999999999</v>
      </c>
      <c r="J287" s="18"/>
      <c r="K287" s="5"/>
      <c r="L287" s="5"/>
      <c r="M287" s="5"/>
      <c r="N287" s="5"/>
      <c r="O287" s="5"/>
      <c r="P287" s="5"/>
      <c r="Q287" s="5"/>
      <c r="R287" s="5"/>
      <c r="S287" s="5"/>
      <c r="T287" s="5"/>
      <c r="U287" s="5"/>
      <c r="V287" s="5"/>
      <c r="W287" s="5"/>
      <c r="X287" s="5"/>
      <c r="Y287" s="5"/>
    </row>
    <row r="288" spans="1:25" ht="15" thickBot="1" x14ac:dyDescent="0.35">
      <c r="A288" s="27">
        <v>286</v>
      </c>
      <c r="B288" s="21">
        <v>287</v>
      </c>
      <c r="C288" s="22">
        <v>0.1212</v>
      </c>
      <c r="D288" s="21">
        <v>0.5</v>
      </c>
      <c r="E288" s="21">
        <v>0.32840000000000003</v>
      </c>
      <c r="F288" s="21">
        <v>2</v>
      </c>
      <c r="G288" s="21">
        <v>137</v>
      </c>
      <c r="H288" s="23">
        <v>139</v>
      </c>
      <c r="I288" s="23">
        <v>0.1212</v>
      </c>
      <c r="J288" s="18"/>
      <c r="K288" s="5"/>
      <c r="L288" s="5"/>
      <c r="M288" s="5"/>
      <c r="N288" s="5"/>
      <c r="O288" s="5"/>
      <c r="P288" s="5"/>
      <c r="Q288" s="5"/>
      <c r="R288" s="5"/>
      <c r="S288" s="5"/>
      <c r="T288" s="5"/>
      <c r="U288" s="5"/>
      <c r="V288" s="5"/>
      <c r="W288" s="5"/>
      <c r="X288" s="5"/>
      <c r="Y288" s="5"/>
    </row>
    <row r="289" spans="1:25" ht="15" thickBot="1" x14ac:dyDescent="0.35">
      <c r="A289" s="27">
        <v>287</v>
      </c>
      <c r="B289" s="21">
        <v>288</v>
      </c>
      <c r="C289" s="22">
        <v>0.13639999999999999</v>
      </c>
      <c r="D289" s="21">
        <v>0.5</v>
      </c>
      <c r="E289" s="21">
        <v>0.35820000000000002</v>
      </c>
      <c r="F289" s="21">
        <v>2</v>
      </c>
      <c r="G289" s="21">
        <v>36</v>
      </c>
      <c r="H289" s="23">
        <v>38</v>
      </c>
      <c r="I289" s="23">
        <v>0.13639999999999999</v>
      </c>
      <c r="J289" s="18"/>
      <c r="K289" s="5"/>
      <c r="L289" s="5"/>
      <c r="M289" s="5"/>
      <c r="N289" s="5"/>
      <c r="O289" s="5"/>
      <c r="P289" s="5"/>
      <c r="Q289" s="5"/>
      <c r="R289" s="5"/>
      <c r="S289" s="5"/>
      <c r="T289" s="5"/>
      <c r="U289" s="5"/>
      <c r="V289" s="5"/>
      <c r="W289" s="5"/>
      <c r="X289" s="5"/>
      <c r="Y289" s="5"/>
    </row>
    <row r="290" spans="1:25" ht="15" thickBot="1" x14ac:dyDescent="0.35">
      <c r="A290" s="27">
        <v>288</v>
      </c>
      <c r="B290" s="21">
        <v>289</v>
      </c>
      <c r="C290" s="22">
        <v>0.16669999999999999</v>
      </c>
      <c r="D290" s="21">
        <v>0.44</v>
      </c>
      <c r="E290" s="21">
        <v>0.44779999999999998</v>
      </c>
      <c r="F290" s="21">
        <v>4</v>
      </c>
      <c r="G290" s="21">
        <v>33</v>
      </c>
      <c r="H290" s="23">
        <v>37</v>
      </c>
      <c r="I290" s="23">
        <v>0.16669999999999999</v>
      </c>
      <c r="J290" s="18"/>
      <c r="K290" s="5"/>
      <c r="L290" s="5"/>
      <c r="M290" s="5"/>
      <c r="N290" s="5"/>
      <c r="O290" s="5"/>
      <c r="P290" s="5"/>
      <c r="Q290" s="5"/>
      <c r="R290" s="5"/>
      <c r="S290" s="5"/>
      <c r="T290" s="5"/>
      <c r="U290" s="5"/>
      <c r="V290" s="5"/>
      <c r="W290" s="5"/>
      <c r="X290" s="5"/>
      <c r="Y290" s="5"/>
    </row>
    <row r="291" spans="1:25" ht="15" thickBot="1" x14ac:dyDescent="0.35">
      <c r="A291" s="27">
        <v>289</v>
      </c>
      <c r="B291" s="21">
        <v>290</v>
      </c>
      <c r="C291" s="22">
        <v>0.16669999999999999</v>
      </c>
      <c r="D291" s="21">
        <v>0.44</v>
      </c>
      <c r="E291" s="21">
        <v>0.41789999999999999</v>
      </c>
      <c r="F291" s="21">
        <v>3</v>
      </c>
      <c r="G291" s="21">
        <v>49</v>
      </c>
      <c r="H291" s="23">
        <v>52</v>
      </c>
      <c r="I291" s="23">
        <v>0.16669999999999999</v>
      </c>
      <c r="J291" s="18"/>
      <c r="K291" s="5"/>
      <c r="L291" s="5"/>
      <c r="M291" s="5"/>
      <c r="N291" s="5"/>
      <c r="O291" s="5"/>
      <c r="P291" s="5"/>
      <c r="Q291" s="5"/>
      <c r="R291" s="5"/>
      <c r="S291" s="5"/>
      <c r="T291" s="5"/>
      <c r="U291" s="5"/>
      <c r="V291" s="5"/>
      <c r="W291" s="5"/>
      <c r="X291" s="5"/>
      <c r="Y291" s="5"/>
    </row>
    <row r="292" spans="1:25" ht="15" thickBot="1" x14ac:dyDescent="0.35">
      <c r="A292" s="27">
        <v>290</v>
      </c>
      <c r="B292" s="21">
        <v>291</v>
      </c>
      <c r="C292" s="22">
        <v>0.19700000000000001</v>
      </c>
      <c r="D292" s="21">
        <v>0.41</v>
      </c>
      <c r="E292" s="21">
        <v>0.44779999999999998</v>
      </c>
      <c r="F292" s="21">
        <v>2</v>
      </c>
      <c r="G292" s="21">
        <v>81</v>
      </c>
      <c r="H292" s="23">
        <v>83</v>
      </c>
      <c r="I292" s="23">
        <v>0.19700000000000001</v>
      </c>
      <c r="J292" s="18"/>
      <c r="K292" s="5"/>
      <c r="L292" s="5"/>
      <c r="M292" s="5"/>
      <c r="N292" s="5"/>
      <c r="O292" s="5"/>
      <c r="P292" s="5"/>
      <c r="Q292" s="5"/>
      <c r="R292" s="5"/>
      <c r="S292" s="5"/>
      <c r="T292" s="5"/>
      <c r="U292" s="5"/>
      <c r="V292" s="5"/>
      <c r="W292" s="5"/>
      <c r="X292" s="5"/>
      <c r="Y292" s="5"/>
    </row>
    <row r="293" spans="1:25" ht="15" thickBot="1" x14ac:dyDescent="0.35">
      <c r="A293" s="27">
        <v>291</v>
      </c>
      <c r="B293" s="21">
        <v>292</v>
      </c>
      <c r="C293" s="22">
        <v>0.19700000000000001</v>
      </c>
      <c r="D293" s="21">
        <v>0.41</v>
      </c>
      <c r="E293" s="21">
        <v>0.3881</v>
      </c>
      <c r="F293" s="21">
        <v>3</v>
      </c>
      <c r="G293" s="21">
        <v>39</v>
      </c>
      <c r="H293" s="23">
        <v>42</v>
      </c>
      <c r="I293" s="23">
        <v>0.19700000000000001</v>
      </c>
      <c r="J293" s="18"/>
      <c r="K293" s="5"/>
      <c r="L293" s="5"/>
      <c r="M293" s="5"/>
      <c r="N293" s="5"/>
      <c r="O293" s="5"/>
      <c r="P293" s="5"/>
      <c r="Q293" s="5"/>
      <c r="R293" s="5"/>
      <c r="S293" s="5"/>
      <c r="T293" s="5"/>
      <c r="U293" s="5"/>
      <c r="V293" s="5"/>
      <c r="W293" s="5"/>
      <c r="X293" s="5"/>
      <c r="Y293" s="5"/>
    </row>
    <row r="294" spans="1:25" ht="15" thickBot="1" x14ac:dyDescent="0.35">
      <c r="A294" s="27">
        <v>292</v>
      </c>
      <c r="B294" s="21">
        <v>293</v>
      </c>
      <c r="C294" s="22">
        <v>0.21210000000000001</v>
      </c>
      <c r="D294" s="21">
        <v>0.38</v>
      </c>
      <c r="E294" s="21">
        <v>0.29849999999999999</v>
      </c>
      <c r="F294" s="21">
        <v>5</v>
      </c>
      <c r="G294" s="21">
        <v>55</v>
      </c>
      <c r="H294" s="23">
        <v>60</v>
      </c>
      <c r="I294" s="23">
        <v>0.21210000000000001</v>
      </c>
      <c r="J294" s="18"/>
      <c r="K294" s="5"/>
      <c r="L294" s="5"/>
      <c r="M294" s="5"/>
      <c r="N294" s="5"/>
      <c r="O294" s="5"/>
      <c r="P294" s="5"/>
      <c r="Q294" s="5"/>
      <c r="R294" s="5"/>
      <c r="S294" s="5"/>
      <c r="T294" s="5"/>
      <c r="U294" s="5"/>
      <c r="V294" s="5"/>
      <c r="W294" s="5"/>
      <c r="X294" s="5"/>
      <c r="Y294" s="5"/>
    </row>
    <row r="295" spans="1:25" ht="15" thickBot="1" x14ac:dyDescent="0.35">
      <c r="A295" s="27">
        <v>293</v>
      </c>
      <c r="B295" s="21">
        <v>294</v>
      </c>
      <c r="C295" s="22">
        <v>0.21210000000000001</v>
      </c>
      <c r="D295" s="21">
        <v>0.38</v>
      </c>
      <c r="E295" s="21">
        <v>0.35820000000000002</v>
      </c>
      <c r="F295" s="21">
        <v>2</v>
      </c>
      <c r="G295" s="21">
        <v>76</v>
      </c>
      <c r="H295" s="23">
        <v>78</v>
      </c>
      <c r="I295" s="23">
        <v>0.21210000000000001</v>
      </c>
      <c r="J295" s="18"/>
      <c r="K295" s="5"/>
      <c r="L295" s="5"/>
      <c r="M295" s="5"/>
      <c r="N295" s="5"/>
      <c r="O295" s="5"/>
      <c r="P295" s="5"/>
      <c r="Q295" s="5"/>
      <c r="R295" s="5"/>
      <c r="S295" s="5"/>
      <c r="T295" s="5"/>
      <c r="U295" s="5"/>
      <c r="V295" s="5"/>
      <c r="W295" s="5"/>
      <c r="X295" s="5"/>
      <c r="Y295" s="5"/>
    </row>
    <row r="296" spans="1:25" ht="15" thickBot="1" x14ac:dyDescent="0.35">
      <c r="A296" s="27">
        <v>294</v>
      </c>
      <c r="B296" s="21">
        <v>295</v>
      </c>
      <c r="C296" s="22">
        <v>0.18179999999999999</v>
      </c>
      <c r="D296" s="21">
        <v>0.4</v>
      </c>
      <c r="E296" s="21">
        <v>0.28360000000000002</v>
      </c>
      <c r="F296" s="21">
        <v>4</v>
      </c>
      <c r="G296" s="21">
        <v>158</v>
      </c>
      <c r="H296" s="23">
        <v>162</v>
      </c>
      <c r="I296" s="23">
        <v>0.18179999999999999</v>
      </c>
      <c r="J296" s="18"/>
      <c r="K296" s="5"/>
      <c r="L296" s="5"/>
      <c r="M296" s="5"/>
      <c r="N296" s="5"/>
      <c r="O296" s="5"/>
      <c r="P296" s="5"/>
      <c r="Q296" s="5"/>
      <c r="R296" s="5"/>
      <c r="S296" s="5"/>
      <c r="T296" s="5"/>
      <c r="U296" s="5"/>
      <c r="V296" s="5"/>
      <c r="W296" s="5"/>
      <c r="X296" s="5"/>
      <c r="Y296" s="5"/>
    </row>
    <row r="297" spans="1:25" ht="15" thickBot="1" x14ac:dyDescent="0.35">
      <c r="A297" s="27">
        <v>295</v>
      </c>
      <c r="B297" s="21">
        <v>296</v>
      </c>
      <c r="C297" s="22">
        <v>0.18179999999999999</v>
      </c>
      <c r="D297" s="21">
        <v>0.4</v>
      </c>
      <c r="E297" s="21">
        <v>0.32840000000000003</v>
      </c>
      <c r="F297" s="21">
        <v>3</v>
      </c>
      <c r="G297" s="21">
        <v>141</v>
      </c>
      <c r="H297" s="23">
        <v>144</v>
      </c>
      <c r="I297" s="23">
        <v>0.18179999999999999</v>
      </c>
      <c r="J297" s="18"/>
      <c r="K297" s="5"/>
      <c r="L297" s="5"/>
      <c r="M297" s="5"/>
      <c r="N297" s="5"/>
      <c r="O297" s="5"/>
      <c r="P297" s="5"/>
      <c r="Q297" s="5"/>
      <c r="R297" s="5"/>
      <c r="S297" s="5"/>
      <c r="T297" s="5"/>
      <c r="U297" s="5"/>
      <c r="V297" s="5"/>
      <c r="W297" s="5"/>
      <c r="X297" s="5"/>
      <c r="Y297" s="5"/>
    </row>
    <row r="298" spans="1:25" ht="15" thickBot="1" x14ac:dyDescent="0.35">
      <c r="A298" s="27">
        <v>296</v>
      </c>
      <c r="B298" s="21">
        <v>297</v>
      </c>
      <c r="C298" s="22">
        <v>0.1515</v>
      </c>
      <c r="D298" s="21">
        <v>0.47</v>
      </c>
      <c r="E298" s="21">
        <v>0.25369999999999998</v>
      </c>
      <c r="F298" s="21">
        <v>1</v>
      </c>
      <c r="G298" s="21">
        <v>98</v>
      </c>
      <c r="H298" s="23">
        <v>99</v>
      </c>
      <c r="I298" s="23">
        <v>0.1515</v>
      </c>
      <c r="J298" s="18"/>
      <c r="K298" s="5"/>
      <c r="L298" s="5"/>
      <c r="M298" s="5"/>
      <c r="N298" s="5"/>
      <c r="O298" s="5"/>
      <c r="P298" s="5"/>
      <c r="Q298" s="5"/>
      <c r="R298" s="5"/>
      <c r="S298" s="5"/>
      <c r="T298" s="5"/>
      <c r="U298" s="5"/>
      <c r="V298" s="5"/>
      <c r="W298" s="5"/>
      <c r="X298" s="5"/>
      <c r="Y298" s="5"/>
    </row>
    <row r="299" spans="1:25" ht="15" thickBot="1" x14ac:dyDescent="0.35">
      <c r="A299" s="27">
        <v>297</v>
      </c>
      <c r="B299" s="21">
        <v>298</v>
      </c>
      <c r="C299" s="22">
        <v>0.1515</v>
      </c>
      <c r="D299" s="21">
        <v>0.47</v>
      </c>
      <c r="E299" s="21">
        <v>0.22389999999999999</v>
      </c>
      <c r="F299" s="21">
        <v>0</v>
      </c>
      <c r="G299" s="21">
        <v>64</v>
      </c>
      <c r="H299" s="23">
        <v>64</v>
      </c>
      <c r="I299" s="23">
        <v>0.1515</v>
      </c>
      <c r="J299" s="18"/>
      <c r="K299" s="5"/>
      <c r="L299" s="5"/>
      <c r="M299" s="5"/>
      <c r="N299" s="5"/>
      <c r="O299" s="5"/>
      <c r="P299" s="5"/>
      <c r="Q299" s="5"/>
      <c r="R299" s="5"/>
      <c r="S299" s="5"/>
      <c r="T299" s="5"/>
      <c r="U299" s="5"/>
      <c r="V299" s="5"/>
      <c r="W299" s="5"/>
      <c r="X299" s="5"/>
      <c r="Y299" s="5"/>
    </row>
    <row r="300" spans="1:25" ht="15" thickBot="1" x14ac:dyDescent="0.35">
      <c r="A300" s="27">
        <v>298</v>
      </c>
      <c r="B300" s="21">
        <v>299</v>
      </c>
      <c r="C300" s="22">
        <v>0.1212</v>
      </c>
      <c r="D300" s="21">
        <v>0.46</v>
      </c>
      <c r="E300" s="21">
        <v>0.29849999999999999</v>
      </c>
      <c r="F300" s="21">
        <v>0</v>
      </c>
      <c r="G300" s="21">
        <v>40</v>
      </c>
      <c r="H300" s="23">
        <v>40</v>
      </c>
      <c r="I300" s="23">
        <v>0.1212</v>
      </c>
      <c r="J300" s="18"/>
      <c r="K300" s="5"/>
      <c r="L300" s="5"/>
      <c r="M300" s="5"/>
      <c r="N300" s="5"/>
      <c r="O300" s="5"/>
      <c r="P300" s="5"/>
      <c r="Q300" s="5"/>
      <c r="R300" s="5"/>
      <c r="S300" s="5"/>
      <c r="T300" s="5"/>
      <c r="U300" s="5"/>
      <c r="V300" s="5"/>
      <c r="W300" s="5"/>
      <c r="X300" s="5"/>
      <c r="Y300" s="5"/>
    </row>
    <row r="301" spans="1:25" ht="15" thickBot="1" x14ac:dyDescent="0.35">
      <c r="A301" s="27">
        <v>299</v>
      </c>
      <c r="B301" s="21">
        <v>300</v>
      </c>
      <c r="C301" s="22">
        <v>0.1212</v>
      </c>
      <c r="D301" s="21">
        <v>0.46</v>
      </c>
      <c r="E301" s="21">
        <v>0.32840000000000003</v>
      </c>
      <c r="F301" s="21">
        <v>0</v>
      </c>
      <c r="G301" s="21">
        <v>30</v>
      </c>
      <c r="H301" s="23">
        <v>30</v>
      </c>
      <c r="I301" s="23">
        <v>0.1212</v>
      </c>
      <c r="J301" s="18"/>
      <c r="K301" s="5"/>
      <c r="L301" s="5"/>
      <c r="M301" s="5"/>
      <c r="N301" s="5"/>
      <c r="O301" s="5"/>
      <c r="P301" s="5"/>
      <c r="Q301" s="5"/>
      <c r="R301" s="5"/>
      <c r="S301" s="5"/>
      <c r="T301" s="5"/>
      <c r="U301" s="5"/>
      <c r="V301" s="5"/>
      <c r="W301" s="5"/>
      <c r="X301" s="5"/>
      <c r="Y301" s="5"/>
    </row>
    <row r="302" spans="1:25" ht="15" thickBot="1" x14ac:dyDescent="0.35">
      <c r="A302" s="27">
        <v>300</v>
      </c>
      <c r="B302" s="21">
        <v>301</v>
      </c>
      <c r="C302" s="22">
        <v>0.13639999999999999</v>
      </c>
      <c r="D302" s="21">
        <v>0.5</v>
      </c>
      <c r="E302" s="21">
        <v>0.19400000000000001</v>
      </c>
      <c r="F302" s="21">
        <v>1</v>
      </c>
      <c r="G302" s="21">
        <v>14</v>
      </c>
      <c r="H302" s="23">
        <v>15</v>
      </c>
      <c r="I302" s="23">
        <v>0.13639999999999999</v>
      </c>
      <c r="J302" s="18"/>
      <c r="K302" s="5"/>
      <c r="L302" s="5"/>
      <c r="M302" s="5"/>
      <c r="N302" s="5"/>
      <c r="O302" s="5"/>
      <c r="P302" s="5"/>
      <c r="Q302" s="5"/>
      <c r="R302" s="5"/>
      <c r="S302" s="5"/>
      <c r="T302" s="5"/>
      <c r="U302" s="5"/>
      <c r="V302" s="5"/>
      <c r="W302" s="5"/>
      <c r="X302" s="5"/>
      <c r="Y302" s="5"/>
    </row>
    <row r="303" spans="1:25" ht="15" thickBot="1" x14ac:dyDescent="0.35">
      <c r="A303" s="27">
        <v>301</v>
      </c>
      <c r="B303" s="21">
        <v>302</v>
      </c>
      <c r="C303" s="22">
        <v>0.13639999999999999</v>
      </c>
      <c r="D303" s="21">
        <v>0.5</v>
      </c>
      <c r="E303" s="21">
        <v>0.19400000000000001</v>
      </c>
      <c r="F303" s="21">
        <v>0</v>
      </c>
      <c r="G303" s="21">
        <v>14</v>
      </c>
      <c r="H303" s="23">
        <v>14</v>
      </c>
      <c r="I303" s="23">
        <v>0.13639999999999999</v>
      </c>
      <c r="J303" s="18"/>
      <c r="K303" s="5"/>
      <c r="L303" s="5"/>
      <c r="M303" s="5"/>
      <c r="N303" s="5"/>
      <c r="O303" s="5"/>
      <c r="P303" s="5"/>
      <c r="Q303" s="5"/>
      <c r="R303" s="5"/>
      <c r="S303" s="5"/>
      <c r="T303" s="5"/>
      <c r="U303" s="5"/>
      <c r="V303" s="5"/>
      <c r="W303" s="5"/>
      <c r="X303" s="5"/>
      <c r="Y303" s="5"/>
    </row>
    <row r="304" spans="1:25" ht="15" thickBot="1" x14ac:dyDescent="0.35">
      <c r="A304" s="27">
        <v>302</v>
      </c>
      <c r="B304" s="21">
        <v>303</v>
      </c>
      <c r="C304" s="22">
        <v>0.1212</v>
      </c>
      <c r="D304" s="21">
        <v>0.54</v>
      </c>
      <c r="E304" s="21">
        <v>0.16420000000000001</v>
      </c>
      <c r="F304" s="21">
        <v>0</v>
      </c>
      <c r="G304" s="21">
        <v>5</v>
      </c>
      <c r="H304" s="23">
        <v>5</v>
      </c>
      <c r="I304" s="23">
        <v>0.1212</v>
      </c>
      <c r="J304" s="18"/>
      <c r="K304" s="5"/>
      <c r="L304" s="5"/>
      <c r="M304" s="5"/>
      <c r="N304" s="5"/>
      <c r="O304" s="5"/>
      <c r="P304" s="5"/>
      <c r="Q304" s="5"/>
      <c r="R304" s="5"/>
      <c r="S304" s="5"/>
      <c r="T304" s="5"/>
      <c r="U304" s="5"/>
      <c r="V304" s="5"/>
      <c r="W304" s="5"/>
      <c r="X304" s="5"/>
      <c r="Y304" s="5"/>
    </row>
    <row r="305" spans="1:25" ht="15" thickBot="1" x14ac:dyDescent="0.35">
      <c r="A305" s="27">
        <v>303</v>
      </c>
      <c r="B305" s="21">
        <v>304</v>
      </c>
      <c r="C305" s="22">
        <v>0.1212</v>
      </c>
      <c r="D305" s="21">
        <v>0.54</v>
      </c>
      <c r="E305" s="21">
        <v>0.1343</v>
      </c>
      <c r="F305" s="21">
        <v>0</v>
      </c>
      <c r="G305" s="21">
        <v>1</v>
      </c>
      <c r="H305" s="23">
        <v>1</v>
      </c>
      <c r="I305" s="23">
        <v>0.1212</v>
      </c>
      <c r="J305" s="18"/>
      <c r="K305" s="5"/>
      <c r="L305" s="5"/>
      <c r="M305" s="5"/>
      <c r="N305" s="5"/>
      <c r="O305" s="5"/>
      <c r="P305" s="5"/>
      <c r="Q305" s="5"/>
      <c r="R305" s="5"/>
      <c r="S305" s="5"/>
      <c r="T305" s="5"/>
      <c r="U305" s="5"/>
      <c r="V305" s="5"/>
      <c r="W305" s="5"/>
      <c r="X305" s="5"/>
      <c r="Y305" s="5"/>
    </row>
    <row r="306" spans="1:25" ht="15" thickBot="1" x14ac:dyDescent="0.35">
      <c r="A306" s="27">
        <v>304</v>
      </c>
      <c r="B306" s="21">
        <v>305</v>
      </c>
      <c r="C306" s="22">
        <v>0.13639999999999999</v>
      </c>
      <c r="D306" s="21">
        <v>0.54</v>
      </c>
      <c r="E306" s="21">
        <v>0.1045</v>
      </c>
      <c r="F306" s="21">
        <v>0</v>
      </c>
      <c r="G306" s="21">
        <v>1</v>
      </c>
      <c r="H306" s="23">
        <v>1</v>
      </c>
      <c r="I306" s="23">
        <v>0.13639999999999999</v>
      </c>
      <c r="J306" s="18"/>
      <c r="K306" s="5"/>
      <c r="L306" s="5"/>
      <c r="M306" s="5"/>
      <c r="N306" s="5"/>
      <c r="O306" s="5"/>
      <c r="P306" s="5"/>
      <c r="Q306" s="5"/>
      <c r="R306" s="5"/>
      <c r="S306" s="5"/>
      <c r="T306" s="5"/>
      <c r="U306" s="5"/>
      <c r="V306" s="5"/>
      <c r="W306" s="5"/>
      <c r="X306" s="5"/>
      <c r="Y306" s="5"/>
    </row>
    <row r="307" spans="1:25" ht="15" thickBot="1" x14ac:dyDescent="0.35">
      <c r="A307" s="27">
        <v>305</v>
      </c>
      <c r="B307" s="21">
        <v>306</v>
      </c>
      <c r="C307" s="22">
        <v>0.13639999999999999</v>
      </c>
      <c r="D307" s="21">
        <v>0.54</v>
      </c>
      <c r="E307" s="21">
        <v>8.9599999999999999E-2</v>
      </c>
      <c r="F307" s="21">
        <v>0</v>
      </c>
      <c r="G307" s="21">
        <v>8</v>
      </c>
      <c r="H307" s="23">
        <v>8</v>
      </c>
      <c r="I307" s="23">
        <v>0.13639999999999999</v>
      </c>
      <c r="J307" s="18"/>
      <c r="K307" s="5"/>
      <c r="L307" s="5"/>
      <c r="M307" s="5"/>
      <c r="N307" s="5"/>
      <c r="O307" s="5"/>
      <c r="P307" s="5"/>
      <c r="Q307" s="5"/>
      <c r="R307" s="5"/>
      <c r="S307" s="5"/>
      <c r="T307" s="5"/>
      <c r="U307" s="5"/>
      <c r="V307" s="5"/>
      <c r="W307" s="5"/>
      <c r="X307" s="5"/>
      <c r="Y307" s="5"/>
    </row>
    <row r="308" spans="1:25" ht="15" thickBot="1" x14ac:dyDescent="0.35">
      <c r="A308" s="27">
        <v>306</v>
      </c>
      <c r="B308" s="21">
        <v>307</v>
      </c>
      <c r="C308" s="22">
        <v>0.18179999999999999</v>
      </c>
      <c r="D308" s="21">
        <v>0.54</v>
      </c>
      <c r="E308" s="22">
        <v>0.20485098360655737</v>
      </c>
      <c r="F308" s="21">
        <v>0</v>
      </c>
      <c r="G308" s="21">
        <v>17</v>
      </c>
      <c r="H308" s="23">
        <v>17</v>
      </c>
      <c r="I308" s="23">
        <v>0.18179999999999999</v>
      </c>
      <c r="J308" s="18"/>
      <c r="K308" s="5"/>
      <c r="L308" s="5"/>
      <c r="M308" s="5"/>
      <c r="N308" s="5"/>
      <c r="O308" s="5"/>
      <c r="P308" s="5"/>
      <c r="Q308" s="5"/>
      <c r="R308" s="5"/>
      <c r="S308" s="5"/>
      <c r="T308" s="5"/>
      <c r="U308" s="5"/>
      <c r="V308" s="5"/>
      <c r="W308" s="5"/>
      <c r="X308" s="5"/>
      <c r="Y308" s="5"/>
    </row>
    <row r="309" spans="1:25" ht="15" thickBot="1" x14ac:dyDescent="0.35">
      <c r="A309" s="27">
        <v>307</v>
      </c>
      <c r="B309" s="21">
        <v>308</v>
      </c>
      <c r="C309" s="22">
        <v>0.1212</v>
      </c>
      <c r="D309" s="21">
        <v>0.74</v>
      </c>
      <c r="E309" s="21">
        <v>0.16420000000000001</v>
      </c>
      <c r="F309" s="21">
        <v>0</v>
      </c>
      <c r="G309" s="21">
        <v>70</v>
      </c>
      <c r="H309" s="23">
        <v>70</v>
      </c>
      <c r="I309" s="23">
        <v>0.1212</v>
      </c>
      <c r="J309" s="18"/>
      <c r="K309" s="5"/>
      <c r="L309" s="5"/>
      <c r="M309" s="5"/>
      <c r="N309" s="5"/>
      <c r="O309" s="5"/>
      <c r="P309" s="5"/>
      <c r="Q309" s="5"/>
      <c r="R309" s="5"/>
      <c r="S309" s="5"/>
      <c r="T309" s="5"/>
      <c r="U309" s="5"/>
      <c r="V309" s="5"/>
      <c r="W309" s="5"/>
      <c r="X309" s="5"/>
      <c r="Y309" s="5"/>
    </row>
    <row r="310" spans="1:25" ht="15" thickBot="1" x14ac:dyDescent="0.35">
      <c r="A310" s="27">
        <v>308</v>
      </c>
      <c r="B310" s="21">
        <v>309</v>
      </c>
      <c r="C310" s="22">
        <v>0.16669999999999999</v>
      </c>
      <c r="D310" s="21">
        <v>0.68</v>
      </c>
      <c r="E310" s="22">
        <v>0.20485098360655737</v>
      </c>
      <c r="F310" s="21">
        <v>2</v>
      </c>
      <c r="G310" s="21">
        <v>156</v>
      </c>
      <c r="H310" s="23">
        <v>158</v>
      </c>
      <c r="I310" s="23">
        <v>0.16669999999999999</v>
      </c>
      <c r="J310" s="18"/>
      <c r="K310" s="5"/>
      <c r="L310" s="5"/>
      <c r="M310" s="5"/>
      <c r="N310" s="5"/>
      <c r="O310" s="5"/>
      <c r="P310" s="5"/>
      <c r="Q310" s="5"/>
      <c r="R310" s="5"/>
      <c r="S310" s="5"/>
      <c r="T310" s="5"/>
      <c r="U310" s="5"/>
      <c r="V310" s="5"/>
      <c r="W310" s="5"/>
      <c r="X310" s="5"/>
      <c r="Y310" s="5"/>
    </row>
    <row r="311" spans="1:25" ht="15" thickBot="1" x14ac:dyDescent="0.35">
      <c r="A311" s="27">
        <v>309</v>
      </c>
      <c r="B311" s="21">
        <v>310</v>
      </c>
      <c r="C311" s="22">
        <v>0.1515</v>
      </c>
      <c r="D311" s="21">
        <v>0.69</v>
      </c>
      <c r="E311" s="21">
        <v>0.1343</v>
      </c>
      <c r="F311" s="21">
        <v>0</v>
      </c>
      <c r="G311" s="21">
        <v>117</v>
      </c>
      <c r="H311" s="23">
        <v>117</v>
      </c>
      <c r="I311" s="23">
        <v>0.1515</v>
      </c>
      <c r="J311" s="18"/>
      <c r="K311" s="5"/>
      <c r="L311" s="5"/>
      <c r="M311" s="5"/>
      <c r="N311" s="5"/>
      <c r="O311" s="5"/>
      <c r="P311" s="5"/>
      <c r="Q311" s="5"/>
      <c r="R311" s="5"/>
      <c r="S311" s="5"/>
      <c r="T311" s="5"/>
      <c r="U311" s="5"/>
      <c r="V311" s="5"/>
      <c r="W311" s="5"/>
      <c r="X311" s="5"/>
      <c r="Y311" s="5"/>
    </row>
    <row r="312" spans="1:25" ht="15" thickBot="1" x14ac:dyDescent="0.35">
      <c r="A312" s="27">
        <v>310</v>
      </c>
      <c r="B312" s="21">
        <v>311</v>
      </c>
      <c r="C312" s="22">
        <v>0.18179999999999999</v>
      </c>
      <c r="D312" s="21">
        <v>0.55000000000000004</v>
      </c>
      <c r="E312" s="21">
        <v>0.19400000000000001</v>
      </c>
      <c r="F312" s="21">
        <v>4</v>
      </c>
      <c r="G312" s="21">
        <v>40</v>
      </c>
      <c r="H312" s="23">
        <v>44</v>
      </c>
      <c r="I312" s="23">
        <v>0.18179999999999999</v>
      </c>
      <c r="J312" s="18"/>
      <c r="K312" s="5"/>
      <c r="L312" s="5"/>
      <c r="M312" s="5"/>
      <c r="N312" s="5"/>
      <c r="O312" s="5"/>
      <c r="P312" s="5"/>
      <c r="Q312" s="5"/>
      <c r="R312" s="5"/>
      <c r="S312" s="5"/>
      <c r="T312" s="5"/>
      <c r="U312" s="5"/>
      <c r="V312" s="5"/>
      <c r="W312" s="5"/>
      <c r="X312" s="5"/>
      <c r="Y312" s="5"/>
    </row>
    <row r="313" spans="1:25" ht="15" thickBot="1" x14ac:dyDescent="0.35">
      <c r="A313" s="27">
        <v>311</v>
      </c>
      <c r="B313" s="21">
        <v>312</v>
      </c>
      <c r="C313" s="22">
        <v>0.16669999999999999</v>
      </c>
      <c r="D313" s="21">
        <v>0.51</v>
      </c>
      <c r="E313" s="21">
        <v>0.28360000000000002</v>
      </c>
      <c r="F313" s="21">
        <v>6</v>
      </c>
      <c r="G313" s="21">
        <v>47</v>
      </c>
      <c r="H313" s="23">
        <v>53</v>
      </c>
      <c r="I313" s="23">
        <v>0.16669999999999999</v>
      </c>
      <c r="J313" s="18"/>
      <c r="K313" s="5"/>
      <c r="L313" s="5"/>
      <c r="M313" s="5"/>
      <c r="N313" s="5"/>
      <c r="O313" s="5"/>
      <c r="P313" s="5"/>
      <c r="Q313" s="5"/>
      <c r="R313" s="5"/>
      <c r="S313" s="5"/>
      <c r="T313" s="5"/>
      <c r="U313" s="5"/>
      <c r="V313" s="5"/>
      <c r="W313" s="5"/>
      <c r="X313" s="5"/>
      <c r="Y313" s="5"/>
    </row>
    <row r="314" spans="1:25" ht="15" thickBot="1" x14ac:dyDescent="0.35">
      <c r="A314" s="27">
        <v>312</v>
      </c>
      <c r="B314" s="21">
        <v>313</v>
      </c>
      <c r="C314" s="22">
        <v>0.19700000000000001</v>
      </c>
      <c r="D314" s="21">
        <v>0.44</v>
      </c>
      <c r="E314" s="21">
        <v>0.25369999999999998</v>
      </c>
      <c r="F314" s="21">
        <v>2</v>
      </c>
      <c r="G314" s="21">
        <v>59</v>
      </c>
      <c r="H314" s="23">
        <v>61</v>
      </c>
      <c r="I314" s="23">
        <v>0.19700000000000001</v>
      </c>
      <c r="J314" s="18"/>
      <c r="K314" s="5"/>
      <c r="L314" s="5"/>
      <c r="M314" s="5"/>
      <c r="N314" s="5"/>
      <c r="O314" s="5"/>
      <c r="P314" s="5"/>
      <c r="Q314" s="5"/>
      <c r="R314" s="5"/>
      <c r="S314" s="5"/>
      <c r="T314" s="5"/>
      <c r="U314" s="5"/>
      <c r="V314" s="5"/>
      <c r="W314" s="5"/>
      <c r="X314" s="5"/>
      <c r="Y314" s="5"/>
    </row>
    <row r="315" spans="1:25" ht="15" thickBot="1" x14ac:dyDescent="0.35">
      <c r="A315" s="27">
        <v>313</v>
      </c>
      <c r="B315" s="21">
        <v>314</v>
      </c>
      <c r="C315" s="22">
        <v>0.19700000000000001</v>
      </c>
      <c r="D315" s="21">
        <v>0.37</v>
      </c>
      <c r="E315" s="21">
        <v>0.3881</v>
      </c>
      <c r="F315" s="21">
        <v>4</v>
      </c>
      <c r="G315" s="21">
        <v>73</v>
      </c>
      <c r="H315" s="23">
        <v>77</v>
      </c>
      <c r="I315" s="23">
        <v>0.19700000000000001</v>
      </c>
      <c r="J315" s="18"/>
      <c r="K315" s="5"/>
      <c r="L315" s="5"/>
      <c r="M315" s="5"/>
      <c r="N315" s="5"/>
      <c r="O315" s="5"/>
      <c r="P315" s="5"/>
      <c r="Q315" s="5"/>
      <c r="R315" s="5"/>
      <c r="S315" s="5"/>
      <c r="T315" s="5"/>
      <c r="U315" s="5"/>
      <c r="V315" s="5"/>
      <c r="W315" s="5"/>
      <c r="X315" s="5"/>
      <c r="Y315" s="5"/>
    </row>
    <row r="316" spans="1:25" ht="15" thickBot="1" x14ac:dyDescent="0.35">
      <c r="A316" s="27">
        <v>314</v>
      </c>
      <c r="B316" s="21">
        <v>315</v>
      </c>
      <c r="C316" s="22">
        <v>0.21210000000000001</v>
      </c>
      <c r="D316" s="21">
        <v>0.41</v>
      </c>
      <c r="E316" s="21">
        <v>0.28360000000000002</v>
      </c>
      <c r="F316" s="21">
        <v>5</v>
      </c>
      <c r="G316" s="21">
        <v>59</v>
      </c>
      <c r="H316" s="23">
        <v>64</v>
      </c>
      <c r="I316" s="23">
        <v>0.21210000000000001</v>
      </c>
      <c r="J316" s="18"/>
      <c r="K316" s="5"/>
      <c r="L316" s="5"/>
      <c r="M316" s="5"/>
      <c r="N316" s="5"/>
      <c r="O316" s="5"/>
      <c r="P316" s="5"/>
      <c r="Q316" s="5"/>
      <c r="R316" s="5"/>
      <c r="S316" s="5"/>
      <c r="T316" s="5"/>
      <c r="U316" s="5"/>
      <c r="V316" s="5"/>
      <c r="W316" s="5"/>
      <c r="X316" s="5"/>
      <c r="Y316" s="5"/>
    </row>
    <row r="317" spans="1:25" ht="15" thickBot="1" x14ac:dyDescent="0.35">
      <c r="A317" s="27">
        <v>315</v>
      </c>
      <c r="B317" s="21">
        <v>316</v>
      </c>
      <c r="C317" s="22">
        <v>0.2424</v>
      </c>
      <c r="D317" s="21">
        <v>0.38</v>
      </c>
      <c r="E317" s="21">
        <v>0.16420000000000001</v>
      </c>
      <c r="F317" s="21">
        <v>9</v>
      </c>
      <c r="G317" s="21">
        <v>59</v>
      </c>
      <c r="H317" s="23">
        <v>68</v>
      </c>
      <c r="I317" s="23">
        <v>0.2424</v>
      </c>
      <c r="J317" s="18"/>
      <c r="K317" s="5"/>
      <c r="L317" s="5"/>
      <c r="M317" s="5"/>
      <c r="N317" s="5"/>
      <c r="O317" s="5"/>
      <c r="P317" s="5"/>
      <c r="Q317" s="5"/>
      <c r="R317" s="5"/>
      <c r="S317" s="5"/>
      <c r="T317" s="5"/>
      <c r="U317" s="5"/>
      <c r="V317" s="5"/>
      <c r="W317" s="5"/>
      <c r="X317" s="5"/>
      <c r="Y317" s="5"/>
    </row>
    <row r="318" spans="1:25" ht="15" thickBot="1" x14ac:dyDescent="0.35">
      <c r="A318" s="27">
        <v>316</v>
      </c>
      <c r="B318" s="21">
        <v>317</v>
      </c>
      <c r="C318" s="22">
        <v>0.2424</v>
      </c>
      <c r="D318" s="21">
        <v>0.41</v>
      </c>
      <c r="E318" s="21">
        <v>0.1045</v>
      </c>
      <c r="F318" s="21">
        <v>3</v>
      </c>
      <c r="G318" s="21">
        <v>87</v>
      </c>
      <c r="H318" s="23">
        <v>90</v>
      </c>
      <c r="I318" s="23">
        <v>0.2424</v>
      </c>
      <c r="J318" s="18"/>
      <c r="K318" s="5"/>
      <c r="L318" s="5"/>
      <c r="M318" s="5"/>
      <c r="N318" s="5"/>
      <c r="O318" s="5"/>
      <c r="P318" s="5"/>
      <c r="Q318" s="5"/>
      <c r="R318" s="5"/>
      <c r="S318" s="5"/>
      <c r="T318" s="5"/>
      <c r="U318" s="5"/>
      <c r="V318" s="5"/>
      <c r="W318" s="5"/>
      <c r="X318" s="5"/>
      <c r="Y318" s="5"/>
    </row>
    <row r="319" spans="1:25" ht="15" thickBot="1" x14ac:dyDescent="0.35">
      <c r="A319" s="27">
        <v>317</v>
      </c>
      <c r="B319" s="21">
        <v>318</v>
      </c>
      <c r="C319" s="22">
        <v>0.2273</v>
      </c>
      <c r="D319" s="21">
        <v>0.41</v>
      </c>
      <c r="E319" s="21">
        <v>0.16420000000000001</v>
      </c>
      <c r="F319" s="21">
        <v>4</v>
      </c>
      <c r="G319" s="21">
        <v>155</v>
      </c>
      <c r="H319" s="23">
        <v>159</v>
      </c>
      <c r="I319" s="23">
        <v>0.2273</v>
      </c>
      <c r="J319" s="18"/>
      <c r="K319" s="5"/>
      <c r="L319" s="5"/>
      <c r="M319" s="5"/>
      <c r="N319" s="5"/>
      <c r="O319" s="5"/>
      <c r="P319" s="5"/>
      <c r="Q319" s="5"/>
      <c r="R319" s="5"/>
      <c r="S319" s="5"/>
      <c r="T319" s="5"/>
      <c r="U319" s="5"/>
      <c r="V319" s="5"/>
      <c r="W319" s="5"/>
      <c r="X319" s="5"/>
      <c r="Y319" s="5"/>
    </row>
    <row r="320" spans="1:25" ht="15" thickBot="1" x14ac:dyDescent="0.35">
      <c r="A320" s="27">
        <v>318</v>
      </c>
      <c r="B320" s="21">
        <v>319</v>
      </c>
      <c r="C320" s="22">
        <v>0.2576</v>
      </c>
      <c r="D320" s="21">
        <v>0.47</v>
      </c>
      <c r="E320" s="22">
        <v>0.20485098360655737</v>
      </c>
      <c r="F320" s="21">
        <v>5</v>
      </c>
      <c r="G320" s="21">
        <v>134</v>
      </c>
      <c r="H320" s="23">
        <v>139</v>
      </c>
      <c r="I320" s="23">
        <v>0.2576</v>
      </c>
      <c r="J320" s="18"/>
      <c r="K320" s="5"/>
      <c r="L320" s="5"/>
      <c r="M320" s="5"/>
      <c r="N320" s="5"/>
      <c r="O320" s="5"/>
      <c r="P320" s="5"/>
      <c r="Q320" s="5"/>
      <c r="R320" s="5"/>
      <c r="S320" s="5"/>
      <c r="T320" s="5"/>
      <c r="U320" s="5"/>
      <c r="V320" s="5"/>
      <c r="W320" s="5"/>
      <c r="X320" s="5"/>
      <c r="Y320" s="5"/>
    </row>
    <row r="321" spans="1:25" ht="15" thickBot="1" x14ac:dyDescent="0.35">
      <c r="A321" s="27">
        <v>319</v>
      </c>
      <c r="B321" s="21">
        <v>320</v>
      </c>
      <c r="C321" s="22">
        <v>0.19700000000000001</v>
      </c>
      <c r="D321" s="21">
        <v>0.59</v>
      </c>
      <c r="E321" s="21">
        <v>8.9599999999999999E-2</v>
      </c>
      <c r="F321" s="21">
        <v>3</v>
      </c>
      <c r="G321" s="21">
        <v>89</v>
      </c>
      <c r="H321" s="23">
        <v>92</v>
      </c>
      <c r="I321" s="23">
        <v>0.19700000000000001</v>
      </c>
      <c r="J321" s="18"/>
      <c r="K321" s="5"/>
      <c r="L321" s="5"/>
      <c r="M321" s="5"/>
      <c r="N321" s="5"/>
      <c r="O321" s="5"/>
      <c r="P321" s="5"/>
      <c r="Q321" s="5"/>
      <c r="R321" s="5"/>
      <c r="S321" s="5"/>
      <c r="T321" s="5"/>
      <c r="U321" s="5"/>
      <c r="V321" s="5"/>
      <c r="W321" s="5"/>
      <c r="X321" s="5"/>
      <c r="Y321" s="5"/>
    </row>
    <row r="322" spans="1:25" ht="15" thickBot="1" x14ac:dyDescent="0.35">
      <c r="A322" s="27">
        <v>320</v>
      </c>
      <c r="B322" s="21">
        <v>321</v>
      </c>
      <c r="C322" s="22">
        <v>0.2424</v>
      </c>
      <c r="D322" s="21">
        <v>0.59</v>
      </c>
      <c r="E322" s="22">
        <v>0.20485098360655737</v>
      </c>
      <c r="F322" s="21">
        <v>0</v>
      </c>
      <c r="G322" s="21">
        <v>68</v>
      </c>
      <c r="H322" s="23">
        <v>68</v>
      </c>
      <c r="I322" s="23">
        <v>0.2424</v>
      </c>
      <c r="J322" s="18"/>
      <c r="K322" s="5"/>
      <c r="L322" s="5"/>
      <c r="M322" s="5"/>
      <c r="N322" s="5"/>
      <c r="O322" s="5"/>
      <c r="P322" s="5"/>
      <c r="Q322" s="5"/>
      <c r="R322" s="5"/>
      <c r="S322" s="5"/>
      <c r="T322" s="5"/>
      <c r="U322" s="5"/>
      <c r="V322" s="5"/>
      <c r="W322" s="5"/>
      <c r="X322" s="5"/>
      <c r="Y322" s="5"/>
    </row>
    <row r="323" spans="1:25" ht="15" thickBot="1" x14ac:dyDescent="0.35">
      <c r="A323" s="27">
        <v>321</v>
      </c>
      <c r="B323" s="21">
        <v>322</v>
      </c>
      <c r="C323" s="22">
        <v>0.2273</v>
      </c>
      <c r="D323" s="21">
        <v>0.69</v>
      </c>
      <c r="E323" s="22">
        <v>0.20485098360655737</v>
      </c>
      <c r="F323" s="21">
        <v>4</v>
      </c>
      <c r="G323" s="21">
        <v>48</v>
      </c>
      <c r="H323" s="23">
        <v>52</v>
      </c>
      <c r="I323" s="23">
        <v>0.2273</v>
      </c>
      <c r="J323" s="18"/>
      <c r="K323" s="5"/>
      <c r="L323" s="5"/>
      <c r="M323" s="5"/>
      <c r="N323" s="5"/>
      <c r="O323" s="5"/>
      <c r="P323" s="5"/>
      <c r="Q323" s="5"/>
      <c r="R323" s="5"/>
      <c r="S323" s="5"/>
      <c r="T323" s="5"/>
      <c r="U323" s="5"/>
      <c r="V323" s="5"/>
      <c r="W323" s="5"/>
      <c r="X323" s="5"/>
      <c r="Y323" s="5"/>
    </row>
    <row r="324" spans="1:25" ht="15" thickBot="1" x14ac:dyDescent="0.35">
      <c r="A324" s="27">
        <v>322</v>
      </c>
      <c r="B324" s="21">
        <v>323</v>
      </c>
      <c r="C324" s="22">
        <v>0.2273</v>
      </c>
      <c r="D324" s="21">
        <v>0.69</v>
      </c>
      <c r="E324" s="22">
        <v>0.20485098360655737</v>
      </c>
      <c r="F324" s="21">
        <v>2</v>
      </c>
      <c r="G324" s="21">
        <v>34</v>
      </c>
      <c r="H324" s="23">
        <v>36</v>
      </c>
      <c r="I324" s="23">
        <v>0.2273</v>
      </c>
      <c r="J324" s="18"/>
      <c r="K324" s="5"/>
      <c r="L324" s="5"/>
      <c r="M324" s="5"/>
      <c r="N324" s="5"/>
      <c r="O324" s="5"/>
      <c r="P324" s="5"/>
      <c r="Q324" s="5"/>
      <c r="R324" s="5"/>
      <c r="S324" s="5"/>
      <c r="T324" s="5"/>
      <c r="U324" s="5"/>
      <c r="V324" s="5"/>
      <c r="W324" s="5"/>
      <c r="X324" s="5"/>
      <c r="Y324" s="5"/>
    </row>
    <row r="325" spans="1:25" ht="15" thickBot="1" x14ac:dyDescent="0.35">
      <c r="A325" s="27">
        <v>323</v>
      </c>
      <c r="B325" s="21">
        <v>324</v>
      </c>
      <c r="C325" s="22">
        <v>0.2424</v>
      </c>
      <c r="D325" s="21">
        <v>0.55000000000000004</v>
      </c>
      <c r="E325" s="22">
        <v>0.20485098360655737</v>
      </c>
      <c r="F325" s="21">
        <v>1</v>
      </c>
      <c r="G325" s="21">
        <v>26</v>
      </c>
      <c r="H325" s="23">
        <v>27</v>
      </c>
      <c r="I325" s="23">
        <v>0.2424</v>
      </c>
      <c r="J325" s="18"/>
      <c r="K325" s="5"/>
      <c r="L325" s="5"/>
      <c r="M325" s="5"/>
      <c r="N325" s="5"/>
      <c r="O325" s="5"/>
      <c r="P325" s="5"/>
      <c r="Q325" s="5"/>
      <c r="R325" s="5"/>
      <c r="S325" s="5"/>
      <c r="T325" s="5"/>
      <c r="U325" s="5"/>
      <c r="V325" s="5"/>
      <c r="W325" s="5"/>
      <c r="X325" s="5"/>
      <c r="Y325" s="5"/>
    </row>
    <row r="326" spans="1:25" ht="15" thickBot="1" x14ac:dyDescent="0.35">
      <c r="A326" s="27">
        <v>324</v>
      </c>
      <c r="B326" s="21">
        <v>325</v>
      </c>
      <c r="C326" s="22">
        <v>0.2424</v>
      </c>
      <c r="D326" s="21">
        <v>0.55000000000000004</v>
      </c>
      <c r="E326" s="22">
        <v>0.20485098360655737</v>
      </c>
      <c r="F326" s="21">
        <v>3</v>
      </c>
      <c r="G326" s="21">
        <v>25</v>
      </c>
      <c r="H326" s="23">
        <v>28</v>
      </c>
      <c r="I326" s="23">
        <v>0.2424</v>
      </c>
      <c r="J326" s="18"/>
      <c r="K326" s="5"/>
      <c r="L326" s="5"/>
      <c r="M326" s="5"/>
      <c r="N326" s="5"/>
      <c r="O326" s="5"/>
      <c r="P326" s="5"/>
      <c r="Q326" s="5"/>
      <c r="R326" s="5"/>
      <c r="S326" s="5"/>
      <c r="T326" s="5"/>
      <c r="U326" s="5"/>
      <c r="V326" s="5"/>
      <c r="W326" s="5"/>
      <c r="X326" s="5"/>
      <c r="Y326" s="5"/>
    </row>
    <row r="327" spans="1:25" ht="15" thickBot="1" x14ac:dyDescent="0.35">
      <c r="A327" s="27">
        <v>325</v>
      </c>
      <c r="B327" s="21">
        <v>326</v>
      </c>
      <c r="C327" s="22">
        <v>0.19700000000000001</v>
      </c>
      <c r="D327" s="21">
        <v>0.59</v>
      </c>
      <c r="E327" s="21">
        <v>8.9599999999999999E-2</v>
      </c>
      <c r="F327" s="21">
        <v>2</v>
      </c>
      <c r="G327" s="21">
        <v>18</v>
      </c>
      <c r="H327" s="23">
        <v>20</v>
      </c>
      <c r="I327" s="23">
        <v>0.19700000000000001</v>
      </c>
      <c r="J327" s="18"/>
      <c r="K327" s="5"/>
      <c r="L327" s="5"/>
      <c r="M327" s="5"/>
      <c r="N327" s="5"/>
      <c r="O327" s="5"/>
      <c r="P327" s="5"/>
      <c r="Q327" s="5"/>
      <c r="R327" s="5"/>
      <c r="S327" s="5"/>
      <c r="T327" s="5"/>
      <c r="U327" s="5"/>
      <c r="V327" s="5"/>
      <c r="W327" s="5"/>
      <c r="X327" s="5"/>
      <c r="Y327" s="5"/>
    </row>
    <row r="328" spans="1:25" ht="15" thickBot="1" x14ac:dyDescent="0.35">
      <c r="A328" s="27">
        <v>326</v>
      </c>
      <c r="B328" s="21">
        <v>327</v>
      </c>
      <c r="C328" s="22">
        <v>0.19700000000000001</v>
      </c>
      <c r="D328" s="21">
        <v>0.59</v>
      </c>
      <c r="E328" s="21">
        <v>8.9599999999999999E-2</v>
      </c>
      <c r="F328" s="21">
        <v>0</v>
      </c>
      <c r="G328" s="21">
        <v>12</v>
      </c>
      <c r="H328" s="23">
        <v>12</v>
      </c>
      <c r="I328" s="23">
        <v>0.19700000000000001</v>
      </c>
      <c r="J328" s="18"/>
      <c r="K328" s="5"/>
      <c r="L328" s="5"/>
      <c r="M328" s="5"/>
      <c r="N328" s="5"/>
      <c r="O328" s="5"/>
      <c r="P328" s="5"/>
      <c r="Q328" s="5"/>
      <c r="R328" s="5"/>
      <c r="S328" s="5"/>
      <c r="T328" s="5"/>
      <c r="U328" s="5"/>
      <c r="V328" s="5"/>
      <c r="W328" s="5"/>
      <c r="X328" s="5"/>
      <c r="Y328" s="5"/>
    </row>
    <row r="329" spans="1:25" ht="15" thickBot="1" x14ac:dyDescent="0.35">
      <c r="A329" s="27">
        <v>327</v>
      </c>
      <c r="B329" s="21">
        <v>328</v>
      </c>
      <c r="C329" s="22">
        <v>0.2273</v>
      </c>
      <c r="D329" s="21">
        <v>0.59</v>
      </c>
      <c r="E329" s="22">
        <v>0.20485098360655737</v>
      </c>
      <c r="F329" s="21">
        <v>1</v>
      </c>
      <c r="G329" s="21">
        <v>7</v>
      </c>
      <c r="H329" s="23">
        <v>8</v>
      </c>
      <c r="I329" s="23">
        <v>0.2273</v>
      </c>
      <c r="J329" s="18"/>
      <c r="K329" s="5"/>
      <c r="L329" s="5"/>
      <c r="M329" s="5"/>
      <c r="N329" s="5"/>
      <c r="O329" s="5"/>
      <c r="P329" s="5"/>
      <c r="Q329" s="5"/>
      <c r="R329" s="5"/>
      <c r="S329" s="5"/>
      <c r="T329" s="5"/>
      <c r="U329" s="5"/>
      <c r="V329" s="5"/>
      <c r="W329" s="5"/>
      <c r="X329" s="5"/>
      <c r="Y329" s="5"/>
    </row>
    <row r="330" spans="1:25" ht="15" thickBot="1" x14ac:dyDescent="0.35">
      <c r="A330" s="27">
        <v>328</v>
      </c>
      <c r="B330" s="21">
        <v>329</v>
      </c>
      <c r="C330" s="22">
        <v>0.2273</v>
      </c>
      <c r="D330" s="21">
        <v>0.59</v>
      </c>
      <c r="E330" s="22">
        <v>0.20485098360655737</v>
      </c>
      <c r="F330" s="21">
        <v>0</v>
      </c>
      <c r="G330" s="21">
        <v>5</v>
      </c>
      <c r="H330" s="23">
        <v>5</v>
      </c>
      <c r="I330" s="23">
        <v>0.2273</v>
      </c>
      <c r="J330" s="18"/>
      <c r="K330" s="5"/>
      <c r="L330" s="5"/>
      <c r="M330" s="5"/>
      <c r="N330" s="5"/>
      <c r="O330" s="5"/>
      <c r="P330" s="5"/>
      <c r="Q330" s="5"/>
      <c r="R330" s="5"/>
      <c r="S330" s="5"/>
      <c r="T330" s="5"/>
      <c r="U330" s="5"/>
      <c r="V330" s="5"/>
      <c r="W330" s="5"/>
      <c r="X330" s="5"/>
      <c r="Y330" s="5"/>
    </row>
    <row r="331" spans="1:25" ht="15" thickBot="1" x14ac:dyDescent="0.35">
      <c r="A331" s="27">
        <v>329</v>
      </c>
      <c r="B331" s="21">
        <v>330</v>
      </c>
      <c r="C331" s="22">
        <v>0.2273</v>
      </c>
      <c r="D331" s="21">
        <v>0.59</v>
      </c>
      <c r="E331" s="22">
        <v>0.20485098360655737</v>
      </c>
      <c r="F331" s="21">
        <v>0</v>
      </c>
      <c r="G331" s="21">
        <v>1</v>
      </c>
      <c r="H331" s="23">
        <v>1</v>
      </c>
      <c r="I331" s="23">
        <v>0.2273</v>
      </c>
      <c r="J331" s="18"/>
      <c r="K331" s="5"/>
      <c r="L331" s="5"/>
      <c r="M331" s="5"/>
      <c r="N331" s="5"/>
      <c r="O331" s="5"/>
      <c r="P331" s="5"/>
      <c r="Q331" s="5"/>
      <c r="R331" s="5"/>
      <c r="S331" s="5"/>
      <c r="T331" s="5"/>
      <c r="U331" s="5"/>
      <c r="V331" s="5"/>
      <c r="W331" s="5"/>
      <c r="X331" s="5"/>
      <c r="Y331" s="5"/>
    </row>
    <row r="332" spans="1:25" ht="15" thickBot="1" x14ac:dyDescent="0.35">
      <c r="A332" s="27">
        <v>330</v>
      </c>
      <c r="B332" s="21">
        <v>331</v>
      </c>
      <c r="C332" s="22">
        <v>0.16669999999999999</v>
      </c>
      <c r="D332" s="21">
        <v>0.63</v>
      </c>
      <c r="E332" s="21">
        <v>0.1045</v>
      </c>
      <c r="F332" s="21">
        <v>1</v>
      </c>
      <c r="G332" s="21">
        <v>2</v>
      </c>
      <c r="H332" s="23">
        <v>3</v>
      </c>
      <c r="I332" s="23">
        <v>0.16669999999999999</v>
      </c>
      <c r="J332" s="18"/>
      <c r="K332" s="5"/>
      <c r="L332" s="5"/>
      <c r="M332" s="5"/>
      <c r="N332" s="5"/>
      <c r="O332" s="5"/>
      <c r="P332" s="5"/>
      <c r="Q332" s="5"/>
      <c r="R332" s="5"/>
      <c r="S332" s="5"/>
      <c r="T332" s="5"/>
      <c r="U332" s="5"/>
      <c r="V332" s="5"/>
      <c r="W332" s="5"/>
      <c r="X332" s="5"/>
      <c r="Y332" s="5"/>
    </row>
    <row r="333" spans="1:25" ht="15" thickBot="1" x14ac:dyDescent="0.35">
      <c r="A333" s="27">
        <v>331</v>
      </c>
      <c r="B333" s="21">
        <v>332</v>
      </c>
      <c r="C333" s="22">
        <v>0.21210000000000001</v>
      </c>
      <c r="D333" s="21">
        <v>0.63</v>
      </c>
      <c r="E333" s="22">
        <v>0.20485098360655737</v>
      </c>
      <c r="F333" s="21">
        <v>1</v>
      </c>
      <c r="G333" s="21">
        <v>9</v>
      </c>
      <c r="H333" s="23">
        <v>10</v>
      </c>
      <c r="I333" s="23">
        <v>0.21210000000000001</v>
      </c>
      <c r="J333" s="18"/>
      <c r="K333" s="5"/>
      <c r="L333" s="5"/>
      <c r="M333" s="5"/>
      <c r="N333" s="5"/>
      <c r="O333" s="5"/>
      <c r="P333" s="5"/>
      <c r="Q333" s="5"/>
      <c r="R333" s="5"/>
      <c r="S333" s="5"/>
      <c r="T333" s="5"/>
      <c r="U333" s="5"/>
      <c r="V333" s="5"/>
      <c r="W333" s="5"/>
      <c r="X333" s="5"/>
      <c r="Y333" s="5"/>
    </row>
    <row r="334" spans="1:25" ht="15" thickBot="1" x14ac:dyDescent="0.35">
      <c r="A334" s="27">
        <v>332</v>
      </c>
      <c r="B334" s="21">
        <v>333</v>
      </c>
      <c r="C334" s="22">
        <v>0.1515</v>
      </c>
      <c r="D334" s="21">
        <v>0.63</v>
      </c>
      <c r="E334" s="21">
        <v>0.1343</v>
      </c>
      <c r="F334" s="21">
        <v>1</v>
      </c>
      <c r="G334" s="21">
        <v>22</v>
      </c>
      <c r="H334" s="23">
        <v>23</v>
      </c>
      <c r="I334" s="23">
        <v>0.1515</v>
      </c>
      <c r="J334" s="18"/>
      <c r="K334" s="5"/>
      <c r="L334" s="5"/>
      <c r="M334" s="5"/>
      <c r="N334" s="5"/>
      <c r="O334" s="5"/>
      <c r="P334" s="5"/>
      <c r="Q334" s="5"/>
      <c r="R334" s="5"/>
      <c r="S334" s="5"/>
      <c r="T334" s="5"/>
      <c r="U334" s="5"/>
      <c r="V334" s="5"/>
      <c r="W334" s="5"/>
      <c r="X334" s="5"/>
      <c r="Y334" s="5"/>
    </row>
    <row r="335" spans="1:25" ht="15" thickBot="1" x14ac:dyDescent="0.35">
      <c r="A335" s="27">
        <v>333</v>
      </c>
      <c r="B335" s="21">
        <v>334</v>
      </c>
      <c r="C335" s="22">
        <v>0.18179999999999999</v>
      </c>
      <c r="D335" s="21">
        <v>0.64</v>
      </c>
      <c r="E335" s="21">
        <v>0.1343</v>
      </c>
      <c r="F335" s="21">
        <v>2</v>
      </c>
      <c r="G335" s="21">
        <v>31</v>
      </c>
      <c r="H335" s="23">
        <v>33</v>
      </c>
      <c r="I335" s="23">
        <v>0.18179999999999999</v>
      </c>
      <c r="J335" s="18"/>
      <c r="K335" s="5"/>
      <c r="L335" s="5"/>
      <c r="M335" s="5"/>
      <c r="N335" s="5"/>
      <c r="O335" s="5"/>
      <c r="P335" s="5"/>
      <c r="Q335" s="5"/>
      <c r="R335" s="5"/>
      <c r="S335" s="5"/>
      <c r="T335" s="5"/>
      <c r="U335" s="5"/>
      <c r="V335" s="5"/>
      <c r="W335" s="5"/>
      <c r="X335" s="5"/>
      <c r="Y335" s="5"/>
    </row>
    <row r="336" spans="1:25" ht="15" thickBot="1" x14ac:dyDescent="0.35">
      <c r="A336" s="27">
        <v>334</v>
      </c>
      <c r="B336" s="21">
        <v>335</v>
      </c>
      <c r="C336" s="22">
        <v>0.19700000000000001</v>
      </c>
      <c r="D336" s="21">
        <v>0.59</v>
      </c>
      <c r="E336" s="21">
        <v>0.16420000000000001</v>
      </c>
      <c r="F336" s="21">
        <v>2</v>
      </c>
      <c r="G336" s="21">
        <v>57</v>
      </c>
      <c r="H336" s="23">
        <v>59</v>
      </c>
      <c r="I336" s="23">
        <v>0.19700000000000001</v>
      </c>
      <c r="J336" s="18"/>
      <c r="K336" s="5"/>
      <c r="L336" s="5"/>
      <c r="M336" s="5"/>
      <c r="N336" s="5"/>
      <c r="O336" s="5"/>
      <c r="P336" s="5"/>
      <c r="Q336" s="5"/>
      <c r="R336" s="5"/>
      <c r="S336" s="5"/>
      <c r="T336" s="5"/>
      <c r="U336" s="5"/>
      <c r="V336" s="5"/>
      <c r="W336" s="5"/>
      <c r="X336" s="5"/>
      <c r="Y336" s="5"/>
    </row>
    <row r="337" spans="1:25" ht="15" thickBot="1" x14ac:dyDescent="0.35">
      <c r="A337" s="27">
        <v>335</v>
      </c>
      <c r="B337" s="21">
        <v>336</v>
      </c>
      <c r="C337" s="22">
        <v>0.19700000000000001</v>
      </c>
      <c r="D337" s="21">
        <v>0.55000000000000004</v>
      </c>
      <c r="E337" s="21">
        <v>0.22389999999999999</v>
      </c>
      <c r="F337" s="21">
        <v>18</v>
      </c>
      <c r="G337" s="21">
        <v>54</v>
      </c>
      <c r="H337" s="23">
        <v>72</v>
      </c>
      <c r="I337" s="23">
        <v>0.19700000000000001</v>
      </c>
      <c r="J337" s="18"/>
      <c r="K337" s="5"/>
      <c r="L337" s="5"/>
      <c r="M337" s="5"/>
      <c r="N337" s="5"/>
      <c r="O337" s="5"/>
      <c r="P337" s="5"/>
      <c r="Q337" s="5"/>
      <c r="R337" s="5"/>
      <c r="S337" s="5"/>
      <c r="T337" s="5"/>
      <c r="U337" s="5"/>
      <c r="V337" s="5"/>
      <c r="W337" s="5"/>
      <c r="X337" s="5"/>
      <c r="Y337" s="5"/>
    </row>
    <row r="338" spans="1:25" ht="15" thickBot="1" x14ac:dyDescent="0.35">
      <c r="A338" s="27">
        <v>336</v>
      </c>
      <c r="B338" s="21">
        <v>337</v>
      </c>
      <c r="C338" s="22">
        <v>0.2273</v>
      </c>
      <c r="D338" s="21">
        <v>0.48</v>
      </c>
      <c r="E338" s="21">
        <v>0.22389999999999999</v>
      </c>
      <c r="F338" s="21">
        <v>15</v>
      </c>
      <c r="G338" s="21">
        <v>74</v>
      </c>
      <c r="H338" s="23">
        <v>89</v>
      </c>
      <c r="I338" s="23">
        <v>0.2273</v>
      </c>
      <c r="J338" s="18"/>
      <c r="K338" s="5"/>
      <c r="L338" s="5"/>
      <c r="M338" s="5"/>
      <c r="N338" s="5"/>
      <c r="O338" s="5"/>
      <c r="P338" s="5"/>
      <c r="Q338" s="5"/>
      <c r="R338" s="5"/>
      <c r="S338" s="5"/>
      <c r="T338" s="5"/>
      <c r="U338" s="5"/>
      <c r="V338" s="5"/>
      <c r="W338" s="5"/>
      <c r="X338" s="5"/>
      <c r="Y338" s="5"/>
    </row>
    <row r="339" spans="1:25" ht="15" thickBot="1" x14ac:dyDescent="0.35">
      <c r="A339" s="27">
        <v>337</v>
      </c>
      <c r="B339" s="21">
        <v>338</v>
      </c>
      <c r="C339" s="22">
        <v>0.2576</v>
      </c>
      <c r="D339" s="21">
        <v>0.38</v>
      </c>
      <c r="E339" s="21">
        <v>0.29849999999999999</v>
      </c>
      <c r="F339" s="21">
        <v>21</v>
      </c>
      <c r="G339" s="21">
        <v>80</v>
      </c>
      <c r="H339" s="23">
        <v>101</v>
      </c>
      <c r="I339" s="23">
        <v>0.2576</v>
      </c>
      <c r="J339" s="18"/>
      <c r="K339" s="5"/>
      <c r="L339" s="5"/>
      <c r="M339" s="5"/>
      <c r="N339" s="5"/>
      <c r="O339" s="5"/>
      <c r="P339" s="5"/>
      <c r="Q339" s="5"/>
      <c r="R339" s="5"/>
      <c r="S339" s="5"/>
      <c r="T339" s="5"/>
      <c r="U339" s="5"/>
      <c r="V339" s="5"/>
      <c r="W339" s="5"/>
      <c r="X339" s="5"/>
      <c r="Y339" s="5"/>
    </row>
    <row r="340" spans="1:25" ht="15" thickBot="1" x14ac:dyDescent="0.35">
      <c r="A340" s="27">
        <v>338</v>
      </c>
      <c r="B340" s="21">
        <v>339</v>
      </c>
      <c r="C340" s="22">
        <v>0.28789999999999999</v>
      </c>
      <c r="D340" s="21">
        <v>0.39</v>
      </c>
      <c r="E340" s="21">
        <v>0.28360000000000002</v>
      </c>
      <c r="F340" s="21">
        <v>26</v>
      </c>
      <c r="G340" s="21">
        <v>92</v>
      </c>
      <c r="H340" s="23">
        <v>118</v>
      </c>
      <c r="I340" s="23">
        <v>0.28789999999999999</v>
      </c>
      <c r="J340" s="18"/>
      <c r="K340" s="5"/>
      <c r="L340" s="5"/>
      <c r="M340" s="5"/>
      <c r="N340" s="5"/>
      <c r="O340" s="5"/>
      <c r="P340" s="5"/>
      <c r="Q340" s="5"/>
      <c r="R340" s="5"/>
      <c r="S340" s="5"/>
      <c r="T340" s="5"/>
      <c r="U340" s="5"/>
      <c r="V340" s="5"/>
      <c r="W340" s="5"/>
      <c r="X340" s="5"/>
      <c r="Y340" s="5"/>
    </row>
    <row r="341" spans="1:25" ht="15" thickBot="1" x14ac:dyDescent="0.35">
      <c r="A341" s="27">
        <v>339</v>
      </c>
      <c r="B341" s="21">
        <v>340</v>
      </c>
      <c r="C341" s="22">
        <v>0.31819999999999998</v>
      </c>
      <c r="D341" s="21">
        <v>0.36</v>
      </c>
      <c r="E341" s="21">
        <v>0.19400000000000001</v>
      </c>
      <c r="F341" s="21">
        <v>21</v>
      </c>
      <c r="G341" s="21">
        <v>108</v>
      </c>
      <c r="H341" s="23">
        <v>129</v>
      </c>
      <c r="I341" s="23">
        <v>0.31819999999999998</v>
      </c>
      <c r="J341" s="18"/>
      <c r="K341" s="5"/>
      <c r="L341" s="5"/>
      <c r="M341" s="5"/>
      <c r="N341" s="5"/>
      <c r="O341" s="5"/>
      <c r="P341" s="5"/>
      <c r="Q341" s="5"/>
      <c r="R341" s="5"/>
      <c r="S341" s="5"/>
      <c r="T341" s="5"/>
      <c r="U341" s="5"/>
      <c r="V341" s="5"/>
      <c r="W341" s="5"/>
      <c r="X341" s="5"/>
      <c r="Y341" s="5"/>
    </row>
    <row r="342" spans="1:25" ht="15" thickBot="1" x14ac:dyDescent="0.35">
      <c r="A342" s="27">
        <v>340</v>
      </c>
      <c r="B342" s="21">
        <v>341</v>
      </c>
      <c r="C342" s="22">
        <v>0.33329999999999999</v>
      </c>
      <c r="D342" s="21">
        <v>0.34</v>
      </c>
      <c r="E342" s="21">
        <v>0.19400000000000001</v>
      </c>
      <c r="F342" s="21">
        <v>33</v>
      </c>
      <c r="G342" s="21">
        <v>95</v>
      </c>
      <c r="H342" s="23">
        <v>128</v>
      </c>
      <c r="I342" s="23">
        <v>0.33329999999999999</v>
      </c>
      <c r="J342" s="18"/>
      <c r="K342" s="5"/>
      <c r="L342" s="5"/>
      <c r="M342" s="5"/>
      <c r="N342" s="5"/>
      <c r="O342" s="5"/>
      <c r="P342" s="5"/>
      <c r="Q342" s="5"/>
      <c r="R342" s="5"/>
      <c r="S342" s="5"/>
      <c r="T342" s="5"/>
      <c r="U342" s="5"/>
      <c r="V342" s="5"/>
      <c r="W342" s="5"/>
      <c r="X342" s="5"/>
      <c r="Y342" s="5"/>
    </row>
    <row r="343" spans="1:25" ht="15" thickBot="1" x14ac:dyDescent="0.35">
      <c r="A343" s="27">
        <v>341</v>
      </c>
      <c r="B343" s="21">
        <v>342</v>
      </c>
      <c r="C343" s="22">
        <v>0.30299999999999999</v>
      </c>
      <c r="D343" s="21">
        <v>0.36</v>
      </c>
      <c r="E343" s="21">
        <v>0.28360000000000002</v>
      </c>
      <c r="F343" s="21">
        <v>29</v>
      </c>
      <c r="G343" s="21">
        <v>54</v>
      </c>
      <c r="H343" s="23">
        <v>83</v>
      </c>
      <c r="I343" s="23">
        <v>0.30299999999999999</v>
      </c>
      <c r="J343" s="18"/>
      <c r="K343" s="5"/>
      <c r="L343" s="5"/>
      <c r="M343" s="5"/>
      <c r="N343" s="5"/>
      <c r="O343" s="5"/>
      <c r="P343" s="5"/>
      <c r="Q343" s="5"/>
      <c r="R343" s="5"/>
      <c r="S343" s="5"/>
      <c r="T343" s="5"/>
      <c r="U343" s="5"/>
      <c r="V343" s="5"/>
      <c r="W343" s="5"/>
      <c r="X343" s="5"/>
      <c r="Y343" s="5"/>
    </row>
    <row r="344" spans="1:25" ht="15" thickBot="1" x14ac:dyDescent="0.35">
      <c r="A344" s="27">
        <v>342</v>
      </c>
      <c r="B344" s="21">
        <v>343</v>
      </c>
      <c r="C344" s="22">
        <v>0.28789999999999999</v>
      </c>
      <c r="D344" s="21">
        <v>0.45</v>
      </c>
      <c r="E344" s="21">
        <v>0.25369999999999998</v>
      </c>
      <c r="F344" s="21">
        <v>15</v>
      </c>
      <c r="G344" s="21">
        <v>69</v>
      </c>
      <c r="H344" s="23">
        <v>84</v>
      </c>
      <c r="I344" s="23">
        <v>0.28789999999999999</v>
      </c>
      <c r="J344" s="18"/>
      <c r="K344" s="5"/>
      <c r="L344" s="5"/>
      <c r="M344" s="5"/>
      <c r="N344" s="5"/>
      <c r="O344" s="5"/>
      <c r="P344" s="5"/>
      <c r="Q344" s="5"/>
      <c r="R344" s="5"/>
      <c r="S344" s="5"/>
      <c r="T344" s="5"/>
      <c r="U344" s="5"/>
      <c r="V344" s="5"/>
      <c r="W344" s="5"/>
      <c r="X344" s="5"/>
      <c r="Y344" s="5"/>
    </row>
    <row r="345" spans="1:25" ht="15" thickBot="1" x14ac:dyDescent="0.35">
      <c r="A345" s="27">
        <v>343</v>
      </c>
      <c r="B345" s="21">
        <v>344</v>
      </c>
      <c r="C345" s="22">
        <v>0.30299999999999999</v>
      </c>
      <c r="D345" s="21">
        <v>0.39</v>
      </c>
      <c r="E345" s="21">
        <v>0.25369999999999998</v>
      </c>
      <c r="F345" s="21">
        <v>14</v>
      </c>
      <c r="G345" s="21">
        <v>60</v>
      </c>
      <c r="H345" s="23">
        <v>74</v>
      </c>
      <c r="I345" s="23">
        <v>0.30299999999999999</v>
      </c>
      <c r="J345" s="18"/>
      <c r="K345" s="5"/>
      <c r="L345" s="5"/>
      <c r="M345" s="5"/>
      <c r="N345" s="5"/>
      <c r="O345" s="5"/>
      <c r="P345" s="5"/>
      <c r="Q345" s="5"/>
      <c r="R345" s="5"/>
      <c r="S345" s="5"/>
      <c r="T345" s="5"/>
      <c r="U345" s="5"/>
      <c r="V345" s="5"/>
      <c r="W345" s="5"/>
      <c r="X345" s="5"/>
      <c r="Y345" s="5"/>
    </row>
    <row r="346" spans="1:25" ht="15" thickBot="1" x14ac:dyDescent="0.35">
      <c r="A346" s="27">
        <v>344</v>
      </c>
      <c r="B346" s="21">
        <v>345</v>
      </c>
      <c r="C346" s="22">
        <v>0.30299999999999999</v>
      </c>
      <c r="D346" s="21">
        <v>0.39</v>
      </c>
      <c r="E346" s="21">
        <v>0.25369999999999998</v>
      </c>
      <c r="F346" s="21">
        <v>6</v>
      </c>
      <c r="G346" s="21">
        <v>35</v>
      </c>
      <c r="H346" s="23">
        <v>41</v>
      </c>
      <c r="I346" s="23">
        <v>0.30299999999999999</v>
      </c>
      <c r="J346" s="18"/>
      <c r="K346" s="5"/>
      <c r="L346" s="5"/>
      <c r="M346" s="5"/>
      <c r="N346" s="5"/>
      <c r="O346" s="5"/>
      <c r="P346" s="5"/>
      <c r="Q346" s="5"/>
      <c r="R346" s="5"/>
      <c r="S346" s="5"/>
      <c r="T346" s="5"/>
      <c r="U346" s="5"/>
      <c r="V346" s="5"/>
      <c r="W346" s="5"/>
      <c r="X346" s="5"/>
      <c r="Y346" s="5"/>
    </row>
    <row r="347" spans="1:25" ht="15" thickBot="1" x14ac:dyDescent="0.35">
      <c r="A347" s="27">
        <v>345</v>
      </c>
      <c r="B347" s="21">
        <v>346</v>
      </c>
      <c r="C347" s="22">
        <v>0.30299999999999999</v>
      </c>
      <c r="D347" s="21">
        <v>0.39</v>
      </c>
      <c r="E347" s="21">
        <v>0.22389999999999999</v>
      </c>
      <c r="F347" s="21">
        <v>6</v>
      </c>
      <c r="G347" s="21">
        <v>51</v>
      </c>
      <c r="H347" s="23">
        <v>57</v>
      </c>
      <c r="I347" s="23">
        <v>0.30299999999999999</v>
      </c>
      <c r="J347" s="18"/>
      <c r="K347" s="5"/>
      <c r="L347" s="5"/>
      <c r="M347" s="5"/>
      <c r="N347" s="5"/>
      <c r="O347" s="5"/>
      <c r="P347" s="5"/>
      <c r="Q347" s="5"/>
      <c r="R347" s="5"/>
      <c r="S347" s="5"/>
      <c r="T347" s="5"/>
      <c r="U347" s="5"/>
      <c r="V347" s="5"/>
      <c r="W347" s="5"/>
      <c r="X347" s="5"/>
      <c r="Y347" s="5"/>
    </row>
    <row r="348" spans="1:25" ht="15" thickBot="1" x14ac:dyDescent="0.35">
      <c r="A348" s="27">
        <v>346</v>
      </c>
      <c r="B348" s="21">
        <v>347</v>
      </c>
      <c r="C348" s="22">
        <v>0.31819999999999998</v>
      </c>
      <c r="D348" s="21">
        <v>0.42</v>
      </c>
      <c r="E348" s="21">
        <v>0.1045</v>
      </c>
      <c r="F348" s="21">
        <v>0</v>
      </c>
      <c r="G348" s="21">
        <v>26</v>
      </c>
      <c r="H348" s="23">
        <v>26</v>
      </c>
      <c r="I348" s="23">
        <v>0.31819999999999998</v>
      </c>
      <c r="J348" s="18"/>
      <c r="K348" s="5"/>
      <c r="L348" s="5"/>
      <c r="M348" s="5"/>
      <c r="N348" s="5"/>
      <c r="O348" s="5"/>
      <c r="P348" s="5"/>
      <c r="Q348" s="5"/>
      <c r="R348" s="5"/>
      <c r="S348" s="5"/>
      <c r="T348" s="5"/>
      <c r="U348" s="5"/>
      <c r="V348" s="5"/>
      <c r="W348" s="5"/>
      <c r="X348" s="5"/>
      <c r="Y348" s="5"/>
    </row>
    <row r="349" spans="1:25" ht="15" thickBot="1" x14ac:dyDescent="0.35">
      <c r="A349" s="27">
        <v>347</v>
      </c>
      <c r="B349" s="21">
        <v>348</v>
      </c>
      <c r="C349" s="22">
        <v>0.28789999999999999</v>
      </c>
      <c r="D349" s="21">
        <v>0.45</v>
      </c>
      <c r="E349" s="21">
        <v>0.28360000000000002</v>
      </c>
      <c r="F349" s="21">
        <v>5</v>
      </c>
      <c r="G349" s="21">
        <v>39</v>
      </c>
      <c r="H349" s="23">
        <v>44</v>
      </c>
      <c r="I349" s="23">
        <v>0.28789999999999999</v>
      </c>
      <c r="J349" s="18"/>
      <c r="K349" s="5"/>
      <c r="L349" s="5"/>
      <c r="M349" s="5"/>
      <c r="N349" s="5"/>
      <c r="O349" s="5"/>
      <c r="P349" s="5"/>
      <c r="Q349" s="5"/>
      <c r="R349" s="5"/>
      <c r="S349" s="5"/>
      <c r="T349" s="5"/>
      <c r="U349" s="5"/>
      <c r="V349" s="5"/>
      <c r="W349" s="5"/>
      <c r="X349" s="5"/>
      <c r="Y349" s="5"/>
    </row>
    <row r="350" spans="1:25" ht="15" thickBot="1" x14ac:dyDescent="0.35">
      <c r="A350" s="27">
        <v>348</v>
      </c>
      <c r="B350" s="21">
        <v>349</v>
      </c>
      <c r="C350" s="22">
        <v>0.30299999999999999</v>
      </c>
      <c r="D350" s="21">
        <v>0.56000000000000005</v>
      </c>
      <c r="E350" s="22">
        <v>0.20485098360655737</v>
      </c>
      <c r="F350" s="21">
        <v>6</v>
      </c>
      <c r="G350" s="21">
        <v>33</v>
      </c>
      <c r="H350" s="23">
        <v>39</v>
      </c>
      <c r="I350" s="23">
        <v>0.30299999999999999</v>
      </c>
      <c r="J350" s="18"/>
      <c r="K350" s="5"/>
      <c r="L350" s="5"/>
      <c r="M350" s="5"/>
      <c r="N350" s="5"/>
      <c r="O350" s="5"/>
      <c r="P350" s="5"/>
      <c r="Q350" s="5"/>
      <c r="R350" s="5"/>
      <c r="S350" s="5"/>
      <c r="T350" s="5"/>
      <c r="U350" s="5"/>
      <c r="V350" s="5"/>
      <c r="W350" s="5"/>
      <c r="X350" s="5"/>
      <c r="Y350" s="5"/>
    </row>
    <row r="351" spans="1:25" ht="15" thickBot="1" x14ac:dyDescent="0.35">
      <c r="A351" s="27">
        <v>349</v>
      </c>
      <c r="B351" s="21">
        <v>350</v>
      </c>
      <c r="C351" s="22">
        <v>0.2727</v>
      </c>
      <c r="D351" s="21">
        <v>0.56000000000000005</v>
      </c>
      <c r="E351" s="21">
        <v>0.1343</v>
      </c>
      <c r="F351" s="21">
        <v>4</v>
      </c>
      <c r="G351" s="21">
        <v>19</v>
      </c>
      <c r="H351" s="23">
        <v>23</v>
      </c>
      <c r="I351" s="23">
        <v>0.2727</v>
      </c>
      <c r="J351" s="18"/>
      <c r="K351" s="5"/>
      <c r="L351" s="5"/>
      <c r="M351" s="5"/>
      <c r="N351" s="5"/>
      <c r="O351" s="5"/>
      <c r="P351" s="5"/>
      <c r="Q351" s="5"/>
      <c r="R351" s="5"/>
      <c r="S351" s="5"/>
      <c r="T351" s="5"/>
      <c r="U351" s="5"/>
      <c r="V351" s="5"/>
      <c r="W351" s="5"/>
      <c r="X351" s="5"/>
      <c r="Y351" s="5"/>
    </row>
    <row r="352" spans="1:25" ht="15" thickBot="1" x14ac:dyDescent="0.35">
      <c r="A352" s="27">
        <v>350</v>
      </c>
      <c r="B352" s="21">
        <v>351</v>
      </c>
      <c r="C352" s="22">
        <v>0.28789999999999999</v>
      </c>
      <c r="D352" s="21">
        <v>0.56000000000000005</v>
      </c>
      <c r="E352" s="21">
        <v>8.9599999999999999E-2</v>
      </c>
      <c r="F352" s="21">
        <v>3</v>
      </c>
      <c r="G352" s="21">
        <v>13</v>
      </c>
      <c r="H352" s="23">
        <v>16</v>
      </c>
      <c r="I352" s="23">
        <v>0.28789999999999999</v>
      </c>
      <c r="J352" s="18"/>
      <c r="K352" s="5"/>
      <c r="L352" s="5"/>
      <c r="M352" s="5"/>
      <c r="N352" s="5"/>
      <c r="O352" s="5"/>
      <c r="P352" s="5"/>
      <c r="Q352" s="5"/>
      <c r="R352" s="5"/>
      <c r="S352" s="5"/>
      <c r="T352" s="5"/>
      <c r="U352" s="5"/>
      <c r="V352" s="5"/>
      <c r="W352" s="5"/>
      <c r="X352" s="5"/>
      <c r="Y352" s="5"/>
    </row>
    <row r="353" spans="1:25" ht="15" thickBot="1" x14ac:dyDescent="0.35">
      <c r="A353" s="27">
        <v>351</v>
      </c>
      <c r="B353" s="21">
        <v>352</v>
      </c>
      <c r="C353" s="22">
        <v>0.2727</v>
      </c>
      <c r="D353" s="21">
        <v>0.69</v>
      </c>
      <c r="E353" s="22">
        <v>0.20485098360655737</v>
      </c>
      <c r="F353" s="21">
        <v>9</v>
      </c>
      <c r="G353" s="21">
        <v>6</v>
      </c>
      <c r="H353" s="23">
        <v>15</v>
      </c>
      <c r="I353" s="23">
        <v>0.2727</v>
      </c>
      <c r="J353" s="18"/>
      <c r="K353" s="5"/>
      <c r="L353" s="5"/>
      <c r="M353" s="5"/>
      <c r="N353" s="5"/>
      <c r="O353" s="5"/>
      <c r="P353" s="5"/>
      <c r="Q353" s="5"/>
      <c r="R353" s="5"/>
      <c r="S353" s="5"/>
      <c r="T353" s="5"/>
      <c r="U353" s="5"/>
      <c r="V353" s="5"/>
      <c r="W353" s="5"/>
      <c r="X353" s="5"/>
      <c r="Y353" s="5"/>
    </row>
    <row r="354" spans="1:25" ht="15" thickBot="1" x14ac:dyDescent="0.35">
      <c r="A354" s="27">
        <v>352</v>
      </c>
      <c r="B354" s="21">
        <v>353</v>
      </c>
      <c r="C354" s="22">
        <v>0.2576</v>
      </c>
      <c r="D354" s="21">
        <v>0.56000000000000005</v>
      </c>
      <c r="E354" s="21">
        <v>0.16420000000000001</v>
      </c>
      <c r="F354" s="21">
        <v>0</v>
      </c>
      <c r="G354" s="21">
        <v>1</v>
      </c>
      <c r="H354" s="23">
        <v>1</v>
      </c>
      <c r="I354" s="23">
        <v>0.2576</v>
      </c>
      <c r="J354" s="18"/>
      <c r="K354" s="5"/>
      <c r="L354" s="5"/>
      <c r="M354" s="5"/>
      <c r="N354" s="5"/>
      <c r="O354" s="5"/>
      <c r="P354" s="5"/>
      <c r="Q354" s="5"/>
      <c r="R354" s="5"/>
      <c r="S354" s="5"/>
      <c r="T354" s="5"/>
      <c r="U354" s="5"/>
      <c r="V354" s="5"/>
      <c r="W354" s="5"/>
      <c r="X354" s="5"/>
      <c r="Y354" s="5"/>
    </row>
    <row r="355" spans="1:25" ht="15" thickBot="1" x14ac:dyDescent="0.35">
      <c r="A355" s="27">
        <v>353</v>
      </c>
      <c r="B355" s="21">
        <v>354</v>
      </c>
      <c r="C355" s="22">
        <v>0.2576</v>
      </c>
      <c r="D355" s="21">
        <v>0.56000000000000005</v>
      </c>
      <c r="E355" s="21">
        <v>0.16420000000000001</v>
      </c>
      <c r="F355" s="21">
        <v>1</v>
      </c>
      <c r="G355" s="21">
        <v>1</v>
      </c>
      <c r="H355" s="23">
        <v>2</v>
      </c>
      <c r="I355" s="23">
        <v>0.2576</v>
      </c>
      <c r="J355" s="18"/>
      <c r="K355" s="5"/>
      <c r="L355" s="5"/>
      <c r="M355" s="5"/>
      <c r="N355" s="5"/>
      <c r="O355" s="5"/>
      <c r="P355" s="5"/>
      <c r="Q355" s="5"/>
      <c r="R355" s="5"/>
      <c r="S355" s="5"/>
      <c r="T355" s="5"/>
      <c r="U355" s="5"/>
      <c r="V355" s="5"/>
      <c r="W355" s="5"/>
      <c r="X355" s="5"/>
      <c r="Y355" s="5"/>
    </row>
    <row r="356" spans="1:25" ht="15" thickBot="1" x14ac:dyDescent="0.35">
      <c r="A356" s="27">
        <v>354</v>
      </c>
      <c r="B356" s="21">
        <v>355</v>
      </c>
      <c r="C356" s="22">
        <v>0.2576</v>
      </c>
      <c r="D356" s="21">
        <v>0.56000000000000005</v>
      </c>
      <c r="E356" s="21">
        <v>0.16420000000000001</v>
      </c>
      <c r="F356" s="21">
        <v>0</v>
      </c>
      <c r="G356" s="21">
        <v>1</v>
      </c>
      <c r="H356" s="23">
        <v>1</v>
      </c>
      <c r="I356" s="23">
        <v>0.2576</v>
      </c>
      <c r="J356" s="18"/>
      <c r="K356" s="5"/>
      <c r="L356" s="5"/>
      <c r="M356" s="5"/>
      <c r="N356" s="5"/>
      <c r="O356" s="5"/>
      <c r="P356" s="5"/>
      <c r="Q356" s="5"/>
      <c r="R356" s="5"/>
      <c r="S356" s="5"/>
      <c r="T356" s="5"/>
      <c r="U356" s="5"/>
      <c r="V356" s="5"/>
      <c r="W356" s="5"/>
      <c r="X356" s="5"/>
      <c r="Y356" s="5"/>
    </row>
    <row r="357" spans="1:25" ht="15" thickBot="1" x14ac:dyDescent="0.35">
      <c r="A357" s="27">
        <v>355</v>
      </c>
      <c r="B357" s="21">
        <v>356</v>
      </c>
      <c r="C357" s="22">
        <v>0.21210000000000001</v>
      </c>
      <c r="D357" s="21">
        <v>0.56000000000000005</v>
      </c>
      <c r="E357" s="21">
        <v>0.29849999999999999</v>
      </c>
      <c r="F357" s="21">
        <v>0</v>
      </c>
      <c r="G357" s="21">
        <v>3</v>
      </c>
      <c r="H357" s="23">
        <v>3</v>
      </c>
      <c r="I357" s="23">
        <v>0.21210000000000001</v>
      </c>
      <c r="J357" s="18"/>
      <c r="K357" s="5"/>
      <c r="L357" s="5"/>
      <c r="M357" s="5"/>
      <c r="N357" s="5"/>
      <c r="O357" s="5"/>
      <c r="P357" s="5"/>
      <c r="Q357" s="5"/>
      <c r="R357" s="5"/>
      <c r="S357" s="5"/>
      <c r="T357" s="5"/>
      <c r="U357" s="5"/>
      <c r="V357" s="5"/>
      <c r="W357" s="5"/>
      <c r="X357" s="5"/>
      <c r="Y357" s="5"/>
    </row>
    <row r="358" spans="1:25" ht="15" thickBot="1" x14ac:dyDescent="0.35">
      <c r="A358" s="27">
        <v>356</v>
      </c>
      <c r="B358" s="21">
        <v>357</v>
      </c>
      <c r="C358" s="22">
        <v>0.21210000000000001</v>
      </c>
      <c r="D358" s="21">
        <v>0.55000000000000004</v>
      </c>
      <c r="E358" s="21">
        <v>0.28360000000000002</v>
      </c>
      <c r="F358" s="21">
        <v>0</v>
      </c>
      <c r="G358" s="21">
        <v>18</v>
      </c>
      <c r="H358" s="23">
        <v>18</v>
      </c>
      <c r="I358" s="23">
        <v>0.21210000000000001</v>
      </c>
      <c r="J358" s="18"/>
      <c r="K358" s="5"/>
      <c r="L358" s="5"/>
      <c r="M358" s="5"/>
      <c r="N358" s="5"/>
      <c r="O358" s="5"/>
      <c r="P358" s="5"/>
      <c r="Q358" s="5"/>
      <c r="R358" s="5"/>
      <c r="S358" s="5"/>
      <c r="T358" s="5"/>
      <c r="U358" s="5"/>
      <c r="V358" s="5"/>
      <c r="W358" s="5"/>
      <c r="X358" s="5"/>
      <c r="Y358" s="5"/>
    </row>
    <row r="359" spans="1:25" ht="15" thickBot="1" x14ac:dyDescent="0.35">
      <c r="A359" s="27">
        <v>357</v>
      </c>
      <c r="B359" s="21">
        <v>358</v>
      </c>
      <c r="C359" s="22">
        <v>0.21210000000000001</v>
      </c>
      <c r="D359" s="21">
        <v>0.51</v>
      </c>
      <c r="E359" s="21">
        <v>0.25369999999999998</v>
      </c>
      <c r="F359" s="21">
        <v>3</v>
      </c>
      <c r="G359" s="21">
        <v>29</v>
      </c>
      <c r="H359" s="23">
        <v>32</v>
      </c>
      <c r="I359" s="23">
        <v>0.21210000000000001</v>
      </c>
      <c r="J359" s="18"/>
      <c r="K359" s="5"/>
      <c r="L359" s="5"/>
      <c r="M359" s="5"/>
      <c r="N359" s="5"/>
      <c r="O359" s="5"/>
      <c r="P359" s="5"/>
      <c r="Q359" s="5"/>
      <c r="R359" s="5"/>
      <c r="S359" s="5"/>
      <c r="T359" s="5"/>
      <c r="U359" s="5"/>
      <c r="V359" s="5"/>
      <c r="W359" s="5"/>
      <c r="X359" s="5"/>
      <c r="Y359" s="5"/>
    </row>
    <row r="360" spans="1:25" ht="15" thickBot="1" x14ac:dyDescent="0.35">
      <c r="A360" s="27">
        <v>358</v>
      </c>
      <c r="B360" s="21">
        <v>359</v>
      </c>
      <c r="C360" s="22">
        <v>0.21210000000000001</v>
      </c>
      <c r="D360" s="21">
        <v>0.51</v>
      </c>
      <c r="E360" s="21">
        <v>0.28360000000000002</v>
      </c>
      <c r="F360" s="21">
        <v>8</v>
      </c>
      <c r="G360" s="21">
        <v>71</v>
      </c>
      <c r="H360" s="23">
        <v>79</v>
      </c>
      <c r="I360" s="23">
        <v>0.21210000000000001</v>
      </c>
      <c r="J360" s="18"/>
      <c r="K360" s="5"/>
      <c r="L360" s="5"/>
      <c r="M360" s="5"/>
      <c r="N360" s="5"/>
      <c r="O360" s="5"/>
      <c r="P360" s="5"/>
      <c r="Q360" s="5"/>
      <c r="R360" s="5"/>
      <c r="S360" s="5"/>
      <c r="T360" s="5"/>
      <c r="U360" s="5"/>
      <c r="V360" s="5"/>
      <c r="W360" s="5"/>
      <c r="X360" s="5"/>
      <c r="Y360" s="5"/>
    </row>
    <row r="361" spans="1:25" ht="15" thickBot="1" x14ac:dyDescent="0.35">
      <c r="A361" s="27">
        <v>359</v>
      </c>
      <c r="B361" s="21">
        <v>360</v>
      </c>
      <c r="C361" s="22">
        <v>0.2273</v>
      </c>
      <c r="D361" s="21">
        <v>0.44</v>
      </c>
      <c r="E361" s="21">
        <v>0.25369999999999998</v>
      </c>
      <c r="F361" s="21">
        <v>23</v>
      </c>
      <c r="G361" s="21">
        <v>70</v>
      </c>
      <c r="H361" s="23">
        <v>93</v>
      </c>
      <c r="I361" s="23">
        <v>0.2273</v>
      </c>
      <c r="J361" s="18"/>
      <c r="K361" s="5"/>
      <c r="L361" s="5"/>
      <c r="M361" s="5"/>
      <c r="N361" s="5"/>
      <c r="O361" s="5"/>
      <c r="P361" s="5"/>
      <c r="Q361" s="5"/>
      <c r="R361" s="5"/>
      <c r="S361" s="5"/>
      <c r="T361" s="5"/>
      <c r="U361" s="5"/>
      <c r="V361" s="5"/>
      <c r="W361" s="5"/>
      <c r="X361" s="5"/>
      <c r="Y361" s="5"/>
    </row>
    <row r="362" spans="1:25" ht="15" thickBot="1" x14ac:dyDescent="0.35">
      <c r="A362" s="27">
        <v>360</v>
      </c>
      <c r="B362" s="21">
        <v>361</v>
      </c>
      <c r="C362" s="22">
        <v>0.21210000000000001</v>
      </c>
      <c r="D362" s="21">
        <v>0.41</v>
      </c>
      <c r="E362" s="21">
        <v>0.28360000000000002</v>
      </c>
      <c r="F362" s="21">
        <v>29</v>
      </c>
      <c r="G362" s="21">
        <v>75</v>
      </c>
      <c r="H362" s="23">
        <v>104</v>
      </c>
      <c r="I362" s="23">
        <v>0.21210000000000001</v>
      </c>
      <c r="J362" s="18"/>
      <c r="K362" s="5"/>
      <c r="L362" s="5"/>
      <c r="M362" s="5"/>
      <c r="N362" s="5"/>
      <c r="O362" s="5"/>
      <c r="P362" s="5"/>
      <c r="Q362" s="5"/>
      <c r="R362" s="5"/>
      <c r="S362" s="5"/>
      <c r="T362" s="5"/>
      <c r="U362" s="5"/>
      <c r="V362" s="5"/>
      <c r="W362" s="5"/>
      <c r="X362" s="5"/>
      <c r="Y362" s="5"/>
    </row>
    <row r="363" spans="1:25" ht="15" thickBot="1" x14ac:dyDescent="0.35">
      <c r="A363" s="27">
        <v>361</v>
      </c>
      <c r="B363" s="21">
        <v>362</v>
      </c>
      <c r="C363" s="22">
        <v>0.2273</v>
      </c>
      <c r="D363" s="21">
        <v>0.35</v>
      </c>
      <c r="E363" s="21">
        <v>0.29849999999999999</v>
      </c>
      <c r="F363" s="21">
        <v>23</v>
      </c>
      <c r="G363" s="21">
        <v>95</v>
      </c>
      <c r="H363" s="23">
        <v>118</v>
      </c>
      <c r="I363" s="23">
        <v>0.2273</v>
      </c>
      <c r="J363" s="18"/>
      <c r="K363" s="5"/>
      <c r="L363" s="5"/>
      <c r="M363" s="5"/>
      <c r="N363" s="5"/>
      <c r="O363" s="5"/>
      <c r="P363" s="5"/>
      <c r="Q363" s="5"/>
      <c r="R363" s="5"/>
      <c r="S363" s="5"/>
      <c r="T363" s="5"/>
      <c r="U363" s="5"/>
      <c r="V363" s="5"/>
      <c r="W363" s="5"/>
      <c r="X363" s="5"/>
      <c r="Y363" s="5"/>
    </row>
    <row r="364" spans="1:25" ht="15" thickBot="1" x14ac:dyDescent="0.35">
      <c r="A364" s="27">
        <v>362</v>
      </c>
      <c r="B364" s="21">
        <v>363</v>
      </c>
      <c r="C364" s="22">
        <v>0.2727</v>
      </c>
      <c r="D364" s="21">
        <v>0.36</v>
      </c>
      <c r="E364" s="21">
        <v>0.25369999999999998</v>
      </c>
      <c r="F364" s="21">
        <v>22</v>
      </c>
      <c r="G364" s="21">
        <v>69</v>
      </c>
      <c r="H364" s="23">
        <v>91</v>
      </c>
      <c r="I364" s="23">
        <v>0.2727</v>
      </c>
      <c r="J364" s="18"/>
      <c r="K364" s="5"/>
      <c r="L364" s="5"/>
      <c r="M364" s="5"/>
      <c r="N364" s="5"/>
      <c r="O364" s="5"/>
      <c r="P364" s="5"/>
      <c r="Q364" s="5"/>
      <c r="R364" s="5"/>
      <c r="S364" s="5"/>
      <c r="T364" s="5"/>
      <c r="U364" s="5"/>
      <c r="V364" s="5"/>
      <c r="W364" s="5"/>
      <c r="X364" s="5"/>
      <c r="Y364" s="5"/>
    </row>
    <row r="365" spans="1:25" ht="15" thickBot="1" x14ac:dyDescent="0.35">
      <c r="A365" s="27">
        <v>363</v>
      </c>
      <c r="B365" s="21">
        <v>364</v>
      </c>
      <c r="C365" s="22">
        <v>0.2424</v>
      </c>
      <c r="D365" s="21">
        <v>0.38</v>
      </c>
      <c r="E365" s="21">
        <v>0.25369999999999998</v>
      </c>
      <c r="F365" s="21">
        <v>35</v>
      </c>
      <c r="G365" s="21">
        <v>78</v>
      </c>
      <c r="H365" s="23">
        <v>113</v>
      </c>
      <c r="I365" s="23">
        <v>0.2424</v>
      </c>
      <c r="J365" s="18"/>
      <c r="K365" s="5"/>
      <c r="L365" s="5"/>
      <c r="M365" s="5"/>
      <c r="N365" s="5"/>
      <c r="O365" s="5"/>
      <c r="P365" s="5"/>
      <c r="Q365" s="5"/>
      <c r="R365" s="5"/>
      <c r="S365" s="5"/>
      <c r="T365" s="5"/>
      <c r="U365" s="5"/>
      <c r="V365" s="5"/>
      <c r="W365" s="5"/>
      <c r="X365" s="5"/>
      <c r="Y365" s="5"/>
    </row>
    <row r="366" spans="1:25" ht="15" thickBot="1" x14ac:dyDescent="0.35">
      <c r="A366" s="27">
        <v>364</v>
      </c>
      <c r="B366" s="21">
        <v>365</v>
      </c>
      <c r="C366" s="22">
        <v>0.2273</v>
      </c>
      <c r="D366" s="21">
        <v>0.38</v>
      </c>
      <c r="E366" s="21">
        <v>0.22389999999999999</v>
      </c>
      <c r="F366" s="21">
        <v>22</v>
      </c>
      <c r="G366" s="21">
        <v>77</v>
      </c>
      <c r="H366" s="23">
        <v>99</v>
      </c>
      <c r="I366" s="23">
        <v>0.2273</v>
      </c>
      <c r="J366" s="18"/>
      <c r="K366" s="5"/>
      <c r="L366" s="5"/>
      <c r="M366" s="5"/>
      <c r="N366" s="5"/>
      <c r="O366" s="5"/>
      <c r="P366" s="5"/>
      <c r="Q366" s="5"/>
      <c r="R366" s="5"/>
      <c r="S366" s="5"/>
      <c r="T366" s="5"/>
      <c r="U366" s="5"/>
      <c r="V366" s="5"/>
      <c r="W366" s="5"/>
      <c r="X366" s="5"/>
      <c r="Y366" s="5"/>
    </row>
    <row r="367" spans="1:25" ht="15" thickBot="1" x14ac:dyDescent="0.35">
      <c r="A367" s="27">
        <v>365</v>
      </c>
      <c r="B367" s="21">
        <v>366</v>
      </c>
      <c r="C367" s="22">
        <v>0.21210000000000001</v>
      </c>
      <c r="D367" s="21">
        <v>0.37</v>
      </c>
      <c r="E367" s="21">
        <v>0.25369999999999998</v>
      </c>
      <c r="F367" s="21">
        <v>23</v>
      </c>
      <c r="G367" s="21">
        <v>82</v>
      </c>
      <c r="H367" s="23">
        <v>105</v>
      </c>
      <c r="I367" s="23">
        <v>0.21210000000000001</v>
      </c>
      <c r="J367" s="18"/>
      <c r="K367" s="5"/>
      <c r="L367" s="5"/>
      <c r="M367" s="5"/>
      <c r="N367" s="5"/>
      <c r="O367" s="5"/>
      <c r="P367" s="5"/>
      <c r="Q367" s="5"/>
      <c r="R367" s="5"/>
      <c r="S367" s="5"/>
      <c r="T367" s="5"/>
      <c r="U367" s="5"/>
      <c r="V367" s="5"/>
      <c r="W367" s="5"/>
      <c r="X367" s="5"/>
      <c r="Y367" s="5"/>
    </row>
    <row r="368" spans="1:25" ht="15" thickBot="1" x14ac:dyDescent="0.35">
      <c r="A368" s="27">
        <v>366</v>
      </c>
      <c r="B368" s="21">
        <v>367</v>
      </c>
      <c r="C368" s="22">
        <v>0.21210000000000001</v>
      </c>
      <c r="D368" s="21">
        <v>0.4</v>
      </c>
      <c r="E368" s="21">
        <v>0.16420000000000001</v>
      </c>
      <c r="F368" s="21">
        <v>11</v>
      </c>
      <c r="G368" s="21">
        <v>56</v>
      </c>
      <c r="H368" s="23">
        <v>67</v>
      </c>
      <c r="I368" s="23">
        <v>0.21210000000000001</v>
      </c>
      <c r="J368" s="18"/>
      <c r="K368" s="5"/>
      <c r="L368" s="5"/>
      <c r="M368" s="5"/>
      <c r="N368" s="5"/>
      <c r="O368" s="5"/>
      <c r="P368" s="5"/>
      <c r="Q368" s="5"/>
      <c r="R368" s="5"/>
      <c r="S368" s="5"/>
      <c r="T368" s="5"/>
      <c r="U368" s="5"/>
      <c r="V368" s="5"/>
      <c r="W368" s="5"/>
      <c r="X368" s="5"/>
      <c r="Y368" s="5"/>
    </row>
    <row r="369" spans="1:25" ht="15" thickBot="1" x14ac:dyDescent="0.35">
      <c r="A369" s="27">
        <v>367</v>
      </c>
      <c r="B369" s="21">
        <v>368</v>
      </c>
      <c r="C369" s="22">
        <v>0.19700000000000001</v>
      </c>
      <c r="D369" s="21">
        <v>0.47</v>
      </c>
      <c r="E369" s="21">
        <v>0.1343</v>
      </c>
      <c r="F369" s="21">
        <v>14</v>
      </c>
      <c r="G369" s="21">
        <v>47</v>
      </c>
      <c r="H369" s="23">
        <v>61</v>
      </c>
      <c r="I369" s="23">
        <v>0.19700000000000001</v>
      </c>
      <c r="J369" s="18"/>
      <c r="K369" s="5"/>
      <c r="L369" s="5"/>
      <c r="M369" s="5"/>
      <c r="N369" s="5"/>
      <c r="O369" s="5"/>
      <c r="P369" s="5"/>
      <c r="Q369" s="5"/>
      <c r="R369" s="5"/>
      <c r="S369" s="5"/>
      <c r="T369" s="5"/>
      <c r="U369" s="5"/>
      <c r="V369" s="5"/>
      <c r="W369" s="5"/>
      <c r="X369" s="5"/>
      <c r="Y369" s="5"/>
    </row>
    <row r="370" spans="1:25" ht="15" thickBot="1" x14ac:dyDescent="0.35">
      <c r="A370" s="27">
        <v>368</v>
      </c>
      <c r="B370" s="21">
        <v>369</v>
      </c>
      <c r="C370" s="22">
        <v>0.19700000000000001</v>
      </c>
      <c r="D370" s="21">
        <v>0.47</v>
      </c>
      <c r="E370" s="21">
        <v>0.16420000000000001</v>
      </c>
      <c r="F370" s="21">
        <v>7</v>
      </c>
      <c r="G370" s="21">
        <v>50</v>
      </c>
      <c r="H370" s="23">
        <v>57</v>
      </c>
      <c r="I370" s="23">
        <v>0.19700000000000001</v>
      </c>
      <c r="J370" s="18"/>
      <c r="K370" s="5"/>
      <c r="L370" s="5"/>
      <c r="M370" s="5"/>
      <c r="N370" s="5"/>
      <c r="O370" s="5"/>
      <c r="P370" s="5"/>
      <c r="Q370" s="5"/>
      <c r="R370" s="5"/>
      <c r="S370" s="5"/>
      <c r="T370" s="5"/>
      <c r="U370" s="5"/>
      <c r="V370" s="5"/>
      <c r="W370" s="5"/>
      <c r="X370" s="5"/>
      <c r="Y370" s="5"/>
    </row>
    <row r="371" spans="1:25" ht="15" thickBot="1" x14ac:dyDescent="0.35">
      <c r="A371" s="27">
        <v>369</v>
      </c>
      <c r="B371" s="21">
        <v>370</v>
      </c>
      <c r="C371" s="22">
        <v>0.19700000000000001</v>
      </c>
      <c r="D371" s="21">
        <v>0.51</v>
      </c>
      <c r="E371" s="21">
        <v>0.16420000000000001</v>
      </c>
      <c r="F371" s="21">
        <v>6</v>
      </c>
      <c r="G371" s="21">
        <v>22</v>
      </c>
      <c r="H371" s="23">
        <v>28</v>
      </c>
      <c r="I371" s="23">
        <v>0.19700000000000001</v>
      </c>
      <c r="J371" s="18"/>
      <c r="K371" s="5"/>
      <c r="L371" s="5"/>
      <c r="M371" s="5"/>
      <c r="N371" s="5"/>
      <c r="O371" s="5"/>
      <c r="P371" s="5"/>
      <c r="Q371" s="5"/>
      <c r="R371" s="5"/>
      <c r="S371" s="5"/>
      <c r="T371" s="5"/>
      <c r="U371" s="5"/>
      <c r="V371" s="5"/>
      <c r="W371" s="5"/>
      <c r="X371" s="5"/>
      <c r="Y371" s="5"/>
    </row>
    <row r="372" spans="1:25" ht="15" thickBot="1" x14ac:dyDescent="0.35">
      <c r="A372" s="27">
        <v>370</v>
      </c>
      <c r="B372" s="21">
        <v>371</v>
      </c>
      <c r="C372" s="22">
        <v>0.21210000000000001</v>
      </c>
      <c r="D372" s="21">
        <v>0.49</v>
      </c>
      <c r="E372" s="21">
        <v>0.1343</v>
      </c>
      <c r="F372" s="21">
        <v>2</v>
      </c>
      <c r="G372" s="21">
        <v>19</v>
      </c>
      <c r="H372" s="23">
        <v>21</v>
      </c>
      <c r="I372" s="23">
        <v>0.21210000000000001</v>
      </c>
      <c r="J372" s="18"/>
      <c r="K372" s="5"/>
      <c r="L372" s="5"/>
      <c r="M372" s="5"/>
      <c r="N372" s="5"/>
      <c r="O372" s="5"/>
      <c r="P372" s="5"/>
      <c r="Q372" s="5"/>
      <c r="R372" s="5"/>
      <c r="S372" s="5"/>
      <c r="T372" s="5"/>
      <c r="U372" s="5"/>
      <c r="V372" s="5"/>
      <c r="W372" s="5"/>
      <c r="X372" s="5"/>
      <c r="Y372" s="5"/>
    </row>
    <row r="373" spans="1:25" ht="15" thickBot="1" x14ac:dyDescent="0.35">
      <c r="A373" s="27">
        <v>371</v>
      </c>
      <c r="B373" s="21">
        <v>372</v>
      </c>
      <c r="C373" s="22">
        <v>0.2273</v>
      </c>
      <c r="D373" s="21">
        <v>0.4</v>
      </c>
      <c r="E373" s="21">
        <v>0.1045</v>
      </c>
      <c r="F373" s="21">
        <v>0</v>
      </c>
      <c r="G373" s="21">
        <v>18</v>
      </c>
      <c r="H373" s="23">
        <v>18</v>
      </c>
      <c r="I373" s="23">
        <v>0.2273</v>
      </c>
      <c r="J373" s="18"/>
      <c r="K373" s="5"/>
      <c r="L373" s="5"/>
      <c r="M373" s="5"/>
      <c r="N373" s="5"/>
      <c r="O373" s="5"/>
      <c r="P373" s="5"/>
      <c r="Q373" s="5"/>
      <c r="R373" s="5"/>
      <c r="S373" s="5"/>
      <c r="T373" s="5"/>
      <c r="U373" s="5"/>
      <c r="V373" s="5"/>
      <c r="W373" s="5"/>
      <c r="X373" s="5"/>
      <c r="Y373" s="5"/>
    </row>
    <row r="374" spans="1:25" ht="15" thickBot="1" x14ac:dyDescent="0.35">
      <c r="A374" s="27">
        <v>372</v>
      </c>
      <c r="B374" s="21">
        <v>373</v>
      </c>
      <c r="C374" s="22">
        <v>0.19700000000000001</v>
      </c>
      <c r="D374" s="21">
        <v>0.47</v>
      </c>
      <c r="E374" s="21">
        <v>0.22389999999999999</v>
      </c>
      <c r="F374" s="21">
        <v>1</v>
      </c>
      <c r="G374" s="21">
        <v>16</v>
      </c>
      <c r="H374" s="23">
        <v>17</v>
      </c>
      <c r="I374" s="23">
        <v>0.19700000000000001</v>
      </c>
      <c r="J374" s="18"/>
      <c r="K374" s="5"/>
      <c r="L374" s="5"/>
      <c r="M374" s="5"/>
      <c r="N374" s="5"/>
      <c r="O374" s="5"/>
      <c r="P374" s="5"/>
      <c r="Q374" s="5"/>
      <c r="R374" s="5"/>
      <c r="S374" s="5"/>
      <c r="T374" s="5"/>
      <c r="U374" s="5"/>
      <c r="V374" s="5"/>
      <c r="W374" s="5"/>
      <c r="X374" s="5"/>
      <c r="Y374" s="5"/>
    </row>
    <row r="375" spans="1:25" ht="15" thickBot="1" x14ac:dyDescent="0.35">
      <c r="A375" s="27">
        <v>373</v>
      </c>
      <c r="B375" s="21">
        <v>374</v>
      </c>
      <c r="C375" s="22">
        <v>0.19700000000000001</v>
      </c>
      <c r="D375" s="21">
        <v>0.44</v>
      </c>
      <c r="E375" s="21">
        <v>0.19400000000000001</v>
      </c>
      <c r="F375" s="21">
        <v>1</v>
      </c>
      <c r="G375" s="21">
        <v>15</v>
      </c>
      <c r="H375" s="23">
        <v>16</v>
      </c>
      <c r="I375" s="23">
        <v>0.19700000000000001</v>
      </c>
      <c r="J375" s="18"/>
      <c r="K375" s="5"/>
      <c r="L375" s="5"/>
      <c r="M375" s="5"/>
      <c r="N375" s="5"/>
      <c r="O375" s="5"/>
      <c r="P375" s="5"/>
      <c r="Q375" s="5"/>
      <c r="R375" s="5"/>
      <c r="S375" s="5"/>
      <c r="T375" s="5"/>
      <c r="U375" s="5"/>
      <c r="V375" s="5"/>
      <c r="W375" s="5"/>
      <c r="X375" s="5"/>
      <c r="Y375" s="5"/>
    </row>
    <row r="376" spans="1:25" ht="15" thickBot="1" x14ac:dyDescent="0.35">
      <c r="A376" s="27">
        <v>374</v>
      </c>
      <c r="B376" s="21">
        <v>375</v>
      </c>
      <c r="C376" s="22">
        <v>0.16669999999999999</v>
      </c>
      <c r="D376" s="21">
        <v>0.43</v>
      </c>
      <c r="E376" s="21">
        <v>0.25369999999999998</v>
      </c>
      <c r="F376" s="21">
        <v>0</v>
      </c>
      <c r="G376" s="21">
        <v>8</v>
      </c>
      <c r="H376" s="23">
        <v>8</v>
      </c>
      <c r="I376" s="23">
        <v>0.16669999999999999</v>
      </c>
      <c r="J376" s="18"/>
      <c r="K376" s="5"/>
      <c r="L376" s="5"/>
      <c r="M376" s="5"/>
      <c r="N376" s="5"/>
      <c r="O376" s="5"/>
      <c r="P376" s="5"/>
      <c r="Q376" s="5"/>
      <c r="R376" s="5"/>
      <c r="S376" s="5"/>
      <c r="T376" s="5"/>
      <c r="U376" s="5"/>
      <c r="V376" s="5"/>
      <c r="W376" s="5"/>
      <c r="X376" s="5"/>
      <c r="Y376" s="5"/>
    </row>
    <row r="377" spans="1:25" ht="15" thickBot="1" x14ac:dyDescent="0.35">
      <c r="A377" s="27">
        <v>375</v>
      </c>
      <c r="B377" s="21">
        <v>376</v>
      </c>
      <c r="C377" s="22">
        <v>0.18179999999999999</v>
      </c>
      <c r="D377" s="21">
        <v>0.43</v>
      </c>
      <c r="E377" s="21">
        <v>0.19400000000000001</v>
      </c>
      <c r="F377" s="21">
        <v>0</v>
      </c>
      <c r="G377" s="21">
        <v>2</v>
      </c>
      <c r="H377" s="23">
        <v>2</v>
      </c>
      <c r="I377" s="23">
        <v>0.18179999999999999</v>
      </c>
      <c r="J377" s="18"/>
      <c r="K377" s="5"/>
      <c r="L377" s="5"/>
      <c r="M377" s="5"/>
      <c r="N377" s="5"/>
      <c r="O377" s="5"/>
      <c r="P377" s="5"/>
      <c r="Q377" s="5"/>
      <c r="R377" s="5"/>
      <c r="S377" s="5"/>
      <c r="T377" s="5"/>
      <c r="U377" s="5"/>
      <c r="V377" s="5"/>
      <c r="W377" s="5"/>
      <c r="X377" s="5"/>
      <c r="Y377" s="5"/>
    </row>
    <row r="378" spans="1:25" ht="15" thickBot="1" x14ac:dyDescent="0.35">
      <c r="A378" s="27">
        <v>376</v>
      </c>
      <c r="B378" s="21">
        <v>377</v>
      </c>
      <c r="C378" s="22">
        <v>0.19700000000000001</v>
      </c>
      <c r="D378" s="21">
        <v>0.43</v>
      </c>
      <c r="E378" s="21">
        <v>0.1343</v>
      </c>
      <c r="F378" s="21">
        <v>1</v>
      </c>
      <c r="G378" s="21">
        <v>2</v>
      </c>
      <c r="H378" s="23">
        <v>3</v>
      </c>
      <c r="I378" s="23">
        <v>0.19700000000000001</v>
      </c>
      <c r="J378" s="18"/>
      <c r="K378" s="5"/>
      <c r="L378" s="5"/>
      <c r="M378" s="5"/>
      <c r="N378" s="5"/>
      <c r="O378" s="5"/>
      <c r="P378" s="5"/>
      <c r="Q378" s="5"/>
      <c r="R378" s="5"/>
      <c r="S378" s="5"/>
      <c r="T378" s="5"/>
      <c r="U378" s="5"/>
      <c r="V378" s="5"/>
      <c r="W378" s="5"/>
      <c r="X378" s="5"/>
      <c r="Y378" s="5"/>
    </row>
    <row r="379" spans="1:25" ht="15" thickBot="1" x14ac:dyDescent="0.35">
      <c r="A379" s="27">
        <v>377</v>
      </c>
      <c r="B379" s="21">
        <v>378</v>
      </c>
      <c r="C379" s="22">
        <v>0.19700000000000001</v>
      </c>
      <c r="D379" s="21">
        <v>0.43</v>
      </c>
      <c r="E379" s="21">
        <v>0.16420000000000001</v>
      </c>
      <c r="F379" s="21">
        <v>0</v>
      </c>
      <c r="G379" s="21">
        <v>1</v>
      </c>
      <c r="H379" s="23">
        <v>1</v>
      </c>
      <c r="I379" s="23">
        <v>0.19700000000000001</v>
      </c>
      <c r="J379" s="18"/>
      <c r="K379" s="5"/>
      <c r="L379" s="5"/>
      <c r="M379" s="5"/>
      <c r="N379" s="5"/>
      <c r="O379" s="5"/>
      <c r="P379" s="5"/>
      <c r="Q379" s="5"/>
      <c r="R379" s="5"/>
      <c r="S379" s="5"/>
      <c r="T379" s="5"/>
      <c r="U379" s="5"/>
      <c r="V379" s="5"/>
      <c r="W379" s="5"/>
      <c r="X379" s="5"/>
      <c r="Y379" s="5"/>
    </row>
    <row r="380" spans="1:25" ht="15" thickBot="1" x14ac:dyDescent="0.35">
      <c r="A380" s="27">
        <v>378</v>
      </c>
      <c r="B380" s="21">
        <v>379</v>
      </c>
      <c r="C380" s="22">
        <v>0.18179999999999999</v>
      </c>
      <c r="D380" s="21">
        <v>0.43</v>
      </c>
      <c r="E380" s="21">
        <v>0.19400000000000001</v>
      </c>
      <c r="F380" s="21">
        <v>0</v>
      </c>
      <c r="G380" s="21">
        <v>5</v>
      </c>
      <c r="H380" s="23">
        <v>5</v>
      </c>
      <c r="I380" s="23">
        <v>0.18179999999999999</v>
      </c>
      <c r="J380" s="18"/>
      <c r="K380" s="5"/>
      <c r="L380" s="5"/>
      <c r="M380" s="5"/>
      <c r="N380" s="5"/>
      <c r="O380" s="5"/>
      <c r="P380" s="5"/>
      <c r="Q380" s="5"/>
      <c r="R380" s="5"/>
      <c r="S380" s="5"/>
      <c r="T380" s="5"/>
      <c r="U380" s="5"/>
      <c r="V380" s="5"/>
      <c r="W380" s="5"/>
      <c r="X380" s="5"/>
      <c r="Y380" s="5"/>
    </row>
    <row r="381" spans="1:25" ht="15" thickBot="1" x14ac:dyDescent="0.35">
      <c r="A381" s="27">
        <v>379</v>
      </c>
      <c r="B381" s="21">
        <v>380</v>
      </c>
      <c r="C381" s="22">
        <v>0.18179999999999999</v>
      </c>
      <c r="D381" s="21">
        <v>0.5</v>
      </c>
      <c r="E381" s="21">
        <v>0.1343</v>
      </c>
      <c r="F381" s="21">
        <v>4</v>
      </c>
      <c r="G381" s="21">
        <v>9</v>
      </c>
      <c r="H381" s="23">
        <v>13</v>
      </c>
      <c r="I381" s="23">
        <v>0.18179999999999999</v>
      </c>
      <c r="J381" s="18"/>
      <c r="K381" s="5"/>
      <c r="L381" s="5"/>
      <c r="M381" s="5"/>
      <c r="N381" s="5"/>
      <c r="O381" s="5"/>
      <c r="P381" s="5"/>
      <c r="Q381" s="5"/>
      <c r="R381" s="5"/>
      <c r="S381" s="5"/>
      <c r="T381" s="5"/>
      <c r="U381" s="5"/>
      <c r="V381" s="5"/>
      <c r="W381" s="5"/>
      <c r="X381" s="5"/>
      <c r="Y381" s="5"/>
    </row>
    <row r="382" spans="1:25" ht="15" thickBot="1" x14ac:dyDescent="0.35">
      <c r="A382" s="27">
        <v>380</v>
      </c>
      <c r="B382" s="21">
        <v>381</v>
      </c>
      <c r="C382" s="22">
        <v>0.1515</v>
      </c>
      <c r="D382" s="21">
        <v>0.47</v>
      </c>
      <c r="E382" s="21">
        <v>0.22389999999999999</v>
      </c>
      <c r="F382" s="21">
        <v>3</v>
      </c>
      <c r="G382" s="21">
        <v>30</v>
      </c>
      <c r="H382" s="23">
        <v>33</v>
      </c>
      <c r="I382" s="23">
        <v>0.1515</v>
      </c>
      <c r="J382" s="18"/>
      <c r="K382" s="5"/>
      <c r="L382" s="5"/>
      <c r="M382" s="5"/>
      <c r="N382" s="5"/>
      <c r="O382" s="5"/>
      <c r="P382" s="5"/>
      <c r="Q382" s="5"/>
      <c r="R382" s="5"/>
      <c r="S382" s="5"/>
      <c r="T382" s="5"/>
      <c r="U382" s="5"/>
      <c r="V382" s="5"/>
      <c r="W382" s="5"/>
      <c r="X382" s="5"/>
      <c r="Y382" s="5"/>
    </row>
    <row r="383" spans="1:25" ht="15" thickBot="1" x14ac:dyDescent="0.35">
      <c r="A383" s="27">
        <v>381</v>
      </c>
      <c r="B383" s="21">
        <v>382</v>
      </c>
      <c r="C383" s="22">
        <v>0.1515</v>
      </c>
      <c r="D383" s="21">
        <v>0.47</v>
      </c>
      <c r="E383" s="21">
        <v>0.22389999999999999</v>
      </c>
      <c r="F383" s="21">
        <v>8</v>
      </c>
      <c r="G383" s="21">
        <v>39</v>
      </c>
      <c r="H383" s="23">
        <v>47</v>
      </c>
      <c r="I383" s="23">
        <v>0.1515</v>
      </c>
      <c r="J383" s="18"/>
      <c r="K383" s="5"/>
      <c r="L383" s="5"/>
      <c r="M383" s="5"/>
      <c r="N383" s="5"/>
      <c r="O383" s="5"/>
      <c r="P383" s="5"/>
      <c r="Q383" s="5"/>
      <c r="R383" s="5"/>
      <c r="S383" s="5"/>
      <c r="T383" s="5"/>
      <c r="U383" s="5"/>
      <c r="V383" s="5"/>
      <c r="W383" s="5"/>
      <c r="X383" s="5"/>
      <c r="Y383" s="5"/>
    </row>
    <row r="384" spans="1:25" ht="15" thickBot="1" x14ac:dyDescent="0.35">
      <c r="A384" s="27">
        <v>382</v>
      </c>
      <c r="B384" s="21">
        <v>383</v>
      </c>
      <c r="C384" s="22">
        <v>0.1515</v>
      </c>
      <c r="D384" s="21">
        <v>0.5</v>
      </c>
      <c r="E384" s="21">
        <v>0.25369999999999998</v>
      </c>
      <c r="F384" s="21">
        <v>7</v>
      </c>
      <c r="G384" s="21">
        <v>50</v>
      </c>
      <c r="H384" s="23">
        <v>57</v>
      </c>
      <c r="I384" s="23">
        <v>0.1515</v>
      </c>
      <c r="J384" s="18"/>
      <c r="K384" s="5"/>
      <c r="L384" s="5"/>
      <c r="M384" s="5"/>
      <c r="N384" s="5"/>
      <c r="O384" s="5"/>
      <c r="P384" s="5"/>
      <c r="Q384" s="5"/>
      <c r="R384" s="5"/>
      <c r="S384" s="5"/>
      <c r="T384" s="5"/>
      <c r="U384" s="5"/>
      <c r="V384" s="5"/>
      <c r="W384" s="5"/>
      <c r="X384" s="5"/>
      <c r="Y384" s="5"/>
    </row>
    <row r="385" spans="1:25" ht="15" thickBot="1" x14ac:dyDescent="0.35">
      <c r="A385" s="27">
        <v>383</v>
      </c>
      <c r="B385" s="21">
        <v>384</v>
      </c>
      <c r="C385" s="22">
        <v>0.1515</v>
      </c>
      <c r="D385" s="21">
        <v>0.55000000000000004</v>
      </c>
      <c r="E385" s="21">
        <v>0.19400000000000001</v>
      </c>
      <c r="F385" s="21">
        <v>9</v>
      </c>
      <c r="G385" s="21">
        <v>55</v>
      </c>
      <c r="H385" s="23">
        <v>64</v>
      </c>
      <c r="I385" s="23">
        <v>0.1515</v>
      </c>
      <c r="J385" s="18"/>
      <c r="K385" s="5"/>
      <c r="L385" s="5"/>
      <c r="M385" s="5"/>
      <c r="N385" s="5"/>
      <c r="O385" s="5"/>
      <c r="P385" s="5"/>
      <c r="Q385" s="5"/>
      <c r="R385" s="5"/>
      <c r="S385" s="5"/>
      <c r="T385" s="5"/>
      <c r="U385" s="5"/>
      <c r="V385" s="5"/>
      <c r="W385" s="5"/>
      <c r="X385" s="5"/>
      <c r="Y385" s="5"/>
    </row>
    <row r="386" spans="1:25" ht="15" thickBot="1" x14ac:dyDescent="0.35">
      <c r="A386" s="27">
        <v>384</v>
      </c>
      <c r="B386" s="21">
        <v>385</v>
      </c>
      <c r="C386" s="22">
        <v>0.19700000000000001</v>
      </c>
      <c r="D386" s="21">
        <v>0.47</v>
      </c>
      <c r="E386" s="21">
        <v>0.1343</v>
      </c>
      <c r="F386" s="21">
        <v>10</v>
      </c>
      <c r="G386" s="21">
        <v>70</v>
      </c>
      <c r="H386" s="23">
        <v>80</v>
      </c>
      <c r="I386" s="23">
        <v>0.19700000000000001</v>
      </c>
      <c r="J386" s="18"/>
      <c r="K386" s="5"/>
      <c r="L386" s="5"/>
      <c r="M386" s="5"/>
      <c r="N386" s="5"/>
      <c r="O386" s="5"/>
      <c r="P386" s="5"/>
      <c r="Q386" s="5"/>
      <c r="R386" s="5"/>
      <c r="S386" s="5"/>
      <c r="T386" s="5"/>
      <c r="U386" s="5"/>
      <c r="V386" s="5"/>
      <c r="W386" s="5"/>
      <c r="X386" s="5"/>
      <c r="Y386" s="5"/>
    </row>
    <row r="387" spans="1:25" ht="15" thickBot="1" x14ac:dyDescent="0.35">
      <c r="A387" s="27">
        <v>385</v>
      </c>
      <c r="B387" s="21">
        <v>386</v>
      </c>
      <c r="C387" s="22">
        <v>0.19700000000000001</v>
      </c>
      <c r="D387" s="21">
        <v>0.47</v>
      </c>
      <c r="E387" s="21">
        <v>0.1343</v>
      </c>
      <c r="F387" s="21">
        <v>13</v>
      </c>
      <c r="G387" s="21">
        <v>80</v>
      </c>
      <c r="H387" s="23">
        <v>93</v>
      </c>
      <c r="I387" s="23">
        <v>0.19700000000000001</v>
      </c>
      <c r="J387" s="18"/>
      <c r="K387" s="5"/>
      <c r="L387" s="5"/>
      <c r="M387" s="5"/>
      <c r="N387" s="5"/>
      <c r="O387" s="5"/>
      <c r="P387" s="5"/>
      <c r="Q387" s="5"/>
      <c r="R387" s="5"/>
      <c r="S387" s="5"/>
      <c r="T387" s="5"/>
      <c r="U387" s="5"/>
      <c r="V387" s="5"/>
      <c r="W387" s="5"/>
      <c r="X387" s="5"/>
      <c r="Y387" s="5"/>
    </row>
    <row r="388" spans="1:25" ht="15" thickBot="1" x14ac:dyDescent="0.35">
      <c r="A388" s="27">
        <v>386</v>
      </c>
      <c r="B388" s="21">
        <v>387</v>
      </c>
      <c r="C388" s="22">
        <v>0.21210000000000001</v>
      </c>
      <c r="D388" s="21">
        <v>0.43</v>
      </c>
      <c r="E388" s="21">
        <v>0.1045</v>
      </c>
      <c r="F388" s="21">
        <v>12</v>
      </c>
      <c r="G388" s="21">
        <v>74</v>
      </c>
      <c r="H388" s="23">
        <v>86</v>
      </c>
      <c r="I388" s="23">
        <v>0.21210000000000001</v>
      </c>
      <c r="J388" s="18"/>
      <c r="K388" s="5"/>
      <c r="L388" s="5"/>
      <c r="M388" s="5"/>
      <c r="N388" s="5"/>
      <c r="O388" s="5"/>
      <c r="P388" s="5"/>
      <c r="Q388" s="5"/>
      <c r="R388" s="5"/>
      <c r="S388" s="5"/>
      <c r="T388" s="5"/>
      <c r="U388" s="5"/>
      <c r="V388" s="5"/>
      <c r="W388" s="5"/>
      <c r="X388" s="5"/>
      <c r="Y388" s="5"/>
    </row>
    <row r="389" spans="1:25" ht="15" thickBot="1" x14ac:dyDescent="0.35">
      <c r="A389" s="27">
        <v>387</v>
      </c>
      <c r="B389" s="21">
        <v>388</v>
      </c>
      <c r="C389" s="22">
        <v>0.21210000000000001</v>
      </c>
      <c r="D389" s="21">
        <v>0.47</v>
      </c>
      <c r="E389" s="21">
        <v>0.16420000000000001</v>
      </c>
      <c r="F389" s="21">
        <v>21</v>
      </c>
      <c r="G389" s="21">
        <v>72</v>
      </c>
      <c r="H389" s="23">
        <v>93</v>
      </c>
      <c r="I389" s="23">
        <v>0.21210000000000001</v>
      </c>
      <c r="J389" s="18"/>
      <c r="K389" s="5"/>
      <c r="L389" s="5"/>
      <c r="M389" s="5"/>
      <c r="N389" s="5"/>
      <c r="O389" s="5"/>
      <c r="P389" s="5"/>
      <c r="Q389" s="5"/>
      <c r="R389" s="5"/>
      <c r="S389" s="5"/>
      <c r="T389" s="5"/>
      <c r="U389" s="5"/>
      <c r="V389" s="5"/>
      <c r="W389" s="5"/>
      <c r="X389" s="5"/>
      <c r="Y389" s="5"/>
    </row>
    <row r="390" spans="1:25" ht="15" thickBot="1" x14ac:dyDescent="0.35">
      <c r="A390" s="27">
        <v>388</v>
      </c>
      <c r="B390" s="21">
        <v>389</v>
      </c>
      <c r="C390" s="22">
        <v>0.21210000000000001</v>
      </c>
      <c r="D390" s="21">
        <v>0.47</v>
      </c>
      <c r="E390" s="21">
        <v>0.16420000000000001</v>
      </c>
      <c r="F390" s="21">
        <v>6</v>
      </c>
      <c r="G390" s="21">
        <v>76</v>
      </c>
      <c r="H390" s="23">
        <v>82</v>
      </c>
      <c r="I390" s="23">
        <v>0.21210000000000001</v>
      </c>
      <c r="J390" s="18"/>
      <c r="K390" s="5"/>
      <c r="L390" s="5"/>
      <c r="M390" s="5"/>
      <c r="N390" s="5"/>
      <c r="O390" s="5"/>
      <c r="P390" s="5"/>
      <c r="Q390" s="5"/>
      <c r="R390" s="5"/>
      <c r="S390" s="5"/>
      <c r="T390" s="5"/>
      <c r="U390" s="5"/>
      <c r="V390" s="5"/>
      <c r="W390" s="5"/>
      <c r="X390" s="5"/>
      <c r="Y390" s="5"/>
    </row>
    <row r="391" spans="1:25" ht="15" thickBot="1" x14ac:dyDescent="0.35">
      <c r="A391" s="27">
        <v>389</v>
      </c>
      <c r="B391" s="21">
        <v>390</v>
      </c>
      <c r="C391" s="22">
        <v>0.19700000000000001</v>
      </c>
      <c r="D391" s="21">
        <v>0.51</v>
      </c>
      <c r="E391" s="21">
        <v>0.19400000000000001</v>
      </c>
      <c r="F391" s="21">
        <v>4</v>
      </c>
      <c r="G391" s="21">
        <v>67</v>
      </c>
      <c r="H391" s="23">
        <v>71</v>
      </c>
      <c r="I391" s="23">
        <v>0.19700000000000001</v>
      </c>
      <c r="J391" s="18"/>
      <c r="K391" s="5"/>
      <c r="L391" s="5"/>
      <c r="M391" s="5"/>
      <c r="N391" s="5"/>
      <c r="O391" s="5"/>
      <c r="P391" s="5"/>
      <c r="Q391" s="5"/>
      <c r="R391" s="5"/>
      <c r="S391" s="5"/>
      <c r="T391" s="5"/>
      <c r="U391" s="5"/>
      <c r="V391" s="5"/>
      <c r="W391" s="5"/>
      <c r="X391" s="5"/>
      <c r="Y391" s="5"/>
    </row>
    <row r="392" spans="1:25" ht="15" thickBot="1" x14ac:dyDescent="0.35">
      <c r="A392" s="27">
        <v>390</v>
      </c>
      <c r="B392" s="21">
        <v>391</v>
      </c>
      <c r="C392" s="22">
        <v>0.16669999999999999</v>
      </c>
      <c r="D392" s="21">
        <v>0.55000000000000004</v>
      </c>
      <c r="E392" s="21">
        <v>0.25369999999999998</v>
      </c>
      <c r="F392" s="21">
        <v>7</v>
      </c>
      <c r="G392" s="21">
        <v>85</v>
      </c>
      <c r="H392" s="23">
        <v>92</v>
      </c>
      <c r="I392" s="23">
        <v>0.16669999999999999</v>
      </c>
      <c r="J392" s="18"/>
      <c r="K392" s="5"/>
      <c r="L392" s="5"/>
      <c r="M392" s="5"/>
      <c r="N392" s="5"/>
      <c r="O392" s="5"/>
      <c r="P392" s="5"/>
      <c r="Q392" s="5"/>
      <c r="R392" s="5"/>
      <c r="S392" s="5"/>
      <c r="T392" s="5"/>
      <c r="U392" s="5"/>
      <c r="V392" s="5"/>
      <c r="W392" s="5"/>
      <c r="X392" s="5"/>
      <c r="Y392" s="5"/>
    </row>
    <row r="393" spans="1:25" ht="15" thickBot="1" x14ac:dyDescent="0.35">
      <c r="A393" s="27">
        <v>391</v>
      </c>
      <c r="B393" s="21">
        <v>392</v>
      </c>
      <c r="C393" s="22">
        <v>0.18179999999999999</v>
      </c>
      <c r="D393" s="21">
        <v>0.59</v>
      </c>
      <c r="E393" s="21">
        <v>0.19400000000000001</v>
      </c>
      <c r="F393" s="21">
        <v>2</v>
      </c>
      <c r="G393" s="21">
        <v>58</v>
      </c>
      <c r="H393" s="23">
        <v>60</v>
      </c>
      <c r="I393" s="23">
        <v>0.18179999999999999</v>
      </c>
      <c r="J393" s="18"/>
      <c r="K393" s="5"/>
      <c r="L393" s="5"/>
      <c r="M393" s="5"/>
      <c r="N393" s="5"/>
      <c r="O393" s="5"/>
      <c r="P393" s="5"/>
      <c r="Q393" s="5"/>
      <c r="R393" s="5"/>
      <c r="S393" s="5"/>
      <c r="T393" s="5"/>
      <c r="U393" s="5"/>
      <c r="V393" s="5"/>
      <c r="W393" s="5"/>
      <c r="X393" s="5"/>
      <c r="Y393" s="5"/>
    </row>
    <row r="394" spans="1:25" ht="15" thickBot="1" x14ac:dyDescent="0.35">
      <c r="A394" s="27">
        <v>392</v>
      </c>
      <c r="B394" s="21">
        <v>393</v>
      </c>
      <c r="C394" s="22">
        <v>0.1515</v>
      </c>
      <c r="D394" s="21">
        <v>0.8</v>
      </c>
      <c r="E394" s="21">
        <v>0.19400000000000001</v>
      </c>
      <c r="F394" s="21">
        <v>4</v>
      </c>
      <c r="G394" s="21">
        <v>29</v>
      </c>
      <c r="H394" s="23">
        <v>33</v>
      </c>
      <c r="I394" s="23">
        <v>0.1515</v>
      </c>
      <c r="J394" s="18"/>
      <c r="K394" s="5"/>
      <c r="L394" s="5"/>
      <c r="M394" s="5"/>
      <c r="N394" s="5"/>
      <c r="O394" s="5"/>
      <c r="P394" s="5"/>
      <c r="Q394" s="5"/>
      <c r="R394" s="5"/>
      <c r="S394" s="5"/>
      <c r="T394" s="5"/>
      <c r="U394" s="5"/>
      <c r="V394" s="5"/>
      <c r="W394" s="5"/>
      <c r="X394" s="5"/>
      <c r="Y394" s="5"/>
    </row>
    <row r="395" spans="1:25" ht="15" thickBot="1" x14ac:dyDescent="0.35">
      <c r="A395" s="27">
        <v>393</v>
      </c>
      <c r="B395" s="21">
        <v>394</v>
      </c>
      <c r="C395" s="22">
        <v>0.1515</v>
      </c>
      <c r="D395" s="21">
        <v>0.8</v>
      </c>
      <c r="E395" s="21">
        <v>0.19400000000000001</v>
      </c>
      <c r="F395" s="21">
        <v>3</v>
      </c>
      <c r="G395" s="21">
        <v>24</v>
      </c>
      <c r="H395" s="23">
        <v>27</v>
      </c>
      <c r="I395" s="23">
        <v>0.1515</v>
      </c>
      <c r="J395" s="18"/>
      <c r="K395" s="5"/>
      <c r="L395" s="5"/>
      <c r="M395" s="5"/>
      <c r="N395" s="5"/>
      <c r="O395" s="5"/>
      <c r="P395" s="5"/>
      <c r="Q395" s="5"/>
      <c r="R395" s="5"/>
      <c r="S395" s="5"/>
      <c r="T395" s="5"/>
      <c r="U395" s="5"/>
      <c r="V395" s="5"/>
      <c r="W395" s="5"/>
      <c r="X395" s="5"/>
      <c r="Y395" s="5"/>
    </row>
    <row r="396" spans="1:25" ht="15" thickBot="1" x14ac:dyDescent="0.35">
      <c r="A396" s="27">
        <v>394</v>
      </c>
      <c r="B396" s="21">
        <v>395</v>
      </c>
      <c r="C396" s="22">
        <v>0.1212</v>
      </c>
      <c r="D396" s="21">
        <v>0.93</v>
      </c>
      <c r="E396" s="21">
        <v>0.25369999999999998</v>
      </c>
      <c r="F396" s="21">
        <v>0</v>
      </c>
      <c r="G396" s="21">
        <v>13</v>
      </c>
      <c r="H396" s="23">
        <v>13</v>
      </c>
      <c r="I396" s="23">
        <v>0.1212</v>
      </c>
      <c r="J396" s="18"/>
      <c r="K396" s="5"/>
      <c r="L396" s="5"/>
      <c r="M396" s="5"/>
      <c r="N396" s="5"/>
      <c r="O396" s="5"/>
      <c r="P396" s="5"/>
      <c r="Q396" s="5"/>
      <c r="R396" s="5"/>
      <c r="S396" s="5"/>
      <c r="T396" s="5"/>
      <c r="U396" s="5"/>
      <c r="V396" s="5"/>
      <c r="W396" s="5"/>
      <c r="X396" s="5"/>
      <c r="Y396" s="5"/>
    </row>
    <row r="397" spans="1:25" ht="15" thickBot="1" x14ac:dyDescent="0.35">
      <c r="A397" s="27">
        <v>395</v>
      </c>
      <c r="B397" s="21">
        <v>396</v>
      </c>
      <c r="C397" s="22">
        <v>0.13639999999999999</v>
      </c>
      <c r="D397" s="21">
        <v>0.86</v>
      </c>
      <c r="E397" s="21">
        <v>0.28360000000000002</v>
      </c>
      <c r="F397" s="21">
        <v>1</v>
      </c>
      <c r="G397" s="21">
        <v>3</v>
      </c>
      <c r="H397" s="23">
        <v>4</v>
      </c>
      <c r="I397" s="23">
        <v>0.13639999999999999</v>
      </c>
      <c r="J397" s="18"/>
      <c r="K397" s="5"/>
      <c r="L397" s="5"/>
      <c r="M397" s="5"/>
      <c r="N397" s="5"/>
      <c r="O397" s="5"/>
      <c r="P397" s="5"/>
      <c r="Q397" s="5"/>
      <c r="R397" s="5"/>
      <c r="S397" s="5"/>
      <c r="T397" s="5"/>
      <c r="U397" s="5"/>
      <c r="V397" s="5"/>
      <c r="W397" s="5"/>
      <c r="X397" s="5"/>
      <c r="Y397" s="5"/>
    </row>
    <row r="398" spans="1:25" ht="15" thickBot="1" x14ac:dyDescent="0.35">
      <c r="A398" s="27">
        <v>396</v>
      </c>
      <c r="B398" s="21">
        <v>397</v>
      </c>
      <c r="C398" s="22">
        <v>0.18179999999999999</v>
      </c>
      <c r="D398" s="21">
        <v>0.86</v>
      </c>
      <c r="E398" s="21">
        <v>0.32840000000000003</v>
      </c>
      <c r="F398" s="21">
        <v>0</v>
      </c>
      <c r="G398" s="21">
        <v>3</v>
      </c>
      <c r="H398" s="23">
        <v>3</v>
      </c>
      <c r="I398" s="23">
        <v>0.18179999999999999</v>
      </c>
      <c r="J398" s="18"/>
      <c r="K398" s="5"/>
      <c r="L398" s="5"/>
      <c r="M398" s="5"/>
      <c r="N398" s="5"/>
      <c r="O398" s="5"/>
      <c r="P398" s="5"/>
      <c r="Q398" s="5"/>
      <c r="R398" s="5"/>
      <c r="S398" s="5"/>
      <c r="T398" s="5"/>
      <c r="U398" s="5"/>
      <c r="V398" s="5"/>
      <c r="W398" s="5"/>
      <c r="X398" s="5"/>
      <c r="Y398" s="5"/>
    </row>
    <row r="399" spans="1:25" ht="15" thickBot="1" x14ac:dyDescent="0.35">
      <c r="A399" s="27">
        <v>397</v>
      </c>
      <c r="B399" s="21">
        <v>398</v>
      </c>
      <c r="C399" s="22">
        <v>0.19700000000000001</v>
      </c>
      <c r="D399" s="21">
        <v>0.86</v>
      </c>
      <c r="E399" s="21">
        <v>0.22389999999999999</v>
      </c>
      <c r="F399" s="21">
        <v>0</v>
      </c>
      <c r="G399" s="21">
        <v>22</v>
      </c>
      <c r="H399" s="23">
        <v>22</v>
      </c>
      <c r="I399" s="23">
        <v>0.19700000000000001</v>
      </c>
      <c r="J399" s="18"/>
      <c r="K399" s="5"/>
      <c r="L399" s="5"/>
      <c r="M399" s="5"/>
      <c r="N399" s="5"/>
      <c r="O399" s="5"/>
      <c r="P399" s="5"/>
      <c r="Q399" s="5"/>
      <c r="R399" s="5"/>
      <c r="S399" s="5"/>
      <c r="T399" s="5"/>
      <c r="U399" s="5"/>
      <c r="V399" s="5"/>
      <c r="W399" s="5"/>
      <c r="X399" s="5"/>
      <c r="Y399" s="5"/>
    </row>
    <row r="400" spans="1:25" ht="15" thickBot="1" x14ac:dyDescent="0.35">
      <c r="A400" s="27">
        <v>398</v>
      </c>
      <c r="B400" s="21">
        <v>399</v>
      </c>
      <c r="C400" s="22">
        <v>0.2273</v>
      </c>
      <c r="D400" s="21">
        <v>0.8</v>
      </c>
      <c r="E400" s="21">
        <v>0.16420000000000001</v>
      </c>
      <c r="F400" s="21">
        <v>2</v>
      </c>
      <c r="G400" s="21">
        <v>26</v>
      </c>
      <c r="H400" s="23">
        <v>28</v>
      </c>
      <c r="I400" s="23">
        <v>0.2273</v>
      </c>
      <c r="J400" s="18"/>
      <c r="K400" s="5"/>
      <c r="L400" s="5"/>
      <c r="M400" s="5"/>
      <c r="N400" s="5"/>
      <c r="O400" s="5"/>
      <c r="P400" s="5"/>
      <c r="Q400" s="5"/>
      <c r="R400" s="5"/>
      <c r="S400" s="5"/>
      <c r="T400" s="5"/>
      <c r="U400" s="5"/>
      <c r="V400" s="5"/>
      <c r="W400" s="5"/>
      <c r="X400" s="5"/>
      <c r="Y400" s="5"/>
    </row>
    <row r="401" spans="1:25" ht="15" thickBot="1" x14ac:dyDescent="0.35">
      <c r="A401" s="27">
        <v>399</v>
      </c>
      <c r="B401" s="21">
        <v>400</v>
      </c>
      <c r="C401" s="22">
        <v>0.2273</v>
      </c>
      <c r="D401" s="21">
        <v>0.87</v>
      </c>
      <c r="E401" s="21">
        <v>0.16420000000000001</v>
      </c>
      <c r="F401" s="21">
        <v>3</v>
      </c>
      <c r="G401" s="21">
        <v>32</v>
      </c>
      <c r="H401" s="23">
        <v>35</v>
      </c>
      <c r="I401" s="23">
        <v>0.2273</v>
      </c>
      <c r="J401" s="18"/>
      <c r="K401" s="5"/>
      <c r="L401" s="5"/>
      <c r="M401" s="5"/>
      <c r="N401" s="5"/>
      <c r="O401" s="5"/>
      <c r="P401" s="5"/>
      <c r="Q401" s="5"/>
      <c r="R401" s="5"/>
      <c r="S401" s="5"/>
      <c r="T401" s="5"/>
      <c r="U401" s="5"/>
      <c r="V401" s="5"/>
      <c r="W401" s="5"/>
      <c r="X401" s="5"/>
      <c r="Y401" s="5"/>
    </row>
    <row r="402" spans="1:25" ht="15" thickBot="1" x14ac:dyDescent="0.35">
      <c r="A402" s="27">
        <v>400</v>
      </c>
      <c r="B402" s="21">
        <v>401</v>
      </c>
      <c r="C402" s="22">
        <v>0.2273</v>
      </c>
      <c r="D402" s="21">
        <v>0.87</v>
      </c>
      <c r="E402" s="21">
        <v>0.19400000000000001</v>
      </c>
      <c r="F402" s="21">
        <v>0</v>
      </c>
      <c r="G402" s="21">
        <v>61</v>
      </c>
      <c r="H402" s="23">
        <v>61</v>
      </c>
      <c r="I402" s="23">
        <v>0.2273</v>
      </c>
      <c r="J402" s="18"/>
      <c r="K402" s="5"/>
      <c r="L402" s="5"/>
      <c r="M402" s="5"/>
      <c r="N402" s="5"/>
      <c r="O402" s="5"/>
      <c r="P402" s="5"/>
      <c r="Q402" s="5"/>
      <c r="R402" s="5"/>
      <c r="S402" s="5"/>
      <c r="T402" s="5"/>
      <c r="U402" s="5"/>
      <c r="V402" s="5"/>
      <c r="W402" s="5"/>
      <c r="X402" s="5"/>
      <c r="Y402" s="5"/>
    </row>
    <row r="403" spans="1:25" ht="15" thickBot="1" x14ac:dyDescent="0.35">
      <c r="A403" s="27">
        <v>401</v>
      </c>
      <c r="B403" s="21">
        <v>402</v>
      </c>
      <c r="C403" s="22">
        <v>0.2273</v>
      </c>
      <c r="D403" s="21">
        <v>0.82</v>
      </c>
      <c r="E403" s="21">
        <v>0.19400000000000001</v>
      </c>
      <c r="F403" s="21">
        <v>1</v>
      </c>
      <c r="G403" s="21">
        <v>124</v>
      </c>
      <c r="H403" s="23">
        <v>125</v>
      </c>
      <c r="I403" s="23">
        <v>0.2273</v>
      </c>
      <c r="J403" s="18"/>
      <c r="K403" s="5"/>
      <c r="L403" s="5"/>
      <c r="M403" s="5"/>
      <c r="N403" s="5"/>
      <c r="O403" s="5"/>
      <c r="P403" s="5"/>
      <c r="Q403" s="5"/>
      <c r="R403" s="5"/>
      <c r="S403" s="5"/>
      <c r="T403" s="5"/>
      <c r="U403" s="5"/>
      <c r="V403" s="5"/>
      <c r="W403" s="5"/>
      <c r="X403" s="5"/>
      <c r="Y403" s="5"/>
    </row>
    <row r="404" spans="1:25" ht="15" thickBot="1" x14ac:dyDescent="0.35">
      <c r="A404" s="27">
        <v>402</v>
      </c>
      <c r="B404" s="21">
        <v>403</v>
      </c>
      <c r="C404" s="22">
        <v>0.2273</v>
      </c>
      <c r="D404" s="21">
        <v>0.8</v>
      </c>
      <c r="E404" s="21">
        <v>0.16420000000000001</v>
      </c>
      <c r="F404" s="21">
        <v>1</v>
      </c>
      <c r="G404" s="21">
        <v>132</v>
      </c>
      <c r="H404" s="23">
        <v>133</v>
      </c>
      <c r="I404" s="23">
        <v>0.2273</v>
      </c>
      <c r="J404" s="18"/>
      <c r="K404" s="5"/>
      <c r="L404" s="5"/>
      <c r="M404" s="5"/>
      <c r="N404" s="5"/>
      <c r="O404" s="5"/>
      <c r="P404" s="5"/>
      <c r="Q404" s="5"/>
      <c r="R404" s="5"/>
      <c r="S404" s="5"/>
      <c r="T404" s="5"/>
      <c r="U404" s="5"/>
      <c r="V404" s="5"/>
      <c r="W404" s="5"/>
      <c r="X404" s="5"/>
      <c r="Y404" s="5"/>
    </row>
    <row r="405" spans="1:25" ht="15" thickBot="1" x14ac:dyDescent="0.35">
      <c r="A405" s="27">
        <v>403</v>
      </c>
      <c r="B405" s="21">
        <v>404</v>
      </c>
      <c r="C405" s="22">
        <v>0.2273</v>
      </c>
      <c r="D405" s="21">
        <v>0.8</v>
      </c>
      <c r="E405" s="21">
        <v>0.1343</v>
      </c>
      <c r="F405" s="21">
        <v>1</v>
      </c>
      <c r="G405" s="21">
        <v>98</v>
      </c>
      <c r="H405" s="23">
        <v>99</v>
      </c>
      <c r="I405" s="23">
        <v>0.2273</v>
      </c>
      <c r="J405" s="18"/>
      <c r="K405" s="5"/>
      <c r="L405" s="5"/>
      <c r="M405" s="5"/>
      <c r="N405" s="5"/>
      <c r="O405" s="5"/>
      <c r="P405" s="5"/>
      <c r="Q405" s="5"/>
      <c r="R405" s="5"/>
      <c r="S405" s="5"/>
      <c r="T405" s="5"/>
      <c r="U405" s="5"/>
      <c r="V405" s="5"/>
      <c r="W405" s="5"/>
      <c r="X405" s="5"/>
      <c r="Y405" s="5"/>
    </row>
    <row r="406" spans="1:25" ht="15" thickBot="1" x14ac:dyDescent="0.35">
      <c r="A406" s="27">
        <v>404</v>
      </c>
      <c r="B406" s="21">
        <v>405</v>
      </c>
      <c r="C406" s="22">
        <v>0.2727</v>
      </c>
      <c r="D406" s="21">
        <v>0.87</v>
      </c>
      <c r="E406" s="22">
        <v>0.20485098360655737</v>
      </c>
      <c r="F406" s="21">
        <v>0</v>
      </c>
      <c r="G406" s="21">
        <v>83</v>
      </c>
      <c r="H406" s="23">
        <v>83</v>
      </c>
      <c r="I406" s="23">
        <v>0.2727</v>
      </c>
      <c r="J406" s="18"/>
      <c r="K406" s="5"/>
      <c r="L406" s="5"/>
      <c r="M406" s="5"/>
      <c r="N406" s="5"/>
      <c r="O406" s="5"/>
      <c r="P406" s="5"/>
      <c r="Q406" s="5"/>
      <c r="R406" s="5"/>
      <c r="S406" s="5"/>
      <c r="T406" s="5"/>
      <c r="U406" s="5"/>
      <c r="V406" s="5"/>
      <c r="W406" s="5"/>
      <c r="X406" s="5"/>
      <c r="Y406" s="5"/>
    </row>
    <row r="407" spans="1:25" ht="15" thickBot="1" x14ac:dyDescent="0.35">
      <c r="A407" s="27">
        <v>405</v>
      </c>
      <c r="B407" s="21">
        <v>406</v>
      </c>
      <c r="C407" s="22">
        <v>0.2424</v>
      </c>
      <c r="D407" s="21">
        <v>0.93</v>
      </c>
      <c r="E407" s="21">
        <v>0.1045</v>
      </c>
      <c r="F407" s="21">
        <v>0</v>
      </c>
      <c r="G407" s="21">
        <v>41</v>
      </c>
      <c r="H407" s="23">
        <v>41</v>
      </c>
      <c r="I407" s="23">
        <v>0.2424</v>
      </c>
      <c r="J407" s="18"/>
      <c r="K407" s="5"/>
      <c r="L407" s="5"/>
      <c r="M407" s="5"/>
      <c r="N407" s="5"/>
      <c r="O407" s="5"/>
      <c r="P407" s="5"/>
      <c r="Q407" s="5"/>
      <c r="R407" s="5"/>
      <c r="S407" s="5"/>
      <c r="T407" s="5"/>
      <c r="U407" s="5"/>
      <c r="V407" s="5"/>
      <c r="W407" s="5"/>
      <c r="X407" s="5"/>
      <c r="Y407" s="5"/>
    </row>
    <row r="408" spans="1:25" ht="15" thickBot="1" x14ac:dyDescent="0.35">
      <c r="A408" s="27">
        <v>406</v>
      </c>
      <c r="B408" s="21">
        <v>407</v>
      </c>
      <c r="C408" s="22">
        <v>0.2576</v>
      </c>
      <c r="D408" s="21">
        <v>0.93</v>
      </c>
      <c r="E408" s="21">
        <v>8.9599999999999999E-2</v>
      </c>
      <c r="F408" s="21">
        <v>0</v>
      </c>
      <c r="G408" s="21">
        <v>33</v>
      </c>
      <c r="H408" s="23">
        <v>33</v>
      </c>
      <c r="I408" s="23">
        <v>0.2576</v>
      </c>
      <c r="J408" s="18"/>
      <c r="K408" s="5"/>
      <c r="L408" s="5"/>
      <c r="M408" s="5"/>
      <c r="N408" s="5"/>
      <c r="O408" s="5"/>
      <c r="P408" s="5"/>
      <c r="Q408" s="5"/>
      <c r="R408" s="5"/>
      <c r="S408" s="5"/>
      <c r="T408" s="5"/>
      <c r="U408" s="5"/>
      <c r="V408" s="5"/>
      <c r="W408" s="5"/>
      <c r="X408" s="5"/>
      <c r="Y408" s="5"/>
    </row>
    <row r="409" spans="1:25" ht="15" thickBot="1" x14ac:dyDescent="0.35">
      <c r="A409" s="27">
        <v>407</v>
      </c>
      <c r="B409" s="21">
        <v>408</v>
      </c>
      <c r="C409" s="22">
        <v>0.2727</v>
      </c>
      <c r="D409" s="21">
        <v>0.93</v>
      </c>
      <c r="E409" s="22">
        <v>0.20485098360655737</v>
      </c>
      <c r="F409" s="21">
        <v>1</v>
      </c>
      <c r="G409" s="21">
        <v>19</v>
      </c>
      <c r="H409" s="23">
        <v>20</v>
      </c>
      <c r="I409" s="23">
        <v>0.2727</v>
      </c>
      <c r="J409" s="18"/>
      <c r="K409" s="5"/>
      <c r="L409" s="5"/>
      <c r="M409" s="5"/>
      <c r="N409" s="5"/>
      <c r="O409" s="5"/>
      <c r="P409" s="5"/>
      <c r="Q409" s="5"/>
      <c r="R409" s="5"/>
      <c r="S409" s="5"/>
      <c r="T409" s="5"/>
      <c r="U409" s="5"/>
      <c r="V409" s="5"/>
      <c r="W409" s="5"/>
      <c r="X409" s="5"/>
      <c r="Y409" s="5"/>
    </row>
    <row r="410" spans="1:25" ht="15" thickBot="1" x14ac:dyDescent="0.35">
      <c r="A410" s="27">
        <v>408</v>
      </c>
      <c r="B410" s="21">
        <v>409</v>
      </c>
      <c r="C410" s="22">
        <v>0.2727</v>
      </c>
      <c r="D410" s="21">
        <v>0.93</v>
      </c>
      <c r="E410" s="22">
        <v>0.20485098360655737</v>
      </c>
      <c r="F410" s="21">
        <v>0</v>
      </c>
      <c r="G410" s="21">
        <v>3</v>
      </c>
      <c r="H410" s="23">
        <v>3</v>
      </c>
      <c r="I410" s="23">
        <v>0.2727</v>
      </c>
      <c r="J410" s="18"/>
      <c r="K410" s="5"/>
      <c r="L410" s="5"/>
      <c r="M410" s="5"/>
      <c r="N410" s="5"/>
      <c r="O410" s="5"/>
      <c r="P410" s="5"/>
      <c r="Q410" s="5"/>
      <c r="R410" s="5"/>
      <c r="S410" s="5"/>
      <c r="T410" s="5"/>
      <c r="U410" s="5"/>
      <c r="V410" s="5"/>
      <c r="W410" s="5"/>
      <c r="X410" s="5"/>
      <c r="Y410" s="5"/>
    </row>
    <row r="411" spans="1:25" ht="15" thickBot="1" x14ac:dyDescent="0.35">
      <c r="A411" s="27">
        <v>409</v>
      </c>
      <c r="B411" s="21">
        <v>410</v>
      </c>
      <c r="C411" s="22">
        <v>0.2273</v>
      </c>
      <c r="D411" s="21">
        <v>0.93</v>
      </c>
      <c r="E411" s="21">
        <v>0.1343</v>
      </c>
      <c r="F411" s="21">
        <v>1</v>
      </c>
      <c r="G411" s="21">
        <v>6</v>
      </c>
      <c r="H411" s="23">
        <v>7</v>
      </c>
      <c r="I411" s="23">
        <v>0.2273</v>
      </c>
      <c r="J411" s="18"/>
      <c r="K411" s="5"/>
      <c r="L411" s="5"/>
      <c r="M411" s="5"/>
      <c r="N411" s="5"/>
      <c r="O411" s="5"/>
      <c r="P411" s="5"/>
      <c r="Q411" s="5"/>
      <c r="R411" s="5"/>
      <c r="S411" s="5"/>
      <c r="T411" s="5"/>
      <c r="U411" s="5"/>
      <c r="V411" s="5"/>
      <c r="W411" s="5"/>
      <c r="X411" s="5"/>
      <c r="Y411" s="5"/>
    </row>
    <row r="412" spans="1:25" ht="15" thickBot="1" x14ac:dyDescent="0.35">
      <c r="A412" s="27">
        <v>410</v>
      </c>
      <c r="B412" s="21">
        <v>411</v>
      </c>
      <c r="C412" s="22">
        <v>0.2273</v>
      </c>
      <c r="D412" s="21">
        <v>0.93</v>
      </c>
      <c r="E412" s="21">
        <v>0.1343</v>
      </c>
      <c r="F412" s="21">
        <v>0</v>
      </c>
      <c r="G412" s="21">
        <v>3</v>
      </c>
      <c r="H412" s="23">
        <v>3</v>
      </c>
      <c r="I412" s="23">
        <v>0.2273</v>
      </c>
      <c r="J412" s="18"/>
      <c r="K412" s="5"/>
      <c r="L412" s="5"/>
      <c r="M412" s="5"/>
      <c r="N412" s="5"/>
      <c r="O412" s="5"/>
      <c r="P412" s="5"/>
      <c r="Q412" s="5"/>
      <c r="R412" s="5"/>
      <c r="S412" s="5"/>
      <c r="T412" s="5"/>
      <c r="U412" s="5"/>
      <c r="V412" s="5"/>
      <c r="W412" s="5"/>
      <c r="X412" s="5"/>
      <c r="Y412" s="5"/>
    </row>
    <row r="413" spans="1:25" ht="15" thickBot="1" x14ac:dyDescent="0.35">
      <c r="A413" s="27">
        <v>411</v>
      </c>
      <c r="B413" s="21">
        <v>412</v>
      </c>
      <c r="C413" s="22">
        <v>0.2273</v>
      </c>
      <c r="D413" s="21">
        <v>0.93</v>
      </c>
      <c r="E413" s="21">
        <v>0.1343</v>
      </c>
      <c r="F413" s="21">
        <v>1</v>
      </c>
      <c r="G413" s="21">
        <v>1</v>
      </c>
      <c r="H413" s="23">
        <v>2</v>
      </c>
      <c r="I413" s="23">
        <v>0.2273</v>
      </c>
      <c r="J413" s="18"/>
      <c r="K413" s="5"/>
      <c r="L413" s="5"/>
      <c r="M413" s="5"/>
      <c r="N413" s="5"/>
      <c r="O413" s="5"/>
      <c r="P413" s="5"/>
      <c r="Q413" s="5"/>
      <c r="R413" s="5"/>
      <c r="S413" s="5"/>
      <c r="T413" s="5"/>
      <c r="U413" s="5"/>
      <c r="V413" s="5"/>
      <c r="W413" s="5"/>
      <c r="X413" s="5"/>
      <c r="Y413" s="5"/>
    </row>
    <row r="414" spans="1:25" ht="15" thickBot="1" x14ac:dyDescent="0.35">
      <c r="A414" s="27">
        <v>412</v>
      </c>
      <c r="B414" s="21">
        <v>413</v>
      </c>
      <c r="C414" s="22">
        <v>0.2576</v>
      </c>
      <c r="D414" s="21">
        <v>0.93</v>
      </c>
      <c r="E414" s="21">
        <v>8.9599999999999999E-2</v>
      </c>
      <c r="F414" s="21">
        <v>0</v>
      </c>
      <c r="G414" s="21">
        <v>7</v>
      </c>
      <c r="H414" s="23">
        <v>7</v>
      </c>
      <c r="I414" s="23">
        <v>0.2576</v>
      </c>
      <c r="J414" s="18"/>
      <c r="K414" s="5"/>
      <c r="L414" s="5"/>
      <c r="M414" s="5"/>
      <c r="N414" s="5"/>
      <c r="O414" s="5"/>
      <c r="P414" s="5"/>
      <c r="Q414" s="5"/>
      <c r="R414" s="5"/>
      <c r="S414" s="5"/>
      <c r="T414" s="5"/>
      <c r="U414" s="5"/>
      <c r="V414" s="5"/>
      <c r="W414" s="5"/>
      <c r="X414" s="5"/>
      <c r="Y414" s="5"/>
    </row>
    <row r="415" spans="1:25" ht="15" thickBot="1" x14ac:dyDescent="0.35">
      <c r="A415" s="27">
        <v>413</v>
      </c>
      <c r="B415" s="21">
        <v>414</v>
      </c>
      <c r="C415" s="22">
        <v>0.2576</v>
      </c>
      <c r="D415" s="21">
        <v>0.93</v>
      </c>
      <c r="E415" s="21">
        <v>8.9599999999999999E-2</v>
      </c>
      <c r="F415" s="21">
        <v>0</v>
      </c>
      <c r="G415" s="21">
        <v>32</v>
      </c>
      <c r="H415" s="23">
        <v>32</v>
      </c>
      <c r="I415" s="23">
        <v>0.2576</v>
      </c>
      <c r="J415" s="18"/>
      <c r="K415" s="5"/>
      <c r="L415" s="5"/>
      <c r="M415" s="5"/>
      <c r="N415" s="5"/>
      <c r="O415" s="5"/>
      <c r="P415" s="5"/>
      <c r="Q415" s="5"/>
      <c r="R415" s="5"/>
      <c r="S415" s="5"/>
      <c r="T415" s="5"/>
      <c r="U415" s="5"/>
      <c r="V415" s="5"/>
      <c r="W415" s="5"/>
      <c r="X415" s="5"/>
      <c r="Y415" s="5"/>
    </row>
    <row r="416" spans="1:25" ht="15" thickBot="1" x14ac:dyDescent="0.35">
      <c r="A416" s="27">
        <v>414</v>
      </c>
      <c r="B416" s="21">
        <v>415</v>
      </c>
      <c r="C416" s="22">
        <v>0.2576</v>
      </c>
      <c r="D416" s="21">
        <v>0.92</v>
      </c>
      <c r="E416" s="21">
        <v>0.1045</v>
      </c>
      <c r="F416" s="21">
        <v>1</v>
      </c>
      <c r="G416" s="21">
        <v>89</v>
      </c>
      <c r="H416" s="23">
        <v>90</v>
      </c>
      <c r="I416" s="23">
        <v>0.2576</v>
      </c>
      <c r="J416" s="18"/>
      <c r="K416" s="5"/>
      <c r="L416" s="5"/>
      <c r="M416" s="5"/>
      <c r="N416" s="5"/>
      <c r="O416" s="5"/>
      <c r="P416" s="5"/>
      <c r="Q416" s="5"/>
      <c r="R416" s="5"/>
      <c r="S416" s="5"/>
      <c r="T416" s="5"/>
      <c r="U416" s="5"/>
      <c r="V416" s="5"/>
      <c r="W416" s="5"/>
      <c r="X416" s="5"/>
      <c r="Y416" s="5"/>
    </row>
    <row r="417" spans="1:25" ht="15" thickBot="1" x14ac:dyDescent="0.35">
      <c r="A417" s="27">
        <v>415</v>
      </c>
      <c r="B417" s="21">
        <v>416</v>
      </c>
      <c r="C417" s="22">
        <v>0.2576</v>
      </c>
      <c r="D417" s="21">
        <v>0.93</v>
      </c>
      <c r="E417" s="21">
        <v>0.1045</v>
      </c>
      <c r="F417" s="21">
        <v>1</v>
      </c>
      <c r="G417" s="21">
        <v>196</v>
      </c>
      <c r="H417" s="23">
        <v>197</v>
      </c>
      <c r="I417" s="23">
        <v>0.2576</v>
      </c>
      <c r="J417" s="18"/>
      <c r="K417" s="5"/>
      <c r="L417" s="5"/>
      <c r="M417" s="5"/>
      <c r="N417" s="5"/>
      <c r="O417" s="5"/>
      <c r="P417" s="5"/>
      <c r="Q417" s="5"/>
      <c r="R417" s="5"/>
      <c r="S417" s="5"/>
      <c r="T417" s="5"/>
      <c r="U417" s="5"/>
      <c r="V417" s="5"/>
      <c r="W417" s="5"/>
      <c r="X417" s="5"/>
      <c r="Y417" s="5"/>
    </row>
    <row r="418" spans="1:25" ht="15" thickBot="1" x14ac:dyDescent="0.35">
      <c r="A418" s="27">
        <v>416</v>
      </c>
      <c r="B418" s="21">
        <v>417</v>
      </c>
      <c r="C418" s="22">
        <v>0.2576</v>
      </c>
      <c r="D418" s="21">
        <v>0.93</v>
      </c>
      <c r="E418" s="21">
        <v>0.1045</v>
      </c>
      <c r="F418" s="21">
        <v>2</v>
      </c>
      <c r="G418" s="21">
        <v>107</v>
      </c>
      <c r="H418" s="23">
        <v>109</v>
      </c>
      <c r="I418" s="23">
        <v>0.2576</v>
      </c>
      <c r="J418" s="18"/>
      <c r="K418" s="5"/>
      <c r="L418" s="5"/>
      <c r="M418" s="5"/>
      <c r="N418" s="5"/>
      <c r="O418" s="5"/>
      <c r="P418" s="5"/>
      <c r="Q418" s="5"/>
      <c r="R418" s="5"/>
      <c r="S418" s="5"/>
      <c r="T418" s="5"/>
      <c r="U418" s="5"/>
      <c r="V418" s="5"/>
      <c r="W418" s="5"/>
      <c r="X418" s="5"/>
      <c r="Y418" s="5"/>
    </row>
    <row r="419" spans="1:25" ht="15" thickBot="1" x14ac:dyDescent="0.35">
      <c r="A419" s="27">
        <v>417</v>
      </c>
      <c r="B419" s="21">
        <v>418</v>
      </c>
      <c r="C419" s="22">
        <v>0.2727</v>
      </c>
      <c r="D419" s="21">
        <v>0.93</v>
      </c>
      <c r="E419" s="21">
        <v>0.1343</v>
      </c>
      <c r="F419" s="21">
        <v>1</v>
      </c>
      <c r="G419" s="21">
        <v>46</v>
      </c>
      <c r="H419" s="23">
        <v>47</v>
      </c>
      <c r="I419" s="23">
        <v>0.2727</v>
      </c>
      <c r="J419" s="18"/>
      <c r="K419" s="5"/>
      <c r="L419" s="5"/>
      <c r="M419" s="5"/>
      <c r="N419" s="5"/>
      <c r="O419" s="5"/>
      <c r="P419" s="5"/>
      <c r="Q419" s="5"/>
      <c r="R419" s="5"/>
      <c r="S419" s="5"/>
      <c r="T419" s="5"/>
      <c r="U419" s="5"/>
      <c r="V419" s="5"/>
      <c r="W419" s="5"/>
      <c r="X419" s="5"/>
      <c r="Y419" s="5"/>
    </row>
    <row r="420" spans="1:25" ht="15" thickBot="1" x14ac:dyDescent="0.35">
      <c r="A420" s="27">
        <v>418</v>
      </c>
      <c r="B420" s="21">
        <v>419</v>
      </c>
      <c r="C420" s="22">
        <v>0.30299999999999999</v>
      </c>
      <c r="D420" s="21">
        <v>0.87</v>
      </c>
      <c r="E420" s="21">
        <v>8.9599999999999999E-2</v>
      </c>
      <c r="F420" s="21">
        <v>5</v>
      </c>
      <c r="G420" s="21">
        <v>47</v>
      </c>
      <c r="H420" s="23">
        <v>52</v>
      </c>
      <c r="I420" s="23">
        <v>0.30299999999999999</v>
      </c>
      <c r="J420" s="18"/>
      <c r="K420" s="5"/>
      <c r="L420" s="5"/>
      <c r="M420" s="5"/>
      <c r="N420" s="5"/>
      <c r="O420" s="5"/>
      <c r="P420" s="5"/>
      <c r="Q420" s="5"/>
      <c r="R420" s="5"/>
      <c r="S420" s="5"/>
      <c r="T420" s="5"/>
      <c r="U420" s="5"/>
      <c r="V420" s="5"/>
      <c r="W420" s="5"/>
      <c r="X420" s="5"/>
      <c r="Y420" s="5"/>
    </row>
    <row r="421" spans="1:25" ht="15" thickBot="1" x14ac:dyDescent="0.35">
      <c r="A421" s="27">
        <v>419</v>
      </c>
      <c r="B421" s="21">
        <v>420</v>
      </c>
      <c r="C421" s="22">
        <v>0.31819999999999998</v>
      </c>
      <c r="D421" s="21">
        <v>0.81</v>
      </c>
      <c r="E421" s="21">
        <v>8.9599999999999999E-2</v>
      </c>
      <c r="F421" s="21">
        <v>5</v>
      </c>
      <c r="G421" s="21">
        <v>65</v>
      </c>
      <c r="H421" s="23">
        <v>70</v>
      </c>
      <c r="I421" s="23">
        <v>0.31819999999999998</v>
      </c>
      <c r="J421" s="18"/>
      <c r="K421" s="5"/>
      <c r="L421" s="5"/>
      <c r="M421" s="5"/>
      <c r="N421" s="5"/>
      <c r="O421" s="5"/>
      <c r="P421" s="5"/>
      <c r="Q421" s="5"/>
      <c r="R421" s="5"/>
      <c r="S421" s="5"/>
      <c r="T421" s="5"/>
      <c r="U421" s="5"/>
      <c r="V421" s="5"/>
      <c r="W421" s="5"/>
      <c r="X421" s="5"/>
      <c r="Y421" s="5"/>
    </row>
    <row r="422" spans="1:25" ht="15" thickBot="1" x14ac:dyDescent="0.35">
      <c r="A422" s="27">
        <v>420</v>
      </c>
      <c r="B422" s="21">
        <v>421</v>
      </c>
      <c r="C422" s="22">
        <v>0.40910000000000002</v>
      </c>
      <c r="D422" s="21">
        <v>0.62</v>
      </c>
      <c r="E422" s="21">
        <v>0.28360000000000002</v>
      </c>
      <c r="F422" s="21">
        <v>11</v>
      </c>
      <c r="G422" s="21">
        <v>67</v>
      </c>
      <c r="H422" s="23">
        <v>78</v>
      </c>
      <c r="I422" s="23">
        <v>0.40910000000000002</v>
      </c>
      <c r="J422" s="18"/>
      <c r="K422" s="5"/>
      <c r="L422" s="5"/>
      <c r="M422" s="5"/>
      <c r="N422" s="5"/>
      <c r="O422" s="5"/>
      <c r="P422" s="5"/>
      <c r="Q422" s="5"/>
      <c r="R422" s="5"/>
      <c r="S422" s="5"/>
      <c r="T422" s="5"/>
      <c r="U422" s="5"/>
      <c r="V422" s="5"/>
      <c r="W422" s="5"/>
      <c r="X422" s="5"/>
      <c r="Y422" s="5"/>
    </row>
    <row r="423" spans="1:25" ht="15" thickBot="1" x14ac:dyDescent="0.35">
      <c r="A423" s="27">
        <v>421</v>
      </c>
      <c r="B423" s="21">
        <v>422</v>
      </c>
      <c r="C423" s="22">
        <v>0.40910000000000002</v>
      </c>
      <c r="D423" s="21">
        <v>0.57999999999999996</v>
      </c>
      <c r="E423" s="21">
        <v>0.25369999999999998</v>
      </c>
      <c r="F423" s="21">
        <v>7</v>
      </c>
      <c r="G423" s="21">
        <v>68</v>
      </c>
      <c r="H423" s="23">
        <v>75</v>
      </c>
      <c r="I423" s="23">
        <v>0.40910000000000002</v>
      </c>
      <c r="J423" s="18"/>
      <c r="K423" s="5"/>
      <c r="L423" s="5"/>
      <c r="M423" s="5"/>
      <c r="N423" s="5"/>
      <c r="O423" s="5"/>
      <c r="P423" s="5"/>
      <c r="Q423" s="5"/>
      <c r="R423" s="5"/>
      <c r="S423" s="5"/>
      <c r="T423" s="5"/>
      <c r="U423" s="5"/>
      <c r="V423" s="5"/>
      <c r="W423" s="5"/>
      <c r="X423" s="5"/>
      <c r="Y423" s="5"/>
    </row>
    <row r="424" spans="1:25" ht="15" thickBot="1" x14ac:dyDescent="0.35">
      <c r="A424" s="27">
        <v>422</v>
      </c>
      <c r="B424" s="21">
        <v>423</v>
      </c>
      <c r="C424" s="22">
        <v>0.40910000000000002</v>
      </c>
      <c r="D424" s="21">
        <v>0.54</v>
      </c>
      <c r="E424" s="21">
        <v>0.28360000000000002</v>
      </c>
      <c r="F424" s="21">
        <v>4</v>
      </c>
      <c r="G424" s="21">
        <v>78</v>
      </c>
      <c r="H424" s="23">
        <v>82</v>
      </c>
      <c r="I424" s="23">
        <v>0.40910000000000002</v>
      </c>
      <c r="J424" s="18"/>
      <c r="K424" s="5"/>
      <c r="L424" s="5"/>
      <c r="M424" s="5"/>
      <c r="N424" s="5"/>
      <c r="O424" s="5"/>
      <c r="P424" s="5"/>
      <c r="Q424" s="5"/>
      <c r="R424" s="5"/>
      <c r="S424" s="5"/>
      <c r="T424" s="5"/>
      <c r="U424" s="5"/>
      <c r="V424" s="5"/>
      <c r="W424" s="5"/>
      <c r="X424" s="5"/>
      <c r="Y424" s="5"/>
    </row>
    <row r="425" spans="1:25" ht="15" thickBot="1" x14ac:dyDescent="0.35">
      <c r="A425" s="27">
        <v>423</v>
      </c>
      <c r="B425" s="21">
        <v>424</v>
      </c>
      <c r="C425" s="22">
        <v>0.39389999999999997</v>
      </c>
      <c r="D425" s="21">
        <v>0.57999999999999996</v>
      </c>
      <c r="E425" s="21">
        <v>0.3881</v>
      </c>
      <c r="F425" s="21">
        <v>10</v>
      </c>
      <c r="G425" s="21">
        <v>94</v>
      </c>
      <c r="H425" s="23">
        <v>104</v>
      </c>
      <c r="I425" s="23">
        <v>0.39389999999999997</v>
      </c>
      <c r="J425" s="18"/>
      <c r="K425" s="5"/>
      <c r="L425" s="5"/>
      <c r="M425" s="5"/>
      <c r="N425" s="5"/>
      <c r="O425" s="5"/>
      <c r="P425" s="5"/>
      <c r="Q425" s="5"/>
      <c r="R425" s="5"/>
      <c r="S425" s="5"/>
      <c r="T425" s="5"/>
      <c r="U425" s="5"/>
      <c r="V425" s="5"/>
      <c r="W425" s="5"/>
      <c r="X425" s="5"/>
      <c r="Y425" s="5"/>
    </row>
    <row r="426" spans="1:25" ht="15" thickBot="1" x14ac:dyDescent="0.35">
      <c r="A426" s="27">
        <v>424</v>
      </c>
      <c r="B426" s="21">
        <v>425</v>
      </c>
      <c r="C426" s="22">
        <v>0.33329999999999999</v>
      </c>
      <c r="D426" s="21">
        <v>0.56999999999999995</v>
      </c>
      <c r="E426" s="21">
        <v>0.32840000000000003</v>
      </c>
      <c r="F426" s="21">
        <v>7</v>
      </c>
      <c r="G426" s="21">
        <v>190</v>
      </c>
      <c r="H426" s="23">
        <v>197</v>
      </c>
      <c r="I426" s="23">
        <v>0.33329999999999999</v>
      </c>
      <c r="J426" s="18"/>
      <c r="K426" s="5"/>
      <c r="L426" s="5"/>
      <c r="M426" s="5"/>
      <c r="N426" s="5"/>
      <c r="O426" s="5"/>
      <c r="P426" s="5"/>
      <c r="Q426" s="5"/>
      <c r="R426" s="5"/>
      <c r="S426" s="5"/>
      <c r="T426" s="5"/>
      <c r="U426" s="5"/>
      <c r="V426" s="5"/>
      <c r="W426" s="5"/>
      <c r="X426" s="5"/>
      <c r="Y426" s="5"/>
    </row>
    <row r="427" spans="1:25" ht="15" thickBot="1" x14ac:dyDescent="0.35">
      <c r="A427" s="27">
        <v>425</v>
      </c>
      <c r="B427" s="21">
        <v>426</v>
      </c>
      <c r="C427" s="22">
        <v>0.31819999999999998</v>
      </c>
      <c r="D427" s="21">
        <v>0.61</v>
      </c>
      <c r="E427" s="21">
        <v>0.28360000000000002</v>
      </c>
      <c r="F427" s="21">
        <v>5</v>
      </c>
      <c r="G427" s="21">
        <v>156</v>
      </c>
      <c r="H427" s="23">
        <v>161</v>
      </c>
      <c r="I427" s="23">
        <v>0.31819999999999998</v>
      </c>
      <c r="J427" s="18"/>
      <c r="K427" s="5"/>
      <c r="L427" s="5"/>
      <c r="M427" s="5"/>
      <c r="N427" s="5"/>
      <c r="O427" s="5"/>
      <c r="P427" s="5"/>
      <c r="Q427" s="5"/>
      <c r="R427" s="5"/>
      <c r="S427" s="5"/>
      <c r="T427" s="5"/>
      <c r="U427" s="5"/>
      <c r="V427" s="5"/>
      <c r="W427" s="5"/>
      <c r="X427" s="5"/>
      <c r="Y427" s="5"/>
    </row>
    <row r="428" spans="1:25" ht="15" thickBot="1" x14ac:dyDescent="0.35">
      <c r="A428" s="27">
        <v>426</v>
      </c>
      <c r="B428" s="21">
        <v>427</v>
      </c>
      <c r="C428" s="22">
        <v>0.28789999999999999</v>
      </c>
      <c r="D428" s="21">
        <v>0.56999999999999995</v>
      </c>
      <c r="E428" s="21">
        <v>0.41789999999999999</v>
      </c>
      <c r="F428" s="21">
        <v>4</v>
      </c>
      <c r="G428" s="21">
        <v>108</v>
      </c>
      <c r="H428" s="23">
        <v>112</v>
      </c>
      <c r="I428" s="23">
        <v>0.28789999999999999</v>
      </c>
      <c r="J428" s="18"/>
      <c r="K428" s="5"/>
      <c r="L428" s="5"/>
      <c r="M428" s="5"/>
      <c r="N428" s="5"/>
      <c r="O428" s="5"/>
      <c r="P428" s="5"/>
      <c r="Q428" s="5"/>
      <c r="R428" s="5"/>
      <c r="S428" s="5"/>
      <c r="T428" s="5"/>
      <c r="U428" s="5"/>
      <c r="V428" s="5"/>
      <c r="W428" s="5"/>
      <c r="X428" s="5"/>
      <c r="Y428" s="5"/>
    </row>
    <row r="429" spans="1:25" ht="15" thickBot="1" x14ac:dyDescent="0.35">
      <c r="A429" s="27">
        <v>427</v>
      </c>
      <c r="B429" s="21">
        <v>428</v>
      </c>
      <c r="C429" s="22">
        <v>0.30299999999999999</v>
      </c>
      <c r="D429" s="21">
        <v>0.49</v>
      </c>
      <c r="E429" s="21">
        <v>0.29849999999999999</v>
      </c>
      <c r="F429" s="21">
        <v>2</v>
      </c>
      <c r="G429" s="21">
        <v>74</v>
      </c>
      <c r="H429" s="23">
        <v>76</v>
      </c>
      <c r="I429" s="23">
        <v>0.30299999999999999</v>
      </c>
      <c r="J429" s="18"/>
      <c r="K429" s="5"/>
      <c r="L429" s="5"/>
      <c r="M429" s="5"/>
      <c r="N429" s="5"/>
      <c r="O429" s="5"/>
      <c r="P429" s="5"/>
      <c r="Q429" s="5"/>
      <c r="R429" s="5"/>
      <c r="S429" s="5"/>
      <c r="T429" s="5"/>
      <c r="U429" s="5"/>
      <c r="V429" s="5"/>
      <c r="W429" s="5"/>
      <c r="X429" s="5"/>
      <c r="Y429" s="5"/>
    </row>
    <row r="430" spans="1:25" ht="15" thickBot="1" x14ac:dyDescent="0.35">
      <c r="A430" s="27">
        <v>428</v>
      </c>
      <c r="B430" s="21">
        <v>429</v>
      </c>
      <c r="C430" s="22">
        <v>0.28789999999999999</v>
      </c>
      <c r="D430" s="21">
        <v>0.49</v>
      </c>
      <c r="E430" s="21">
        <v>0.41789999999999999</v>
      </c>
      <c r="F430" s="21">
        <v>4</v>
      </c>
      <c r="G430" s="21">
        <v>55</v>
      </c>
      <c r="H430" s="23">
        <v>59</v>
      </c>
      <c r="I430" s="23">
        <v>0.28789999999999999</v>
      </c>
      <c r="J430" s="18"/>
      <c r="K430" s="5"/>
      <c r="L430" s="5"/>
      <c r="M430" s="5"/>
      <c r="N430" s="5"/>
      <c r="O430" s="5"/>
      <c r="P430" s="5"/>
      <c r="Q430" s="5"/>
      <c r="R430" s="5"/>
      <c r="S430" s="5"/>
      <c r="T430" s="5"/>
      <c r="U430" s="5"/>
      <c r="V430" s="5"/>
      <c r="W430" s="5"/>
      <c r="X430" s="5"/>
      <c r="Y430" s="5"/>
    </row>
    <row r="431" spans="1:25" ht="15" thickBot="1" x14ac:dyDescent="0.35">
      <c r="A431" s="27">
        <v>429</v>
      </c>
      <c r="B431" s="21">
        <v>430</v>
      </c>
      <c r="C431" s="22">
        <v>0.30299999999999999</v>
      </c>
      <c r="D431" s="21">
        <v>0.52</v>
      </c>
      <c r="E431" s="21">
        <v>0.16420000000000001</v>
      </c>
      <c r="F431" s="21">
        <v>6</v>
      </c>
      <c r="G431" s="21">
        <v>53</v>
      </c>
      <c r="H431" s="23">
        <v>59</v>
      </c>
      <c r="I431" s="23">
        <v>0.30299999999999999</v>
      </c>
      <c r="J431" s="18"/>
      <c r="K431" s="5"/>
      <c r="L431" s="5"/>
      <c r="M431" s="5"/>
      <c r="N431" s="5"/>
      <c r="O431" s="5"/>
      <c r="P431" s="5"/>
      <c r="Q431" s="5"/>
      <c r="R431" s="5"/>
      <c r="S431" s="5"/>
      <c r="T431" s="5"/>
      <c r="U431" s="5"/>
      <c r="V431" s="5"/>
      <c r="W431" s="5"/>
      <c r="X431" s="5"/>
      <c r="Y431" s="5"/>
    </row>
    <row r="432" spans="1:25" ht="15" thickBot="1" x14ac:dyDescent="0.35">
      <c r="A432" s="27">
        <v>430</v>
      </c>
      <c r="B432" s="21">
        <v>431</v>
      </c>
      <c r="C432" s="22">
        <v>0.2727</v>
      </c>
      <c r="D432" s="21">
        <v>0.52</v>
      </c>
      <c r="E432" s="21">
        <v>0.4627</v>
      </c>
      <c r="F432" s="21">
        <v>1</v>
      </c>
      <c r="G432" s="21">
        <v>27</v>
      </c>
      <c r="H432" s="23">
        <v>28</v>
      </c>
      <c r="I432" s="23">
        <v>0.2727</v>
      </c>
      <c r="J432" s="18"/>
      <c r="K432" s="5"/>
      <c r="L432" s="5"/>
      <c r="M432" s="5"/>
      <c r="N432" s="5"/>
      <c r="O432" s="5"/>
      <c r="P432" s="5"/>
      <c r="Q432" s="5"/>
      <c r="R432" s="5"/>
      <c r="S432" s="5"/>
      <c r="T432" s="5"/>
      <c r="U432" s="5"/>
      <c r="V432" s="5"/>
      <c r="W432" s="5"/>
      <c r="X432" s="5"/>
      <c r="Y432" s="5"/>
    </row>
    <row r="433" spans="1:25" ht="15" thickBot="1" x14ac:dyDescent="0.35">
      <c r="A433" s="27">
        <v>431</v>
      </c>
      <c r="B433" s="21">
        <v>432</v>
      </c>
      <c r="C433" s="22">
        <v>0.2273</v>
      </c>
      <c r="D433" s="21">
        <v>0.56000000000000005</v>
      </c>
      <c r="E433" s="21">
        <v>0.3881</v>
      </c>
      <c r="F433" s="21">
        <v>5</v>
      </c>
      <c r="G433" s="21">
        <v>8</v>
      </c>
      <c r="H433" s="23">
        <v>13</v>
      </c>
      <c r="I433" s="23">
        <v>0.2273</v>
      </c>
      <c r="J433" s="18"/>
      <c r="K433" s="5"/>
      <c r="L433" s="5"/>
      <c r="M433" s="5"/>
      <c r="N433" s="5"/>
      <c r="O433" s="5"/>
      <c r="P433" s="5"/>
      <c r="Q433" s="5"/>
      <c r="R433" s="5"/>
      <c r="S433" s="5"/>
      <c r="T433" s="5"/>
      <c r="U433" s="5"/>
      <c r="V433" s="5"/>
      <c r="W433" s="5"/>
      <c r="X433" s="5"/>
      <c r="Y433" s="5"/>
    </row>
    <row r="434" spans="1:25" ht="15" thickBot="1" x14ac:dyDescent="0.35">
      <c r="A434" s="27">
        <v>432</v>
      </c>
      <c r="B434" s="21">
        <v>433</v>
      </c>
      <c r="C434" s="22">
        <v>0.2727</v>
      </c>
      <c r="D434" s="21">
        <v>0.56000000000000005</v>
      </c>
      <c r="E434" s="22">
        <v>0.20485098360655737</v>
      </c>
      <c r="F434" s="21">
        <v>2</v>
      </c>
      <c r="G434" s="21">
        <v>3</v>
      </c>
      <c r="H434" s="23">
        <v>5</v>
      </c>
      <c r="I434" s="23">
        <v>0.2727</v>
      </c>
      <c r="J434" s="18"/>
      <c r="K434" s="5"/>
      <c r="L434" s="5"/>
      <c r="M434" s="5"/>
      <c r="N434" s="5"/>
      <c r="O434" s="5"/>
      <c r="P434" s="5"/>
      <c r="Q434" s="5"/>
      <c r="R434" s="5"/>
      <c r="S434" s="5"/>
      <c r="T434" s="5"/>
      <c r="U434" s="5"/>
      <c r="V434" s="5"/>
      <c r="W434" s="5"/>
      <c r="X434" s="5"/>
      <c r="Y434" s="5"/>
    </row>
    <row r="435" spans="1:25" ht="15" thickBot="1" x14ac:dyDescent="0.35">
      <c r="A435" s="27">
        <v>433</v>
      </c>
      <c r="B435" s="21">
        <v>434</v>
      </c>
      <c r="C435" s="22">
        <v>0.2727</v>
      </c>
      <c r="D435" s="21">
        <v>0.56000000000000005</v>
      </c>
      <c r="E435" s="22">
        <v>0.20485098360655737</v>
      </c>
      <c r="F435" s="21">
        <v>0</v>
      </c>
      <c r="G435" s="21">
        <v>2</v>
      </c>
      <c r="H435" s="23">
        <v>2</v>
      </c>
      <c r="I435" s="23">
        <v>0.2727</v>
      </c>
      <c r="J435" s="18"/>
      <c r="K435" s="5"/>
      <c r="L435" s="5"/>
      <c r="M435" s="5"/>
      <c r="N435" s="5"/>
      <c r="O435" s="5"/>
      <c r="P435" s="5"/>
      <c r="Q435" s="5"/>
      <c r="R435" s="5"/>
      <c r="S435" s="5"/>
      <c r="T435" s="5"/>
      <c r="U435" s="5"/>
      <c r="V435" s="5"/>
      <c r="W435" s="5"/>
      <c r="X435" s="5"/>
      <c r="Y435" s="5"/>
    </row>
    <row r="436" spans="1:25" ht="15" thickBot="1" x14ac:dyDescent="0.35">
      <c r="A436" s="27">
        <v>434</v>
      </c>
      <c r="B436" s="21">
        <v>435</v>
      </c>
      <c r="C436" s="22">
        <v>0.2576</v>
      </c>
      <c r="D436" s="21">
        <v>0.56000000000000005</v>
      </c>
      <c r="E436" s="21">
        <v>0.16420000000000001</v>
      </c>
      <c r="F436" s="21">
        <v>0</v>
      </c>
      <c r="G436" s="21">
        <v>1</v>
      </c>
      <c r="H436" s="23">
        <v>1</v>
      </c>
      <c r="I436" s="23">
        <v>0.2576</v>
      </c>
      <c r="J436" s="18"/>
      <c r="K436" s="5"/>
      <c r="L436" s="5"/>
      <c r="M436" s="5"/>
      <c r="N436" s="5"/>
      <c r="O436" s="5"/>
      <c r="P436" s="5"/>
      <c r="Q436" s="5"/>
      <c r="R436" s="5"/>
      <c r="S436" s="5"/>
      <c r="T436" s="5"/>
      <c r="U436" s="5"/>
      <c r="V436" s="5"/>
      <c r="W436" s="5"/>
      <c r="X436" s="5"/>
      <c r="Y436" s="5"/>
    </row>
    <row r="437" spans="1:25" ht="15" thickBot="1" x14ac:dyDescent="0.35">
      <c r="A437" s="27">
        <v>435</v>
      </c>
      <c r="B437" s="21">
        <v>436</v>
      </c>
      <c r="C437" s="22">
        <v>0.2576</v>
      </c>
      <c r="D437" s="21">
        <v>0.56000000000000005</v>
      </c>
      <c r="E437" s="21">
        <v>0.16420000000000001</v>
      </c>
      <c r="F437" s="21">
        <v>0</v>
      </c>
      <c r="G437" s="21">
        <v>1</v>
      </c>
      <c r="H437" s="23">
        <v>1</v>
      </c>
      <c r="I437" s="23">
        <v>0.2576</v>
      </c>
      <c r="J437" s="18"/>
      <c r="K437" s="5"/>
      <c r="L437" s="5"/>
      <c r="M437" s="5"/>
      <c r="N437" s="5"/>
      <c r="O437" s="5"/>
      <c r="P437" s="5"/>
      <c r="Q437" s="5"/>
      <c r="R437" s="5"/>
      <c r="S437" s="5"/>
      <c r="T437" s="5"/>
      <c r="U437" s="5"/>
      <c r="V437" s="5"/>
      <c r="W437" s="5"/>
      <c r="X437" s="5"/>
      <c r="Y437" s="5"/>
    </row>
    <row r="438" spans="1:25" ht="15" thickBot="1" x14ac:dyDescent="0.35">
      <c r="A438" s="27">
        <v>436</v>
      </c>
      <c r="B438" s="21">
        <v>437</v>
      </c>
      <c r="C438" s="22">
        <v>0.2273</v>
      </c>
      <c r="D438" s="21">
        <v>0.6</v>
      </c>
      <c r="E438" s="21">
        <v>0.22389999999999999</v>
      </c>
      <c r="F438" s="21">
        <v>0</v>
      </c>
      <c r="G438" s="21">
        <v>6</v>
      </c>
      <c r="H438" s="23">
        <v>6</v>
      </c>
      <c r="I438" s="23">
        <v>0.2273</v>
      </c>
      <c r="J438" s="18"/>
      <c r="K438" s="5"/>
      <c r="L438" s="5"/>
      <c r="M438" s="5"/>
      <c r="N438" s="5"/>
      <c r="O438" s="5"/>
      <c r="P438" s="5"/>
      <c r="Q438" s="5"/>
      <c r="R438" s="5"/>
      <c r="S438" s="5"/>
      <c r="T438" s="5"/>
      <c r="U438" s="5"/>
      <c r="V438" s="5"/>
      <c r="W438" s="5"/>
      <c r="X438" s="5"/>
      <c r="Y438" s="5"/>
    </row>
    <row r="439" spans="1:25" ht="15" thickBot="1" x14ac:dyDescent="0.35">
      <c r="A439" s="27">
        <v>437</v>
      </c>
      <c r="B439" s="21">
        <v>438</v>
      </c>
      <c r="C439" s="22">
        <v>0.21210000000000001</v>
      </c>
      <c r="D439" s="21">
        <v>0.6</v>
      </c>
      <c r="E439" s="21">
        <v>0.22389999999999999</v>
      </c>
      <c r="F439" s="21">
        <v>0</v>
      </c>
      <c r="G439" s="21">
        <v>35</v>
      </c>
      <c r="H439" s="23">
        <v>35</v>
      </c>
      <c r="I439" s="23">
        <v>0.21210000000000001</v>
      </c>
      <c r="J439" s="18"/>
      <c r="K439" s="5"/>
      <c r="L439" s="5"/>
      <c r="M439" s="5"/>
      <c r="N439" s="5"/>
      <c r="O439" s="5"/>
      <c r="P439" s="5"/>
      <c r="Q439" s="5"/>
      <c r="R439" s="5"/>
      <c r="S439" s="5"/>
      <c r="T439" s="5"/>
      <c r="U439" s="5"/>
      <c r="V439" s="5"/>
      <c r="W439" s="5"/>
      <c r="X439" s="5"/>
      <c r="Y439" s="5"/>
    </row>
    <row r="440" spans="1:25" ht="15" thickBot="1" x14ac:dyDescent="0.35">
      <c r="A440" s="27">
        <v>438</v>
      </c>
      <c r="B440" s="21">
        <v>439</v>
      </c>
      <c r="C440" s="22">
        <v>0.21210000000000001</v>
      </c>
      <c r="D440" s="21">
        <v>0.55000000000000004</v>
      </c>
      <c r="E440" s="21">
        <v>0.22389999999999999</v>
      </c>
      <c r="F440" s="21">
        <v>1</v>
      </c>
      <c r="G440" s="21">
        <v>100</v>
      </c>
      <c r="H440" s="23">
        <v>101</v>
      </c>
      <c r="I440" s="23">
        <v>0.21210000000000001</v>
      </c>
      <c r="J440" s="18"/>
      <c r="K440" s="5"/>
      <c r="L440" s="5"/>
      <c r="M440" s="5"/>
      <c r="N440" s="5"/>
      <c r="O440" s="5"/>
      <c r="P440" s="5"/>
      <c r="Q440" s="5"/>
      <c r="R440" s="5"/>
      <c r="S440" s="5"/>
      <c r="T440" s="5"/>
      <c r="U440" s="5"/>
      <c r="V440" s="5"/>
      <c r="W440" s="5"/>
      <c r="X440" s="5"/>
      <c r="Y440" s="5"/>
    </row>
    <row r="441" spans="1:25" ht="15" thickBot="1" x14ac:dyDescent="0.35">
      <c r="A441" s="27">
        <v>439</v>
      </c>
      <c r="B441" s="21">
        <v>440</v>
      </c>
      <c r="C441" s="22">
        <v>0.21210000000000001</v>
      </c>
      <c r="D441" s="21">
        <v>0.55000000000000004</v>
      </c>
      <c r="E441" s="21">
        <v>0.28360000000000002</v>
      </c>
      <c r="F441" s="21">
        <v>2</v>
      </c>
      <c r="G441" s="21">
        <v>247</v>
      </c>
      <c r="H441" s="23">
        <v>249</v>
      </c>
      <c r="I441" s="23">
        <v>0.21210000000000001</v>
      </c>
      <c r="J441" s="18"/>
      <c r="K441" s="5"/>
      <c r="L441" s="5"/>
      <c r="M441" s="5"/>
      <c r="N441" s="5"/>
      <c r="O441" s="5"/>
      <c r="P441" s="5"/>
      <c r="Q441" s="5"/>
      <c r="R441" s="5"/>
      <c r="S441" s="5"/>
      <c r="T441" s="5"/>
      <c r="U441" s="5"/>
      <c r="V441" s="5"/>
      <c r="W441" s="5"/>
      <c r="X441" s="5"/>
      <c r="Y441" s="5"/>
    </row>
    <row r="442" spans="1:25" ht="15" thickBot="1" x14ac:dyDescent="0.35">
      <c r="A442" s="27">
        <v>440</v>
      </c>
      <c r="B442" s="21">
        <v>441</v>
      </c>
      <c r="C442" s="22">
        <v>0.2273</v>
      </c>
      <c r="D442" s="21">
        <v>0.52</v>
      </c>
      <c r="E442" s="21">
        <v>0.22389999999999999</v>
      </c>
      <c r="F442" s="21">
        <v>3</v>
      </c>
      <c r="G442" s="21">
        <v>140</v>
      </c>
      <c r="H442" s="23">
        <v>143</v>
      </c>
      <c r="I442" s="23">
        <v>0.2273</v>
      </c>
      <c r="J442" s="18"/>
      <c r="K442" s="5"/>
      <c r="L442" s="5"/>
      <c r="M442" s="5"/>
      <c r="N442" s="5"/>
      <c r="O442" s="5"/>
      <c r="P442" s="5"/>
      <c r="Q442" s="5"/>
      <c r="R442" s="5"/>
      <c r="S442" s="5"/>
      <c r="T442" s="5"/>
      <c r="U442" s="5"/>
      <c r="V442" s="5"/>
      <c r="W442" s="5"/>
      <c r="X442" s="5"/>
      <c r="Y442" s="5"/>
    </row>
    <row r="443" spans="1:25" ht="15" thickBot="1" x14ac:dyDescent="0.35">
      <c r="A443" s="27">
        <v>441</v>
      </c>
      <c r="B443" s="21">
        <v>442</v>
      </c>
      <c r="C443" s="22">
        <v>0.2273</v>
      </c>
      <c r="D443" s="21">
        <v>0.48</v>
      </c>
      <c r="E443" s="21">
        <v>0.29849999999999999</v>
      </c>
      <c r="F443" s="21">
        <v>1</v>
      </c>
      <c r="G443" s="21">
        <v>56</v>
      </c>
      <c r="H443" s="23">
        <v>57</v>
      </c>
      <c r="I443" s="23">
        <v>0.2273</v>
      </c>
      <c r="J443" s="18"/>
      <c r="K443" s="5"/>
      <c r="L443" s="5"/>
      <c r="M443" s="5"/>
      <c r="N443" s="5"/>
      <c r="O443" s="5"/>
      <c r="P443" s="5"/>
      <c r="Q443" s="5"/>
      <c r="R443" s="5"/>
      <c r="S443" s="5"/>
      <c r="T443" s="5"/>
      <c r="U443" s="5"/>
      <c r="V443" s="5"/>
      <c r="W443" s="5"/>
      <c r="X443" s="5"/>
      <c r="Y443" s="5"/>
    </row>
    <row r="444" spans="1:25" ht="15" thickBot="1" x14ac:dyDescent="0.35">
      <c r="A444" s="27">
        <v>442</v>
      </c>
      <c r="B444" s="21">
        <v>443</v>
      </c>
      <c r="C444" s="22">
        <v>0.2727</v>
      </c>
      <c r="D444" s="21">
        <v>0.45</v>
      </c>
      <c r="E444" s="21">
        <v>0.16420000000000001</v>
      </c>
      <c r="F444" s="21">
        <v>5</v>
      </c>
      <c r="G444" s="21">
        <v>63</v>
      </c>
      <c r="H444" s="23">
        <v>68</v>
      </c>
      <c r="I444" s="23">
        <v>0.2727</v>
      </c>
      <c r="J444" s="18"/>
      <c r="K444" s="5"/>
      <c r="L444" s="5"/>
      <c r="M444" s="5"/>
      <c r="N444" s="5"/>
      <c r="O444" s="5"/>
      <c r="P444" s="5"/>
      <c r="Q444" s="5"/>
      <c r="R444" s="5"/>
      <c r="S444" s="5"/>
      <c r="T444" s="5"/>
      <c r="U444" s="5"/>
      <c r="V444" s="5"/>
      <c r="W444" s="5"/>
      <c r="X444" s="5"/>
      <c r="Y444" s="5"/>
    </row>
    <row r="445" spans="1:25" ht="15" thickBot="1" x14ac:dyDescent="0.35">
      <c r="A445" s="27">
        <v>443</v>
      </c>
      <c r="B445" s="21">
        <v>444</v>
      </c>
      <c r="C445" s="22">
        <v>0.33329999999999999</v>
      </c>
      <c r="D445" s="21">
        <v>0.42</v>
      </c>
      <c r="E445" s="22">
        <v>0.20485098360655737</v>
      </c>
      <c r="F445" s="21">
        <v>7</v>
      </c>
      <c r="G445" s="21">
        <v>77</v>
      </c>
      <c r="H445" s="23">
        <v>84</v>
      </c>
      <c r="I445" s="23">
        <v>0.33329999999999999</v>
      </c>
      <c r="J445" s="18"/>
      <c r="K445" s="5"/>
      <c r="L445" s="5"/>
      <c r="M445" s="5"/>
      <c r="N445" s="5"/>
      <c r="O445" s="5"/>
      <c r="P445" s="5"/>
      <c r="Q445" s="5"/>
      <c r="R445" s="5"/>
      <c r="S445" s="5"/>
      <c r="T445" s="5"/>
      <c r="U445" s="5"/>
      <c r="V445" s="5"/>
      <c r="W445" s="5"/>
      <c r="X445" s="5"/>
      <c r="Y445" s="5"/>
    </row>
    <row r="446" spans="1:25" ht="15" thickBot="1" x14ac:dyDescent="0.35">
      <c r="A446" s="27">
        <v>444</v>
      </c>
      <c r="B446" s="21">
        <v>445</v>
      </c>
      <c r="C446" s="22">
        <v>0.28789999999999999</v>
      </c>
      <c r="D446" s="21">
        <v>0.45</v>
      </c>
      <c r="E446" s="21">
        <v>0.1045</v>
      </c>
      <c r="F446" s="21">
        <v>12</v>
      </c>
      <c r="G446" s="21">
        <v>86</v>
      </c>
      <c r="H446" s="23">
        <v>98</v>
      </c>
      <c r="I446" s="23">
        <v>0.28789999999999999</v>
      </c>
      <c r="J446" s="18"/>
      <c r="K446" s="5"/>
      <c r="L446" s="5"/>
      <c r="M446" s="5"/>
      <c r="N446" s="5"/>
      <c r="O446" s="5"/>
      <c r="P446" s="5"/>
      <c r="Q446" s="5"/>
      <c r="R446" s="5"/>
      <c r="S446" s="5"/>
      <c r="T446" s="5"/>
      <c r="U446" s="5"/>
      <c r="V446" s="5"/>
      <c r="W446" s="5"/>
      <c r="X446" s="5"/>
      <c r="Y446" s="5"/>
    </row>
    <row r="447" spans="1:25" ht="15" thickBot="1" x14ac:dyDescent="0.35">
      <c r="A447" s="27">
        <v>445</v>
      </c>
      <c r="B447" s="21">
        <v>446</v>
      </c>
      <c r="C447" s="22">
        <v>0.30299999999999999</v>
      </c>
      <c r="D447" s="21">
        <v>0.45</v>
      </c>
      <c r="E447" s="21">
        <v>0.1343</v>
      </c>
      <c r="F447" s="21">
        <v>6</v>
      </c>
      <c r="G447" s="21">
        <v>75</v>
      </c>
      <c r="H447" s="23">
        <v>81</v>
      </c>
      <c r="I447" s="23">
        <v>0.30299999999999999</v>
      </c>
      <c r="J447" s="18"/>
      <c r="K447" s="5"/>
      <c r="L447" s="5"/>
      <c r="M447" s="5"/>
      <c r="N447" s="5"/>
      <c r="O447" s="5"/>
      <c r="P447" s="5"/>
      <c r="Q447" s="5"/>
      <c r="R447" s="5"/>
      <c r="S447" s="5"/>
      <c r="T447" s="5"/>
      <c r="U447" s="5"/>
      <c r="V447" s="5"/>
      <c r="W447" s="5"/>
      <c r="X447" s="5"/>
      <c r="Y447" s="5"/>
    </row>
    <row r="448" spans="1:25" ht="15" thickBot="1" x14ac:dyDescent="0.35">
      <c r="A448" s="27">
        <v>446</v>
      </c>
      <c r="B448" s="21">
        <v>447</v>
      </c>
      <c r="C448" s="22">
        <v>0.31819999999999998</v>
      </c>
      <c r="D448" s="21">
        <v>0.45</v>
      </c>
      <c r="E448" s="21">
        <v>0.19400000000000001</v>
      </c>
      <c r="F448" s="21">
        <v>8</v>
      </c>
      <c r="G448" s="21">
        <v>62</v>
      </c>
      <c r="H448" s="23">
        <v>70</v>
      </c>
      <c r="I448" s="23">
        <v>0.31819999999999998</v>
      </c>
      <c r="J448" s="18"/>
      <c r="K448" s="5"/>
      <c r="L448" s="5"/>
      <c r="M448" s="5"/>
      <c r="N448" s="5"/>
      <c r="O448" s="5"/>
      <c r="P448" s="5"/>
      <c r="Q448" s="5"/>
      <c r="R448" s="5"/>
      <c r="S448" s="5"/>
      <c r="T448" s="5"/>
      <c r="U448" s="5"/>
      <c r="V448" s="5"/>
      <c r="W448" s="5"/>
      <c r="X448" s="5"/>
      <c r="Y448" s="5"/>
    </row>
    <row r="449" spans="1:25" ht="15" thickBot="1" x14ac:dyDescent="0.35">
      <c r="A449" s="27">
        <v>447</v>
      </c>
      <c r="B449" s="21">
        <v>448</v>
      </c>
      <c r="C449" s="22">
        <v>0.30299999999999999</v>
      </c>
      <c r="D449" s="21">
        <v>0.49</v>
      </c>
      <c r="E449" s="21">
        <v>0.1343</v>
      </c>
      <c r="F449" s="21">
        <v>8</v>
      </c>
      <c r="G449" s="21">
        <v>83</v>
      </c>
      <c r="H449" s="23">
        <v>91</v>
      </c>
      <c r="I449" s="23">
        <v>0.30299999999999999</v>
      </c>
      <c r="J449" s="18"/>
      <c r="K449" s="5"/>
      <c r="L449" s="5"/>
      <c r="M449" s="5"/>
      <c r="N449" s="5"/>
      <c r="O449" s="5"/>
      <c r="P449" s="5"/>
      <c r="Q449" s="5"/>
      <c r="R449" s="5"/>
      <c r="S449" s="5"/>
      <c r="T449" s="5"/>
      <c r="U449" s="5"/>
      <c r="V449" s="5"/>
      <c r="W449" s="5"/>
      <c r="X449" s="5"/>
      <c r="Y449" s="5"/>
    </row>
    <row r="450" spans="1:25" ht="15" thickBot="1" x14ac:dyDescent="0.35">
      <c r="A450" s="27">
        <v>448</v>
      </c>
      <c r="B450" s="21">
        <v>449</v>
      </c>
      <c r="C450" s="22">
        <v>0.31819999999999998</v>
      </c>
      <c r="D450" s="21">
        <v>0.49</v>
      </c>
      <c r="E450" s="21">
        <v>0.1045</v>
      </c>
      <c r="F450" s="21">
        <v>8</v>
      </c>
      <c r="G450" s="21">
        <v>207</v>
      </c>
      <c r="H450" s="23">
        <v>215</v>
      </c>
      <c r="I450" s="23">
        <v>0.31819999999999998</v>
      </c>
      <c r="J450" s="18"/>
      <c r="K450" s="5"/>
      <c r="L450" s="5"/>
      <c r="M450" s="5"/>
      <c r="N450" s="5"/>
      <c r="O450" s="5"/>
      <c r="P450" s="5"/>
      <c r="Q450" s="5"/>
      <c r="R450" s="5"/>
      <c r="S450" s="5"/>
      <c r="T450" s="5"/>
      <c r="U450" s="5"/>
      <c r="V450" s="5"/>
      <c r="W450" s="5"/>
      <c r="X450" s="5"/>
      <c r="Y450" s="5"/>
    </row>
    <row r="451" spans="1:25" ht="15" thickBot="1" x14ac:dyDescent="0.35">
      <c r="A451" s="27">
        <v>449</v>
      </c>
      <c r="B451" s="21">
        <v>450</v>
      </c>
      <c r="C451" s="22">
        <v>0.2576</v>
      </c>
      <c r="D451" s="21">
        <v>0.56000000000000005</v>
      </c>
      <c r="E451" s="21">
        <v>0.19400000000000001</v>
      </c>
      <c r="F451" s="21">
        <v>1</v>
      </c>
      <c r="G451" s="21">
        <v>184</v>
      </c>
      <c r="H451" s="23">
        <v>185</v>
      </c>
      <c r="I451" s="23">
        <v>0.2576</v>
      </c>
      <c r="J451" s="18"/>
      <c r="K451" s="5"/>
      <c r="L451" s="5"/>
      <c r="M451" s="5"/>
      <c r="N451" s="5"/>
      <c r="O451" s="5"/>
      <c r="P451" s="5"/>
      <c r="Q451" s="5"/>
      <c r="R451" s="5"/>
      <c r="S451" s="5"/>
      <c r="T451" s="5"/>
      <c r="U451" s="5"/>
      <c r="V451" s="5"/>
      <c r="W451" s="5"/>
      <c r="X451" s="5"/>
      <c r="Y451" s="5"/>
    </row>
    <row r="452" spans="1:25" ht="15" thickBot="1" x14ac:dyDescent="0.35">
      <c r="A452" s="27">
        <v>450</v>
      </c>
      <c r="B452" s="21">
        <v>451</v>
      </c>
      <c r="C452" s="22">
        <v>0.2273</v>
      </c>
      <c r="D452" s="21">
        <v>0.56000000000000005</v>
      </c>
      <c r="E452" s="21">
        <v>0.32840000000000003</v>
      </c>
      <c r="F452" s="21">
        <v>6</v>
      </c>
      <c r="G452" s="21">
        <v>146</v>
      </c>
      <c r="H452" s="23">
        <v>152</v>
      </c>
      <c r="I452" s="23">
        <v>0.2273</v>
      </c>
      <c r="J452" s="18"/>
      <c r="K452" s="5"/>
      <c r="L452" s="5"/>
      <c r="M452" s="5"/>
      <c r="N452" s="5"/>
      <c r="O452" s="5"/>
      <c r="P452" s="5"/>
      <c r="Q452" s="5"/>
      <c r="R452" s="5"/>
      <c r="S452" s="5"/>
      <c r="T452" s="5"/>
      <c r="U452" s="5"/>
      <c r="V452" s="5"/>
      <c r="W452" s="5"/>
      <c r="X452" s="5"/>
      <c r="Y452" s="5"/>
    </row>
    <row r="453" spans="1:25" ht="15" thickBot="1" x14ac:dyDescent="0.35">
      <c r="A453" s="27">
        <v>451</v>
      </c>
      <c r="B453" s="21">
        <v>452</v>
      </c>
      <c r="C453" s="22">
        <v>0.2424</v>
      </c>
      <c r="D453" s="21">
        <v>0.6</v>
      </c>
      <c r="E453" s="21">
        <v>0.28360000000000002</v>
      </c>
      <c r="F453" s="21">
        <v>2</v>
      </c>
      <c r="G453" s="21">
        <v>124</v>
      </c>
      <c r="H453" s="23">
        <v>126</v>
      </c>
      <c r="I453" s="23">
        <v>0.2424</v>
      </c>
      <c r="J453" s="18"/>
      <c r="K453" s="5"/>
      <c r="L453" s="5"/>
      <c r="M453" s="5"/>
      <c r="N453" s="5"/>
      <c r="O453" s="5"/>
      <c r="P453" s="5"/>
      <c r="Q453" s="5"/>
      <c r="R453" s="5"/>
      <c r="S453" s="5"/>
      <c r="T453" s="5"/>
      <c r="U453" s="5"/>
      <c r="V453" s="5"/>
      <c r="W453" s="5"/>
      <c r="X453" s="5"/>
      <c r="Y453" s="5"/>
    </row>
    <row r="454" spans="1:25" ht="15" thickBot="1" x14ac:dyDescent="0.35">
      <c r="A454" s="27">
        <v>452</v>
      </c>
      <c r="B454" s="21">
        <v>453</v>
      </c>
      <c r="C454" s="22">
        <v>0.2273</v>
      </c>
      <c r="D454" s="21">
        <v>0.6</v>
      </c>
      <c r="E454" s="21">
        <v>0.25369999999999998</v>
      </c>
      <c r="F454" s="21">
        <v>3</v>
      </c>
      <c r="G454" s="21">
        <v>54</v>
      </c>
      <c r="H454" s="23">
        <v>57</v>
      </c>
      <c r="I454" s="23">
        <v>0.2273</v>
      </c>
      <c r="J454" s="18"/>
      <c r="K454" s="5"/>
      <c r="L454" s="5"/>
      <c r="M454" s="5"/>
      <c r="N454" s="5"/>
      <c r="O454" s="5"/>
      <c r="P454" s="5"/>
      <c r="Q454" s="5"/>
      <c r="R454" s="5"/>
      <c r="S454" s="5"/>
      <c r="T454" s="5"/>
      <c r="U454" s="5"/>
      <c r="V454" s="5"/>
      <c r="W454" s="5"/>
      <c r="X454" s="5"/>
      <c r="Y454" s="5"/>
    </row>
    <row r="455" spans="1:25" ht="15" thickBot="1" x14ac:dyDescent="0.35">
      <c r="A455" s="27">
        <v>453</v>
      </c>
      <c r="B455" s="21">
        <v>454</v>
      </c>
      <c r="C455" s="22">
        <v>0.21210000000000001</v>
      </c>
      <c r="D455" s="21">
        <v>0.65</v>
      </c>
      <c r="E455" s="21">
        <v>0.28360000000000002</v>
      </c>
      <c r="F455" s="21">
        <v>0</v>
      </c>
      <c r="G455" s="21">
        <v>56</v>
      </c>
      <c r="H455" s="23">
        <v>56</v>
      </c>
      <c r="I455" s="23">
        <v>0.21210000000000001</v>
      </c>
      <c r="J455" s="18"/>
      <c r="K455" s="5"/>
      <c r="L455" s="5"/>
      <c r="M455" s="5"/>
      <c r="N455" s="5"/>
      <c r="O455" s="5"/>
      <c r="P455" s="5"/>
      <c r="Q455" s="5"/>
      <c r="R455" s="5"/>
      <c r="S455" s="5"/>
      <c r="T455" s="5"/>
      <c r="U455" s="5"/>
      <c r="V455" s="5"/>
      <c r="W455" s="5"/>
      <c r="X455" s="5"/>
      <c r="Y455" s="5"/>
    </row>
    <row r="456" spans="1:25" ht="15" thickBot="1" x14ac:dyDescent="0.35">
      <c r="A456" s="27">
        <v>454</v>
      </c>
      <c r="B456" s="21">
        <v>455</v>
      </c>
      <c r="C456" s="22">
        <v>0.21210000000000001</v>
      </c>
      <c r="D456" s="21">
        <v>0.65</v>
      </c>
      <c r="E456" s="21">
        <v>0.32840000000000003</v>
      </c>
      <c r="F456" s="21">
        <v>3</v>
      </c>
      <c r="G456" s="21">
        <v>28</v>
      </c>
      <c r="H456" s="23">
        <v>31</v>
      </c>
      <c r="I456" s="23">
        <v>0.21210000000000001</v>
      </c>
      <c r="J456" s="18"/>
      <c r="K456" s="5"/>
      <c r="L456" s="5"/>
      <c r="M456" s="5"/>
      <c r="N456" s="5"/>
      <c r="O456" s="5"/>
      <c r="P456" s="5"/>
      <c r="Q456" s="5"/>
      <c r="R456" s="5"/>
      <c r="S456" s="5"/>
      <c r="T456" s="5"/>
      <c r="U456" s="5"/>
      <c r="V456" s="5"/>
      <c r="W456" s="5"/>
      <c r="X456" s="5"/>
      <c r="Y456" s="5"/>
    </row>
    <row r="457" spans="1:25" ht="15" thickBot="1" x14ac:dyDescent="0.35">
      <c r="A457" s="27">
        <v>455</v>
      </c>
      <c r="B457" s="21">
        <v>456</v>
      </c>
      <c r="C457" s="22">
        <v>0.2273</v>
      </c>
      <c r="D457" s="21">
        <v>0.7</v>
      </c>
      <c r="E457" s="21">
        <v>0.25369999999999998</v>
      </c>
      <c r="F457" s="21">
        <v>1</v>
      </c>
      <c r="G457" s="21">
        <v>20</v>
      </c>
      <c r="H457" s="23">
        <v>21</v>
      </c>
      <c r="I457" s="23">
        <v>0.2273</v>
      </c>
      <c r="J457" s="18"/>
      <c r="K457" s="5"/>
      <c r="L457" s="5"/>
      <c r="M457" s="5"/>
      <c r="N457" s="5"/>
      <c r="O457" s="5"/>
      <c r="P457" s="5"/>
      <c r="Q457" s="5"/>
      <c r="R457" s="5"/>
      <c r="S457" s="5"/>
      <c r="T457" s="5"/>
      <c r="U457" s="5"/>
      <c r="V457" s="5"/>
      <c r="W457" s="5"/>
      <c r="X457" s="5"/>
      <c r="Y457" s="5"/>
    </row>
    <row r="458" spans="1:25" ht="15" thickBot="1" x14ac:dyDescent="0.35">
      <c r="A458" s="27">
        <v>456</v>
      </c>
      <c r="B458" s="21">
        <v>457</v>
      </c>
      <c r="C458" s="22">
        <v>0.2273</v>
      </c>
      <c r="D458" s="21">
        <v>0.7</v>
      </c>
      <c r="E458" s="21">
        <v>0.25369999999999998</v>
      </c>
      <c r="F458" s="21">
        <v>0</v>
      </c>
      <c r="G458" s="21">
        <v>6</v>
      </c>
      <c r="H458" s="23">
        <v>6</v>
      </c>
      <c r="I458" s="23">
        <v>0.2273</v>
      </c>
      <c r="J458" s="18"/>
      <c r="K458" s="5"/>
      <c r="L458" s="5"/>
      <c r="M458" s="5"/>
      <c r="N458" s="5"/>
      <c r="O458" s="5"/>
      <c r="P458" s="5"/>
      <c r="Q458" s="5"/>
      <c r="R458" s="5"/>
      <c r="S458" s="5"/>
      <c r="T458" s="5"/>
      <c r="U458" s="5"/>
      <c r="V458" s="5"/>
      <c r="W458" s="5"/>
      <c r="X458" s="5"/>
      <c r="Y458" s="5"/>
    </row>
    <row r="459" spans="1:25" ht="15" thickBot="1" x14ac:dyDescent="0.35">
      <c r="A459" s="27">
        <v>457</v>
      </c>
      <c r="B459" s="21">
        <v>458</v>
      </c>
      <c r="C459" s="22">
        <v>0.2424</v>
      </c>
      <c r="D459" s="21">
        <v>0.75</v>
      </c>
      <c r="E459" s="21">
        <v>0.16420000000000001</v>
      </c>
      <c r="F459" s="21">
        <v>0</v>
      </c>
      <c r="G459" s="21">
        <v>2</v>
      </c>
      <c r="H459" s="23">
        <v>2</v>
      </c>
      <c r="I459" s="23">
        <v>0.2424</v>
      </c>
      <c r="J459" s="18"/>
      <c r="K459" s="5"/>
      <c r="L459" s="5"/>
      <c r="M459" s="5"/>
      <c r="N459" s="5"/>
      <c r="O459" s="5"/>
      <c r="P459" s="5"/>
      <c r="Q459" s="5"/>
      <c r="R459" s="5"/>
      <c r="S459" s="5"/>
      <c r="T459" s="5"/>
      <c r="U459" s="5"/>
      <c r="V459" s="5"/>
      <c r="W459" s="5"/>
      <c r="X459" s="5"/>
      <c r="Y459" s="5"/>
    </row>
    <row r="460" spans="1:25" ht="15" thickBot="1" x14ac:dyDescent="0.35">
      <c r="A460" s="27">
        <v>458</v>
      </c>
      <c r="B460" s="21">
        <v>459</v>
      </c>
      <c r="C460" s="22">
        <v>0.21210000000000001</v>
      </c>
      <c r="D460" s="21">
        <v>0.8</v>
      </c>
      <c r="E460" s="21">
        <v>0.29849999999999999</v>
      </c>
      <c r="F460" s="21">
        <v>0</v>
      </c>
      <c r="G460" s="21">
        <v>1</v>
      </c>
      <c r="H460" s="23">
        <v>1</v>
      </c>
      <c r="I460" s="23">
        <v>0.21210000000000001</v>
      </c>
      <c r="J460" s="18"/>
      <c r="K460" s="5"/>
      <c r="L460" s="5"/>
      <c r="M460" s="5"/>
      <c r="N460" s="5"/>
      <c r="O460" s="5"/>
      <c r="P460" s="5"/>
      <c r="Q460" s="5"/>
      <c r="R460" s="5"/>
      <c r="S460" s="5"/>
      <c r="T460" s="5"/>
      <c r="U460" s="5"/>
      <c r="V460" s="5"/>
      <c r="W460" s="5"/>
      <c r="X460" s="5"/>
      <c r="Y460" s="5"/>
    </row>
    <row r="461" spans="1:25" ht="15" thickBot="1" x14ac:dyDescent="0.35">
      <c r="A461" s="27">
        <v>459</v>
      </c>
      <c r="B461" s="21">
        <v>460</v>
      </c>
      <c r="C461" s="22">
        <v>0.2576</v>
      </c>
      <c r="D461" s="21">
        <v>0.87</v>
      </c>
      <c r="E461" s="21">
        <v>8.9599999999999999E-2</v>
      </c>
      <c r="F461" s="21">
        <v>0</v>
      </c>
      <c r="G461" s="21">
        <v>1</v>
      </c>
      <c r="H461" s="23">
        <v>1</v>
      </c>
      <c r="I461" s="23">
        <v>0.2576</v>
      </c>
      <c r="J461" s="18"/>
      <c r="K461" s="5"/>
      <c r="L461" s="5"/>
      <c r="M461" s="5"/>
      <c r="N461" s="5"/>
      <c r="O461" s="5"/>
      <c r="P461" s="5"/>
      <c r="Q461" s="5"/>
      <c r="R461" s="5"/>
      <c r="S461" s="5"/>
      <c r="T461" s="5"/>
      <c r="U461" s="5"/>
      <c r="V461" s="5"/>
      <c r="W461" s="5"/>
      <c r="X461" s="5"/>
      <c r="Y461" s="5"/>
    </row>
    <row r="462" spans="1:25" ht="15" thickBot="1" x14ac:dyDescent="0.35">
      <c r="A462" s="27">
        <v>460</v>
      </c>
      <c r="B462" s="21">
        <v>461</v>
      </c>
      <c r="C462" s="22">
        <v>0.19700000000000001</v>
      </c>
      <c r="D462" s="21">
        <v>0.6</v>
      </c>
      <c r="E462" s="21">
        <v>0.41789999999999999</v>
      </c>
      <c r="F462" s="21">
        <v>1</v>
      </c>
      <c r="G462" s="21">
        <v>4</v>
      </c>
      <c r="H462" s="23">
        <v>5</v>
      </c>
      <c r="I462" s="23">
        <v>0.19700000000000001</v>
      </c>
      <c r="J462" s="18"/>
      <c r="K462" s="5"/>
      <c r="L462" s="5"/>
      <c r="M462" s="5"/>
      <c r="N462" s="5"/>
      <c r="O462" s="5"/>
      <c r="P462" s="5"/>
      <c r="Q462" s="5"/>
      <c r="R462" s="5"/>
      <c r="S462" s="5"/>
      <c r="T462" s="5"/>
      <c r="U462" s="5"/>
      <c r="V462" s="5"/>
      <c r="W462" s="5"/>
      <c r="X462" s="5"/>
      <c r="Y462" s="5"/>
    </row>
    <row r="463" spans="1:25" ht="15" thickBot="1" x14ac:dyDescent="0.35">
      <c r="A463" s="27">
        <v>461</v>
      </c>
      <c r="B463" s="21">
        <v>462</v>
      </c>
      <c r="C463" s="22">
        <v>0.21210000000000001</v>
      </c>
      <c r="D463" s="21">
        <v>0.55000000000000004</v>
      </c>
      <c r="E463" s="21">
        <v>0.25369999999999998</v>
      </c>
      <c r="F463" s="21">
        <v>0</v>
      </c>
      <c r="G463" s="21">
        <v>27</v>
      </c>
      <c r="H463" s="23">
        <v>27</v>
      </c>
      <c r="I463" s="23">
        <v>0.21210000000000001</v>
      </c>
      <c r="J463" s="18"/>
      <c r="K463" s="5"/>
      <c r="L463" s="5"/>
      <c r="M463" s="5"/>
      <c r="N463" s="5"/>
      <c r="O463" s="5"/>
      <c r="P463" s="5"/>
      <c r="Q463" s="5"/>
      <c r="R463" s="5"/>
      <c r="S463" s="5"/>
      <c r="T463" s="5"/>
      <c r="U463" s="5"/>
      <c r="V463" s="5"/>
      <c r="W463" s="5"/>
      <c r="X463" s="5"/>
      <c r="Y463" s="5"/>
    </row>
    <row r="464" spans="1:25" ht="15" thickBot="1" x14ac:dyDescent="0.35">
      <c r="A464" s="27">
        <v>462</v>
      </c>
      <c r="B464" s="21">
        <v>463</v>
      </c>
      <c r="C464" s="22">
        <v>0.18179999999999999</v>
      </c>
      <c r="D464" s="21">
        <v>0.51</v>
      </c>
      <c r="E464" s="21">
        <v>0.28360000000000002</v>
      </c>
      <c r="F464" s="21">
        <v>2</v>
      </c>
      <c r="G464" s="21">
        <v>66</v>
      </c>
      <c r="H464" s="23">
        <v>68</v>
      </c>
      <c r="I464" s="23">
        <v>0.18179999999999999</v>
      </c>
      <c r="J464" s="18"/>
      <c r="K464" s="5"/>
      <c r="L464" s="5"/>
      <c r="M464" s="5"/>
      <c r="N464" s="5"/>
      <c r="O464" s="5"/>
      <c r="P464" s="5"/>
      <c r="Q464" s="5"/>
      <c r="R464" s="5"/>
      <c r="S464" s="5"/>
      <c r="T464" s="5"/>
      <c r="U464" s="5"/>
      <c r="V464" s="5"/>
      <c r="W464" s="5"/>
      <c r="X464" s="5"/>
      <c r="Y464" s="5"/>
    </row>
    <row r="465" spans="1:25" ht="15" thickBot="1" x14ac:dyDescent="0.35">
      <c r="A465" s="27">
        <v>463</v>
      </c>
      <c r="B465" s="21">
        <v>464</v>
      </c>
      <c r="C465" s="22">
        <v>0.18179999999999999</v>
      </c>
      <c r="D465" s="21">
        <v>0.47</v>
      </c>
      <c r="E465" s="21">
        <v>0.32840000000000003</v>
      </c>
      <c r="F465" s="21">
        <v>7</v>
      </c>
      <c r="G465" s="21">
        <v>210</v>
      </c>
      <c r="H465" s="23">
        <v>217</v>
      </c>
      <c r="I465" s="23">
        <v>0.18179999999999999</v>
      </c>
      <c r="J465" s="18"/>
      <c r="K465" s="5"/>
      <c r="L465" s="5"/>
      <c r="M465" s="5"/>
      <c r="N465" s="5"/>
      <c r="O465" s="5"/>
      <c r="P465" s="5"/>
      <c r="Q465" s="5"/>
      <c r="R465" s="5"/>
      <c r="S465" s="5"/>
      <c r="T465" s="5"/>
      <c r="U465" s="5"/>
      <c r="V465" s="5"/>
      <c r="W465" s="5"/>
      <c r="X465" s="5"/>
      <c r="Y465" s="5"/>
    </row>
    <row r="466" spans="1:25" ht="15" thickBot="1" x14ac:dyDescent="0.35">
      <c r="A466" s="27">
        <v>464</v>
      </c>
      <c r="B466" s="21">
        <v>465</v>
      </c>
      <c r="C466" s="22">
        <v>0.18179999999999999</v>
      </c>
      <c r="D466" s="21">
        <v>0.51</v>
      </c>
      <c r="E466" s="21">
        <v>0.35820000000000002</v>
      </c>
      <c r="F466" s="21">
        <v>7</v>
      </c>
      <c r="G466" s="21">
        <v>159</v>
      </c>
      <c r="H466" s="23">
        <v>166</v>
      </c>
      <c r="I466" s="23">
        <v>0.18179999999999999</v>
      </c>
      <c r="J466" s="18"/>
      <c r="K466" s="5"/>
      <c r="L466" s="5"/>
      <c r="M466" s="5"/>
      <c r="N466" s="5"/>
      <c r="O466" s="5"/>
      <c r="P466" s="5"/>
      <c r="Q466" s="5"/>
      <c r="R466" s="5"/>
      <c r="S466" s="5"/>
      <c r="T466" s="5"/>
      <c r="U466" s="5"/>
      <c r="V466" s="5"/>
      <c r="W466" s="5"/>
      <c r="X466" s="5"/>
      <c r="Y466" s="5"/>
    </row>
    <row r="467" spans="1:25" ht="15" thickBot="1" x14ac:dyDescent="0.35">
      <c r="A467" s="27">
        <v>465</v>
      </c>
      <c r="B467" s="21">
        <v>466</v>
      </c>
      <c r="C467" s="22">
        <v>0.16669999999999999</v>
      </c>
      <c r="D467" s="21">
        <v>0.47</v>
      </c>
      <c r="E467" s="21">
        <v>0.4627</v>
      </c>
      <c r="F467" s="21">
        <v>6</v>
      </c>
      <c r="G467" s="21">
        <v>57</v>
      </c>
      <c r="H467" s="23">
        <v>63</v>
      </c>
      <c r="I467" s="23">
        <v>0.16669999999999999</v>
      </c>
      <c r="J467" s="18"/>
      <c r="K467" s="5"/>
      <c r="L467" s="5"/>
      <c r="M467" s="5"/>
      <c r="N467" s="5"/>
      <c r="O467" s="5"/>
      <c r="P467" s="5"/>
      <c r="Q467" s="5"/>
      <c r="R467" s="5"/>
      <c r="S467" s="5"/>
      <c r="T467" s="5"/>
      <c r="U467" s="5"/>
      <c r="V467" s="5"/>
      <c r="W467" s="5"/>
      <c r="X467" s="5"/>
      <c r="Y467" s="5"/>
    </row>
    <row r="468" spans="1:25" ht="15" thickBot="1" x14ac:dyDescent="0.35">
      <c r="A468" s="27">
        <v>466</v>
      </c>
      <c r="B468" s="21">
        <v>467</v>
      </c>
      <c r="C468" s="22">
        <v>0.18179999999999999</v>
      </c>
      <c r="D468" s="21">
        <v>0.41</v>
      </c>
      <c r="E468" s="21">
        <v>0.4627</v>
      </c>
      <c r="F468" s="21">
        <v>6</v>
      </c>
      <c r="G468" s="21">
        <v>53</v>
      </c>
      <c r="H468" s="23">
        <v>59</v>
      </c>
      <c r="I468" s="23">
        <v>0.18179999999999999</v>
      </c>
      <c r="J468" s="18"/>
      <c r="K468" s="5"/>
      <c r="L468" s="5"/>
      <c r="M468" s="5"/>
      <c r="N468" s="5"/>
      <c r="O468" s="5"/>
      <c r="P468" s="5"/>
      <c r="Q468" s="5"/>
      <c r="R468" s="5"/>
      <c r="S468" s="5"/>
      <c r="T468" s="5"/>
      <c r="U468" s="5"/>
      <c r="V468" s="5"/>
      <c r="W468" s="5"/>
      <c r="X468" s="5"/>
      <c r="Y468" s="5"/>
    </row>
    <row r="469" spans="1:25" ht="15" thickBot="1" x14ac:dyDescent="0.35">
      <c r="A469" s="27">
        <v>467</v>
      </c>
      <c r="B469" s="21">
        <v>468</v>
      </c>
      <c r="C469" s="22">
        <v>0.18179999999999999</v>
      </c>
      <c r="D469" s="21">
        <v>0.27</v>
      </c>
      <c r="E469" s="21">
        <v>0.58209999999999995</v>
      </c>
      <c r="F469" s="21">
        <v>11</v>
      </c>
      <c r="G469" s="21">
        <v>67</v>
      </c>
      <c r="H469" s="23">
        <v>78</v>
      </c>
      <c r="I469" s="23">
        <v>0.18179999999999999</v>
      </c>
      <c r="J469" s="18"/>
      <c r="K469" s="5"/>
      <c r="L469" s="5"/>
      <c r="M469" s="5"/>
      <c r="N469" s="5"/>
      <c r="O469" s="5"/>
      <c r="P469" s="5"/>
      <c r="Q469" s="5"/>
      <c r="R469" s="5"/>
      <c r="S469" s="5"/>
      <c r="T469" s="5"/>
      <c r="U469" s="5"/>
      <c r="V469" s="5"/>
      <c r="W469" s="5"/>
      <c r="X469" s="5"/>
      <c r="Y469" s="5"/>
    </row>
    <row r="470" spans="1:25" ht="15" thickBot="1" x14ac:dyDescent="0.35">
      <c r="A470" s="27">
        <v>468</v>
      </c>
      <c r="B470" s="21">
        <v>469</v>
      </c>
      <c r="C470" s="22">
        <v>0.1515</v>
      </c>
      <c r="D470" s="21">
        <v>0.21</v>
      </c>
      <c r="E470" s="21">
        <v>0.58209999999999995</v>
      </c>
      <c r="F470" s="21">
        <v>8</v>
      </c>
      <c r="G470" s="21">
        <v>65</v>
      </c>
      <c r="H470" s="23">
        <v>73</v>
      </c>
      <c r="I470" s="23">
        <v>0.1515</v>
      </c>
      <c r="J470" s="18"/>
      <c r="K470" s="5"/>
      <c r="L470" s="5"/>
      <c r="M470" s="5"/>
      <c r="N470" s="5"/>
      <c r="O470" s="5"/>
      <c r="P470" s="5"/>
      <c r="Q470" s="5"/>
      <c r="R470" s="5"/>
      <c r="S470" s="5"/>
      <c r="T470" s="5"/>
      <c r="U470" s="5"/>
      <c r="V470" s="5"/>
      <c r="W470" s="5"/>
      <c r="X470" s="5"/>
      <c r="Y470" s="5"/>
    </row>
    <row r="471" spans="1:25" ht="15" thickBot="1" x14ac:dyDescent="0.35">
      <c r="A471" s="27">
        <v>469</v>
      </c>
      <c r="B471" s="21">
        <v>470</v>
      </c>
      <c r="C471" s="22">
        <v>0.1515</v>
      </c>
      <c r="D471" s="21">
        <v>0.25</v>
      </c>
      <c r="E471" s="21">
        <v>0.52239999999999998</v>
      </c>
      <c r="F471" s="21">
        <v>6</v>
      </c>
      <c r="G471" s="21">
        <v>56</v>
      </c>
      <c r="H471" s="23">
        <v>62</v>
      </c>
      <c r="I471" s="23">
        <v>0.1515</v>
      </c>
      <c r="J471" s="18"/>
      <c r="K471" s="5"/>
      <c r="L471" s="5"/>
      <c r="M471" s="5"/>
      <c r="N471" s="5"/>
      <c r="O471" s="5"/>
      <c r="P471" s="5"/>
      <c r="Q471" s="5"/>
      <c r="R471" s="5"/>
      <c r="S471" s="5"/>
      <c r="T471" s="5"/>
      <c r="U471" s="5"/>
      <c r="V471" s="5"/>
      <c r="W471" s="5"/>
      <c r="X471" s="5"/>
      <c r="Y471" s="5"/>
    </row>
    <row r="472" spans="1:25" ht="15" thickBot="1" x14ac:dyDescent="0.35">
      <c r="A472" s="27">
        <v>470</v>
      </c>
      <c r="B472" s="21">
        <v>471</v>
      </c>
      <c r="C472" s="22">
        <v>0.1212</v>
      </c>
      <c r="D472" s="21">
        <v>0.26</v>
      </c>
      <c r="E472" s="21">
        <v>0.44779999999999998</v>
      </c>
      <c r="F472" s="21">
        <v>4</v>
      </c>
      <c r="G472" s="21">
        <v>61</v>
      </c>
      <c r="H472" s="23">
        <v>65</v>
      </c>
      <c r="I472" s="23">
        <v>0.1212</v>
      </c>
      <c r="J472" s="18"/>
      <c r="K472" s="5"/>
      <c r="L472" s="5"/>
      <c r="M472" s="5"/>
      <c r="N472" s="5"/>
      <c r="O472" s="5"/>
      <c r="P472" s="5"/>
      <c r="Q472" s="5"/>
      <c r="R472" s="5"/>
      <c r="S472" s="5"/>
      <c r="T472" s="5"/>
      <c r="U472" s="5"/>
      <c r="V472" s="5"/>
      <c r="W472" s="5"/>
      <c r="X472" s="5"/>
      <c r="Y472" s="5"/>
    </row>
    <row r="473" spans="1:25" ht="15" thickBot="1" x14ac:dyDescent="0.35">
      <c r="A473" s="27">
        <v>471</v>
      </c>
      <c r="B473" s="21">
        <v>472</v>
      </c>
      <c r="C473" s="22">
        <v>0.13639999999999999</v>
      </c>
      <c r="D473" s="21">
        <v>0.26</v>
      </c>
      <c r="E473" s="21">
        <v>0.35820000000000002</v>
      </c>
      <c r="F473" s="21">
        <v>0</v>
      </c>
      <c r="G473" s="21">
        <v>97</v>
      </c>
      <c r="H473" s="23">
        <v>97</v>
      </c>
      <c r="I473" s="23">
        <v>0.13639999999999999</v>
      </c>
      <c r="J473" s="18"/>
      <c r="K473" s="5"/>
      <c r="L473" s="5"/>
      <c r="M473" s="5"/>
      <c r="N473" s="5"/>
      <c r="O473" s="5"/>
      <c r="P473" s="5"/>
      <c r="Q473" s="5"/>
      <c r="R473" s="5"/>
      <c r="S473" s="5"/>
      <c r="T473" s="5"/>
      <c r="U473" s="5"/>
      <c r="V473" s="5"/>
      <c r="W473" s="5"/>
      <c r="X473" s="5"/>
      <c r="Y473" s="5"/>
    </row>
    <row r="474" spans="1:25" ht="15" thickBot="1" x14ac:dyDescent="0.35">
      <c r="A474" s="27">
        <v>472</v>
      </c>
      <c r="B474" s="21">
        <v>473</v>
      </c>
      <c r="C474" s="22">
        <v>0.1212</v>
      </c>
      <c r="D474" s="21">
        <v>0.28000000000000003</v>
      </c>
      <c r="E474" s="21">
        <v>0.35820000000000002</v>
      </c>
      <c r="F474" s="21">
        <v>10</v>
      </c>
      <c r="G474" s="21">
        <v>151</v>
      </c>
      <c r="H474" s="23">
        <v>161</v>
      </c>
      <c r="I474" s="23">
        <v>0.1212</v>
      </c>
      <c r="J474" s="18"/>
      <c r="K474" s="5"/>
      <c r="L474" s="5"/>
      <c r="M474" s="5"/>
      <c r="N474" s="5"/>
      <c r="O474" s="5"/>
      <c r="P474" s="5"/>
      <c r="Q474" s="5"/>
      <c r="R474" s="5"/>
      <c r="S474" s="5"/>
      <c r="T474" s="5"/>
      <c r="U474" s="5"/>
      <c r="V474" s="5"/>
      <c r="W474" s="5"/>
      <c r="X474" s="5"/>
      <c r="Y474" s="5"/>
    </row>
    <row r="475" spans="1:25" ht="15" thickBot="1" x14ac:dyDescent="0.35">
      <c r="A475" s="27">
        <v>473</v>
      </c>
      <c r="B475" s="21">
        <v>474</v>
      </c>
      <c r="C475" s="22">
        <v>0.1212</v>
      </c>
      <c r="D475" s="21">
        <v>0.3</v>
      </c>
      <c r="E475" s="21">
        <v>0.25369999999999998</v>
      </c>
      <c r="F475" s="21">
        <v>1</v>
      </c>
      <c r="G475" s="21">
        <v>119</v>
      </c>
      <c r="H475" s="23">
        <v>120</v>
      </c>
      <c r="I475" s="23">
        <v>0.1212</v>
      </c>
      <c r="J475" s="18"/>
      <c r="K475" s="5"/>
      <c r="L475" s="5"/>
      <c r="M475" s="5"/>
      <c r="N475" s="5"/>
      <c r="O475" s="5"/>
      <c r="P475" s="5"/>
      <c r="Q475" s="5"/>
      <c r="R475" s="5"/>
      <c r="S475" s="5"/>
      <c r="T475" s="5"/>
      <c r="U475" s="5"/>
      <c r="V475" s="5"/>
      <c r="W475" s="5"/>
      <c r="X475" s="5"/>
      <c r="Y475" s="5"/>
    </row>
    <row r="476" spans="1:25" ht="15" thickBot="1" x14ac:dyDescent="0.35">
      <c r="A476" s="27">
        <v>474</v>
      </c>
      <c r="B476" s="21">
        <v>475</v>
      </c>
      <c r="C476" s="22">
        <v>0.1061</v>
      </c>
      <c r="D476" s="21">
        <v>0.3</v>
      </c>
      <c r="E476" s="21">
        <v>0.32840000000000003</v>
      </c>
      <c r="F476" s="21">
        <v>3</v>
      </c>
      <c r="G476" s="21">
        <v>93</v>
      </c>
      <c r="H476" s="23">
        <v>96</v>
      </c>
      <c r="I476" s="23">
        <v>0.1061</v>
      </c>
      <c r="J476" s="18"/>
      <c r="K476" s="5"/>
      <c r="L476" s="5"/>
      <c r="M476" s="5"/>
      <c r="N476" s="5"/>
      <c r="O476" s="5"/>
      <c r="P476" s="5"/>
      <c r="Q476" s="5"/>
      <c r="R476" s="5"/>
      <c r="S476" s="5"/>
      <c r="T476" s="5"/>
      <c r="U476" s="5"/>
      <c r="V476" s="5"/>
      <c r="W476" s="5"/>
      <c r="X476" s="5"/>
      <c r="Y476" s="5"/>
    </row>
    <row r="477" spans="1:25" ht="15" thickBot="1" x14ac:dyDescent="0.35">
      <c r="A477" s="27">
        <v>475</v>
      </c>
      <c r="B477" s="21">
        <v>476</v>
      </c>
      <c r="C477" s="22">
        <v>7.5800000000000006E-2</v>
      </c>
      <c r="D477" s="21">
        <v>0.33</v>
      </c>
      <c r="E477" s="21">
        <v>0.41789999999999999</v>
      </c>
      <c r="F477" s="21">
        <v>1</v>
      </c>
      <c r="G477" s="21">
        <v>52</v>
      </c>
      <c r="H477" s="23">
        <v>53</v>
      </c>
      <c r="I477" s="23">
        <v>7.5800000000000006E-2</v>
      </c>
      <c r="J477" s="18"/>
      <c r="K477" s="5"/>
      <c r="L477" s="5"/>
      <c r="M477" s="5"/>
      <c r="N477" s="5"/>
      <c r="O477" s="5"/>
      <c r="P477" s="5"/>
      <c r="Q477" s="5"/>
      <c r="R477" s="5"/>
      <c r="S477" s="5"/>
      <c r="T477" s="5"/>
      <c r="U477" s="5"/>
      <c r="V477" s="5"/>
      <c r="W477" s="5"/>
      <c r="X477" s="5"/>
      <c r="Y477" s="5"/>
    </row>
    <row r="478" spans="1:25" ht="15" thickBot="1" x14ac:dyDescent="0.35">
      <c r="A478" s="27">
        <v>476</v>
      </c>
      <c r="B478" s="21">
        <v>477</v>
      </c>
      <c r="C478" s="22">
        <v>7.5800000000000006E-2</v>
      </c>
      <c r="D478" s="21">
        <v>0.38</v>
      </c>
      <c r="E478" s="21">
        <v>0.28360000000000002</v>
      </c>
      <c r="F478" s="21">
        <v>0</v>
      </c>
      <c r="G478" s="21">
        <v>41</v>
      </c>
      <c r="H478" s="23">
        <v>41</v>
      </c>
      <c r="I478" s="23">
        <v>7.5800000000000006E-2</v>
      </c>
      <c r="J478" s="18"/>
      <c r="K478" s="5"/>
      <c r="L478" s="5"/>
      <c r="M478" s="5"/>
      <c r="N478" s="5"/>
      <c r="O478" s="5"/>
      <c r="P478" s="5"/>
      <c r="Q478" s="5"/>
      <c r="R478" s="5"/>
      <c r="S478" s="5"/>
      <c r="T478" s="5"/>
      <c r="U478" s="5"/>
      <c r="V478" s="5"/>
      <c r="W478" s="5"/>
      <c r="X478" s="5"/>
      <c r="Y478" s="5"/>
    </row>
    <row r="479" spans="1:25" ht="15" thickBot="1" x14ac:dyDescent="0.35">
      <c r="A479" s="27">
        <v>477</v>
      </c>
      <c r="B479" s="21">
        <v>478</v>
      </c>
      <c r="C479" s="22">
        <v>3.0300000000000001E-2</v>
      </c>
      <c r="D479" s="21">
        <v>0.41</v>
      </c>
      <c r="E479" s="21">
        <v>0.3881</v>
      </c>
      <c r="F479" s="21">
        <v>1</v>
      </c>
      <c r="G479" s="21">
        <v>33</v>
      </c>
      <c r="H479" s="23">
        <v>34</v>
      </c>
      <c r="I479" s="23">
        <v>3.0300000000000001E-2</v>
      </c>
      <c r="J479" s="18"/>
      <c r="K479" s="5"/>
      <c r="L479" s="5"/>
      <c r="M479" s="5"/>
      <c r="N479" s="5"/>
      <c r="O479" s="5"/>
      <c r="P479" s="5"/>
      <c r="Q479" s="5"/>
      <c r="R479" s="5"/>
      <c r="S479" s="5"/>
      <c r="T479" s="5"/>
      <c r="U479" s="5"/>
      <c r="V479" s="5"/>
      <c r="W479" s="5"/>
      <c r="X479" s="5"/>
      <c r="Y479" s="5"/>
    </row>
    <row r="480" spans="1:25" ht="15" thickBot="1" x14ac:dyDescent="0.35">
      <c r="A480" s="27">
        <v>478</v>
      </c>
      <c r="B480" s="21">
        <v>479</v>
      </c>
      <c r="C480" s="22">
        <v>4.5499999999999999E-2</v>
      </c>
      <c r="D480" s="21">
        <v>0.38</v>
      </c>
      <c r="E480" s="21">
        <v>0.32840000000000003</v>
      </c>
      <c r="F480" s="21">
        <v>0</v>
      </c>
      <c r="G480" s="21">
        <v>27</v>
      </c>
      <c r="H480" s="23">
        <v>27</v>
      </c>
      <c r="I480" s="23">
        <v>4.5499999999999999E-2</v>
      </c>
      <c r="J480" s="18"/>
      <c r="K480" s="5"/>
      <c r="L480" s="5"/>
      <c r="M480" s="5"/>
      <c r="N480" s="5"/>
      <c r="O480" s="5"/>
      <c r="P480" s="5"/>
      <c r="Q480" s="5"/>
      <c r="R480" s="5"/>
      <c r="S480" s="5"/>
      <c r="T480" s="5"/>
      <c r="U480" s="5"/>
      <c r="V480" s="5"/>
      <c r="W480" s="5"/>
      <c r="X480" s="5"/>
      <c r="Y480" s="5"/>
    </row>
    <row r="481" spans="1:25" ht="15" thickBot="1" x14ac:dyDescent="0.35">
      <c r="A481" s="27">
        <v>479</v>
      </c>
      <c r="B481" s="21">
        <v>480</v>
      </c>
      <c r="C481" s="22">
        <v>3.0300000000000001E-2</v>
      </c>
      <c r="D481" s="21">
        <v>0.45</v>
      </c>
      <c r="E481" s="21">
        <v>0.25369999999999998</v>
      </c>
      <c r="F481" s="21">
        <v>0</v>
      </c>
      <c r="G481" s="21">
        <v>13</v>
      </c>
      <c r="H481" s="23">
        <v>13</v>
      </c>
      <c r="I481" s="23">
        <v>3.0300000000000001E-2</v>
      </c>
      <c r="J481" s="18"/>
      <c r="K481" s="5"/>
      <c r="L481" s="5"/>
      <c r="M481" s="5"/>
      <c r="N481" s="5"/>
      <c r="O481" s="5"/>
      <c r="P481" s="5"/>
      <c r="Q481" s="5"/>
      <c r="R481" s="5"/>
      <c r="S481" s="5"/>
      <c r="T481" s="5"/>
      <c r="U481" s="5"/>
      <c r="V481" s="5"/>
      <c r="W481" s="5"/>
      <c r="X481" s="5"/>
      <c r="Y481" s="5"/>
    </row>
    <row r="482" spans="1:25" ht="15" thickBot="1" x14ac:dyDescent="0.35">
      <c r="A482" s="27">
        <v>480</v>
      </c>
      <c r="B482" s="21">
        <v>481</v>
      </c>
      <c r="C482" s="22">
        <v>0</v>
      </c>
      <c r="D482" s="21">
        <v>0.41</v>
      </c>
      <c r="E482" s="21">
        <v>0.3881</v>
      </c>
      <c r="F482" s="21">
        <v>3</v>
      </c>
      <c r="G482" s="21">
        <v>9</v>
      </c>
      <c r="H482" s="23">
        <v>12</v>
      </c>
      <c r="I482" s="23">
        <v>0</v>
      </c>
      <c r="J482" s="18"/>
      <c r="K482" s="5"/>
      <c r="L482" s="5"/>
      <c r="M482" s="5"/>
      <c r="N482" s="5"/>
      <c r="O482" s="5"/>
      <c r="P482" s="5"/>
      <c r="Q482" s="5"/>
      <c r="R482" s="5"/>
      <c r="S482" s="5"/>
      <c r="T482" s="5"/>
      <c r="U482" s="5"/>
      <c r="V482" s="5"/>
      <c r="W482" s="5"/>
      <c r="X482" s="5"/>
      <c r="Y482" s="5"/>
    </row>
    <row r="483" spans="1:25" ht="15" thickBot="1" x14ac:dyDescent="0.35">
      <c r="A483" s="27">
        <v>481</v>
      </c>
      <c r="B483" s="21">
        <v>482</v>
      </c>
      <c r="C483" s="22">
        <v>3.0300000000000001E-2</v>
      </c>
      <c r="D483" s="21">
        <v>0.41</v>
      </c>
      <c r="E483" s="21">
        <v>0.25369999999999998</v>
      </c>
      <c r="F483" s="21">
        <v>0</v>
      </c>
      <c r="G483" s="21">
        <v>11</v>
      </c>
      <c r="H483" s="23">
        <v>11</v>
      </c>
      <c r="I483" s="23">
        <v>3.0300000000000001E-2</v>
      </c>
      <c r="J483" s="18"/>
      <c r="K483" s="5"/>
      <c r="L483" s="5"/>
      <c r="M483" s="5"/>
      <c r="N483" s="5"/>
      <c r="O483" s="5"/>
      <c r="P483" s="5"/>
      <c r="Q483" s="5"/>
      <c r="R483" s="5"/>
      <c r="S483" s="5"/>
      <c r="T483" s="5"/>
      <c r="U483" s="5"/>
      <c r="V483" s="5"/>
      <c r="W483" s="5"/>
      <c r="X483" s="5"/>
      <c r="Y483" s="5"/>
    </row>
    <row r="484" spans="1:25" ht="15" thickBot="1" x14ac:dyDescent="0.35">
      <c r="A484" s="27">
        <v>482</v>
      </c>
      <c r="B484" s="21">
        <v>483</v>
      </c>
      <c r="C484" s="22">
        <v>3.0300000000000001E-2</v>
      </c>
      <c r="D484" s="21">
        <v>0.41</v>
      </c>
      <c r="E484" s="21">
        <v>0.28360000000000002</v>
      </c>
      <c r="F484" s="21">
        <v>1</v>
      </c>
      <c r="G484" s="21">
        <v>6</v>
      </c>
      <c r="H484" s="23">
        <v>7</v>
      </c>
      <c r="I484" s="23">
        <v>3.0300000000000001E-2</v>
      </c>
      <c r="J484" s="18"/>
      <c r="K484" s="5"/>
      <c r="L484" s="5"/>
      <c r="M484" s="5"/>
      <c r="N484" s="5"/>
      <c r="O484" s="5"/>
      <c r="P484" s="5"/>
      <c r="Q484" s="5"/>
      <c r="R484" s="5"/>
      <c r="S484" s="5"/>
      <c r="T484" s="5"/>
      <c r="U484" s="5"/>
      <c r="V484" s="5"/>
      <c r="W484" s="5"/>
      <c r="X484" s="5"/>
      <c r="Y484" s="5"/>
    </row>
    <row r="485" spans="1:25" ht="15" thickBot="1" x14ac:dyDescent="0.35">
      <c r="A485" s="27">
        <v>483</v>
      </c>
      <c r="B485" s="21">
        <v>484</v>
      </c>
      <c r="C485" s="22">
        <v>1.52E-2</v>
      </c>
      <c r="D485" s="21">
        <v>0.48</v>
      </c>
      <c r="E485" s="21">
        <v>0.29849999999999999</v>
      </c>
      <c r="F485" s="21">
        <v>0</v>
      </c>
      <c r="G485" s="21">
        <v>3</v>
      </c>
      <c r="H485" s="23">
        <v>3</v>
      </c>
      <c r="I485" s="23">
        <v>1.52E-2</v>
      </c>
      <c r="J485" s="18"/>
      <c r="K485" s="5"/>
      <c r="L485" s="5"/>
      <c r="M485" s="5"/>
      <c r="N485" s="5"/>
      <c r="O485" s="5"/>
      <c r="P485" s="5"/>
      <c r="Q485" s="5"/>
      <c r="R485" s="5"/>
      <c r="S485" s="5"/>
      <c r="T485" s="5"/>
      <c r="U485" s="5"/>
      <c r="V485" s="5"/>
      <c r="W485" s="5"/>
      <c r="X485" s="5"/>
      <c r="Y485" s="5"/>
    </row>
    <row r="486" spans="1:25" ht="15" thickBot="1" x14ac:dyDescent="0.35">
      <c r="A486" s="27">
        <v>484</v>
      </c>
      <c r="B486" s="21">
        <v>485</v>
      </c>
      <c r="C486" s="22">
        <v>3.0300000000000001E-2</v>
      </c>
      <c r="D486" s="21">
        <v>0.44</v>
      </c>
      <c r="E486" s="21">
        <v>0.22389999999999999</v>
      </c>
      <c r="F486" s="21">
        <v>0</v>
      </c>
      <c r="G486" s="21">
        <v>2</v>
      </c>
      <c r="H486" s="23">
        <v>2</v>
      </c>
      <c r="I486" s="23">
        <v>3.0300000000000001E-2</v>
      </c>
      <c r="J486" s="18"/>
      <c r="K486" s="5"/>
      <c r="L486" s="5"/>
      <c r="M486" s="5"/>
      <c r="N486" s="5"/>
      <c r="O486" s="5"/>
      <c r="P486" s="5"/>
      <c r="Q486" s="5"/>
      <c r="R486" s="5"/>
      <c r="S486" s="5"/>
      <c r="T486" s="5"/>
      <c r="U486" s="5"/>
      <c r="V486" s="5"/>
      <c r="W486" s="5"/>
      <c r="X486" s="5"/>
      <c r="Y486" s="5"/>
    </row>
    <row r="487" spans="1:25" ht="15" thickBot="1" x14ac:dyDescent="0.35">
      <c r="A487" s="27">
        <v>485</v>
      </c>
      <c r="B487" s="21">
        <v>486</v>
      </c>
      <c r="C487" s="22">
        <v>1.52E-2</v>
      </c>
      <c r="D487" s="21">
        <v>0.44</v>
      </c>
      <c r="E487" s="21">
        <v>0.28360000000000002</v>
      </c>
      <c r="F487" s="21">
        <v>0</v>
      </c>
      <c r="G487" s="21">
        <v>8</v>
      </c>
      <c r="H487" s="23">
        <v>8</v>
      </c>
      <c r="I487" s="23">
        <v>1.52E-2</v>
      </c>
      <c r="J487" s="18"/>
      <c r="K487" s="5"/>
      <c r="L487" s="5"/>
      <c r="M487" s="5"/>
      <c r="N487" s="5"/>
      <c r="O487" s="5"/>
      <c r="P487" s="5"/>
      <c r="Q487" s="5"/>
      <c r="R487" s="5"/>
      <c r="S487" s="5"/>
      <c r="T487" s="5"/>
      <c r="U487" s="5"/>
      <c r="V487" s="5"/>
      <c r="W487" s="5"/>
      <c r="X487" s="5"/>
      <c r="Y487" s="5"/>
    </row>
    <row r="488" spans="1:25" ht="15" thickBot="1" x14ac:dyDescent="0.35">
      <c r="A488" s="27">
        <v>486</v>
      </c>
      <c r="B488" s="21">
        <v>487</v>
      </c>
      <c r="C488" s="22">
        <v>0</v>
      </c>
      <c r="D488" s="21">
        <v>0.44</v>
      </c>
      <c r="E488" s="21">
        <v>0.32840000000000003</v>
      </c>
      <c r="F488" s="21">
        <v>1</v>
      </c>
      <c r="G488" s="21">
        <v>26</v>
      </c>
      <c r="H488" s="23">
        <v>27</v>
      </c>
      <c r="I488" s="23">
        <v>0</v>
      </c>
      <c r="J488" s="18"/>
      <c r="K488" s="5"/>
      <c r="L488" s="5"/>
      <c r="M488" s="5"/>
      <c r="N488" s="5"/>
      <c r="O488" s="5"/>
      <c r="P488" s="5"/>
      <c r="Q488" s="5"/>
      <c r="R488" s="5"/>
      <c r="S488" s="5"/>
      <c r="T488" s="5"/>
      <c r="U488" s="5"/>
      <c r="V488" s="5"/>
      <c r="W488" s="5"/>
      <c r="X488" s="5"/>
      <c r="Y488" s="5"/>
    </row>
    <row r="489" spans="1:25" ht="15" thickBot="1" x14ac:dyDescent="0.35">
      <c r="A489" s="27">
        <v>487</v>
      </c>
      <c r="B489" s="21">
        <v>488</v>
      </c>
      <c r="C489" s="22">
        <v>3.0300000000000001E-2</v>
      </c>
      <c r="D489" s="21">
        <v>0.41</v>
      </c>
      <c r="E489" s="21">
        <v>0.25369999999999998</v>
      </c>
      <c r="F489" s="21">
        <v>3</v>
      </c>
      <c r="G489" s="21">
        <v>37</v>
      </c>
      <c r="H489" s="23">
        <v>40</v>
      </c>
      <c r="I489" s="23">
        <v>3.0300000000000001E-2</v>
      </c>
      <c r="J489" s="18"/>
      <c r="K489" s="5"/>
      <c r="L489" s="5"/>
      <c r="M489" s="5"/>
      <c r="N489" s="5"/>
      <c r="O489" s="5"/>
      <c r="P489" s="5"/>
      <c r="Q489" s="5"/>
      <c r="R489" s="5"/>
      <c r="S489" s="5"/>
      <c r="T489" s="5"/>
      <c r="U489" s="5"/>
      <c r="V489" s="5"/>
      <c r="W489" s="5"/>
      <c r="X489" s="5"/>
      <c r="Y489" s="5"/>
    </row>
    <row r="490" spans="1:25" ht="15" thickBot="1" x14ac:dyDescent="0.35">
      <c r="A490" s="27">
        <v>488</v>
      </c>
      <c r="B490" s="21">
        <v>489</v>
      </c>
      <c r="C490" s="22">
        <v>6.0600000000000001E-2</v>
      </c>
      <c r="D490" s="21">
        <v>0.41</v>
      </c>
      <c r="E490" s="21">
        <v>0.16420000000000001</v>
      </c>
      <c r="F490" s="21">
        <v>3</v>
      </c>
      <c r="G490" s="21">
        <v>50</v>
      </c>
      <c r="H490" s="23">
        <v>53</v>
      </c>
      <c r="I490" s="23">
        <v>6.0600000000000001E-2</v>
      </c>
      <c r="J490" s="18"/>
      <c r="K490" s="5"/>
      <c r="L490" s="5"/>
      <c r="M490" s="5"/>
      <c r="N490" s="5"/>
      <c r="O490" s="5"/>
      <c r="P490" s="5"/>
      <c r="Q490" s="5"/>
      <c r="R490" s="5"/>
      <c r="S490" s="5"/>
      <c r="T490" s="5"/>
      <c r="U490" s="5"/>
      <c r="V490" s="5"/>
      <c r="W490" s="5"/>
      <c r="X490" s="5"/>
      <c r="Y490" s="5"/>
    </row>
    <row r="491" spans="1:25" ht="15" thickBot="1" x14ac:dyDescent="0.35">
      <c r="A491" s="27">
        <v>489</v>
      </c>
      <c r="B491" s="21">
        <v>490</v>
      </c>
      <c r="C491" s="22">
        <v>7.5800000000000006E-2</v>
      </c>
      <c r="D491" s="21">
        <v>0.38</v>
      </c>
      <c r="E491" s="21">
        <v>0.1343</v>
      </c>
      <c r="F491" s="21">
        <v>4</v>
      </c>
      <c r="G491" s="21">
        <v>59</v>
      </c>
      <c r="H491" s="23">
        <v>63</v>
      </c>
      <c r="I491" s="23">
        <v>7.5800000000000006E-2</v>
      </c>
      <c r="J491" s="18"/>
      <c r="K491" s="5"/>
      <c r="L491" s="5"/>
      <c r="M491" s="5"/>
      <c r="N491" s="5"/>
      <c r="O491" s="5"/>
      <c r="P491" s="5"/>
      <c r="Q491" s="5"/>
      <c r="R491" s="5"/>
      <c r="S491" s="5"/>
      <c r="T491" s="5"/>
      <c r="U491" s="5"/>
      <c r="V491" s="5"/>
      <c r="W491" s="5"/>
      <c r="X491" s="5"/>
      <c r="Y491" s="5"/>
    </row>
    <row r="492" spans="1:25" ht="15" thickBot="1" x14ac:dyDescent="0.35">
      <c r="A492" s="27">
        <v>490</v>
      </c>
      <c r="B492" s="21">
        <v>491</v>
      </c>
      <c r="C492" s="22">
        <v>0.1061</v>
      </c>
      <c r="D492" s="21">
        <v>0.38</v>
      </c>
      <c r="E492" s="21">
        <v>0.1045</v>
      </c>
      <c r="F492" s="21">
        <v>10</v>
      </c>
      <c r="G492" s="21">
        <v>60</v>
      </c>
      <c r="H492" s="23">
        <v>70</v>
      </c>
      <c r="I492" s="23">
        <v>0.1061</v>
      </c>
      <c r="J492" s="18"/>
      <c r="K492" s="5"/>
      <c r="L492" s="5"/>
      <c r="M492" s="5"/>
      <c r="N492" s="5"/>
      <c r="O492" s="5"/>
      <c r="P492" s="5"/>
      <c r="Q492" s="5"/>
      <c r="R492" s="5"/>
      <c r="S492" s="5"/>
      <c r="T492" s="5"/>
      <c r="U492" s="5"/>
      <c r="V492" s="5"/>
      <c r="W492" s="5"/>
      <c r="X492" s="5"/>
      <c r="Y492" s="5"/>
    </row>
    <row r="493" spans="1:25" ht="15" thickBot="1" x14ac:dyDescent="0.35">
      <c r="A493" s="27">
        <v>491</v>
      </c>
      <c r="B493" s="21">
        <v>492</v>
      </c>
      <c r="C493" s="22">
        <v>0.16669999999999999</v>
      </c>
      <c r="D493" s="21">
        <v>0.35</v>
      </c>
      <c r="E493" s="22">
        <v>0.20485098360655737</v>
      </c>
      <c r="F493" s="21">
        <v>12</v>
      </c>
      <c r="G493" s="21">
        <v>72</v>
      </c>
      <c r="H493" s="23">
        <v>84</v>
      </c>
      <c r="I493" s="23">
        <v>0.16669999999999999</v>
      </c>
      <c r="J493" s="18"/>
      <c r="K493" s="5"/>
      <c r="L493" s="5"/>
      <c r="M493" s="5"/>
      <c r="N493" s="5"/>
      <c r="O493" s="5"/>
      <c r="P493" s="5"/>
      <c r="Q493" s="5"/>
      <c r="R493" s="5"/>
      <c r="S493" s="5"/>
      <c r="T493" s="5"/>
      <c r="U493" s="5"/>
      <c r="V493" s="5"/>
      <c r="W493" s="5"/>
      <c r="X493" s="5"/>
      <c r="Y493" s="5"/>
    </row>
    <row r="494" spans="1:25" ht="15" thickBot="1" x14ac:dyDescent="0.35">
      <c r="A494" s="27">
        <v>492</v>
      </c>
      <c r="B494" s="21">
        <v>493</v>
      </c>
      <c r="C494" s="22">
        <v>0.13639999999999999</v>
      </c>
      <c r="D494" s="21">
        <v>0.33</v>
      </c>
      <c r="E494" s="21">
        <v>0.1045</v>
      </c>
      <c r="F494" s="21">
        <v>11</v>
      </c>
      <c r="G494" s="21">
        <v>64</v>
      </c>
      <c r="H494" s="23">
        <v>75</v>
      </c>
      <c r="I494" s="23">
        <v>0.13639999999999999</v>
      </c>
      <c r="J494" s="18"/>
      <c r="K494" s="5"/>
      <c r="L494" s="5"/>
      <c r="M494" s="5"/>
      <c r="N494" s="5"/>
      <c r="O494" s="5"/>
      <c r="P494" s="5"/>
      <c r="Q494" s="5"/>
      <c r="R494" s="5"/>
      <c r="S494" s="5"/>
      <c r="T494" s="5"/>
      <c r="U494" s="5"/>
      <c r="V494" s="5"/>
      <c r="W494" s="5"/>
      <c r="X494" s="5"/>
      <c r="Y494" s="5"/>
    </row>
    <row r="495" spans="1:25" ht="15" thickBot="1" x14ac:dyDescent="0.35">
      <c r="A495" s="27">
        <v>493</v>
      </c>
      <c r="B495" s="21">
        <v>494</v>
      </c>
      <c r="C495" s="22">
        <v>0.1515</v>
      </c>
      <c r="D495" s="21">
        <v>0.28000000000000003</v>
      </c>
      <c r="E495" s="22">
        <v>0.20485098360655737</v>
      </c>
      <c r="F495" s="21">
        <v>10</v>
      </c>
      <c r="G495" s="21">
        <v>93</v>
      </c>
      <c r="H495" s="23">
        <v>103</v>
      </c>
      <c r="I495" s="23">
        <v>0.1515</v>
      </c>
      <c r="J495" s="18"/>
      <c r="K495" s="5"/>
      <c r="L495" s="5"/>
      <c r="M495" s="5"/>
      <c r="N495" s="5"/>
      <c r="O495" s="5"/>
      <c r="P495" s="5"/>
      <c r="Q495" s="5"/>
      <c r="R495" s="5"/>
      <c r="S495" s="5"/>
      <c r="T495" s="5"/>
      <c r="U495" s="5"/>
      <c r="V495" s="5"/>
      <c r="W495" s="5"/>
      <c r="X495" s="5"/>
      <c r="Y495" s="5"/>
    </row>
    <row r="496" spans="1:25" ht="15" thickBot="1" x14ac:dyDescent="0.35">
      <c r="A496" s="27">
        <v>494</v>
      </c>
      <c r="B496" s="21">
        <v>495</v>
      </c>
      <c r="C496" s="22">
        <v>0.13639999999999999</v>
      </c>
      <c r="D496" s="21">
        <v>0.28000000000000003</v>
      </c>
      <c r="E496" s="21">
        <v>0.19400000000000001</v>
      </c>
      <c r="F496" s="21">
        <v>11</v>
      </c>
      <c r="G496" s="21">
        <v>72</v>
      </c>
      <c r="H496" s="23">
        <v>83</v>
      </c>
      <c r="I496" s="23">
        <v>0.13639999999999999</v>
      </c>
      <c r="J496" s="18"/>
      <c r="K496" s="5"/>
      <c r="L496" s="5"/>
      <c r="M496" s="5"/>
      <c r="N496" s="5"/>
      <c r="O496" s="5"/>
      <c r="P496" s="5"/>
      <c r="Q496" s="5"/>
      <c r="R496" s="5"/>
      <c r="S496" s="5"/>
      <c r="T496" s="5"/>
      <c r="U496" s="5"/>
      <c r="V496" s="5"/>
      <c r="W496" s="5"/>
      <c r="X496" s="5"/>
      <c r="Y496" s="5"/>
    </row>
    <row r="497" spans="1:25" ht="15" thickBot="1" x14ac:dyDescent="0.35">
      <c r="A497" s="27">
        <v>495</v>
      </c>
      <c r="B497" s="21">
        <v>496</v>
      </c>
      <c r="C497" s="22">
        <v>0.19700000000000001</v>
      </c>
      <c r="D497" s="21">
        <v>0.28000000000000003</v>
      </c>
      <c r="E497" s="22">
        <v>0.20485098360655737</v>
      </c>
      <c r="F497" s="21">
        <v>8</v>
      </c>
      <c r="G497" s="21">
        <v>59</v>
      </c>
      <c r="H497" s="23">
        <v>67</v>
      </c>
      <c r="I497" s="23">
        <v>0.19700000000000001</v>
      </c>
      <c r="J497" s="18"/>
      <c r="K497" s="5"/>
      <c r="L497" s="5"/>
      <c r="M497" s="5"/>
      <c r="N497" s="5"/>
      <c r="O497" s="5"/>
      <c r="P497" s="5"/>
      <c r="Q497" s="5"/>
      <c r="R497" s="5"/>
      <c r="S497" s="5"/>
      <c r="T497" s="5"/>
      <c r="U497" s="5"/>
      <c r="V497" s="5"/>
      <c r="W497" s="5"/>
      <c r="X497" s="5"/>
      <c r="Y497" s="5"/>
    </row>
    <row r="498" spans="1:25" ht="15" thickBot="1" x14ac:dyDescent="0.35">
      <c r="A498" s="27">
        <v>496</v>
      </c>
      <c r="B498" s="21">
        <v>497</v>
      </c>
      <c r="C498" s="22">
        <v>9.0899999999999995E-2</v>
      </c>
      <c r="D498" s="21">
        <v>0.35</v>
      </c>
      <c r="E498" s="21">
        <v>0.19400000000000001</v>
      </c>
      <c r="F498" s="21">
        <v>0</v>
      </c>
      <c r="G498" s="21">
        <v>54</v>
      </c>
      <c r="H498" s="23">
        <v>54</v>
      </c>
      <c r="I498" s="23">
        <v>9.0899999999999995E-2</v>
      </c>
      <c r="J498" s="18"/>
      <c r="K498" s="5"/>
      <c r="L498" s="5"/>
      <c r="M498" s="5"/>
      <c r="N498" s="5"/>
      <c r="O498" s="5"/>
      <c r="P498" s="5"/>
      <c r="Q498" s="5"/>
      <c r="R498" s="5"/>
      <c r="S498" s="5"/>
      <c r="T498" s="5"/>
      <c r="U498" s="5"/>
      <c r="V498" s="5"/>
      <c r="W498" s="5"/>
      <c r="X498" s="5"/>
      <c r="Y498" s="5"/>
    </row>
    <row r="499" spans="1:25" ht="15" thickBot="1" x14ac:dyDescent="0.35">
      <c r="A499" s="27">
        <v>497</v>
      </c>
      <c r="B499" s="21">
        <v>498</v>
      </c>
      <c r="C499" s="22">
        <v>0.1061</v>
      </c>
      <c r="D499" s="21">
        <v>0.35</v>
      </c>
      <c r="E499" s="21">
        <v>0.1343</v>
      </c>
      <c r="F499" s="21">
        <v>6</v>
      </c>
      <c r="G499" s="21">
        <v>53</v>
      </c>
      <c r="H499" s="23">
        <v>59</v>
      </c>
      <c r="I499" s="23">
        <v>0.1061</v>
      </c>
      <c r="J499" s="18"/>
      <c r="K499" s="5"/>
      <c r="L499" s="5"/>
      <c r="M499" s="5"/>
      <c r="N499" s="5"/>
      <c r="O499" s="5"/>
      <c r="P499" s="5"/>
      <c r="Q499" s="5"/>
      <c r="R499" s="5"/>
      <c r="S499" s="5"/>
      <c r="T499" s="5"/>
      <c r="U499" s="5"/>
      <c r="V499" s="5"/>
      <c r="W499" s="5"/>
      <c r="X499" s="5"/>
      <c r="Y499" s="5"/>
    </row>
    <row r="500" spans="1:25" ht="15" thickBot="1" x14ac:dyDescent="0.35">
      <c r="A500" s="27">
        <v>498</v>
      </c>
      <c r="B500" s="21">
        <v>499</v>
      </c>
      <c r="C500" s="22">
        <v>7.5800000000000006E-2</v>
      </c>
      <c r="D500" s="21">
        <v>0.45</v>
      </c>
      <c r="E500" s="21">
        <v>0.16420000000000001</v>
      </c>
      <c r="F500" s="21">
        <v>1</v>
      </c>
      <c r="G500" s="21">
        <v>44</v>
      </c>
      <c r="H500" s="23">
        <v>45</v>
      </c>
      <c r="I500" s="23">
        <v>7.5800000000000006E-2</v>
      </c>
      <c r="J500" s="18"/>
      <c r="K500" s="5"/>
      <c r="L500" s="5"/>
      <c r="M500" s="5"/>
      <c r="N500" s="5"/>
      <c r="O500" s="5"/>
      <c r="P500" s="5"/>
      <c r="Q500" s="5"/>
      <c r="R500" s="5"/>
      <c r="S500" s="5"/>
      <c r="T500" s="5"/>
      <c r="U500" s="5"/>
      <c r="V500" s="5"/>
      <c r="W500" s="5"/>
      <c r="X500" s="5"/>
      <c r="Y500" s="5"/>
    </row>
    <row r="501" spans="1:25" ht="15" thickBot="1" x14ac:dyDescent="0.35">
      <c r="A501" s="27">
        <v>499</v>
      </c>
      <c r="B501" s="21">
        <v>500</v>
      </c>
      <c r="C501" s="22">
        <v>0.1061</v>
      </c>
      <c r="D501" s="21">
        <v>0.41</v>
      </c>
      <c r="E501" s="21">
        <v>8.9599999999999999E-2</v>
      </c>
      <c r="F501" s="21">
        <v>0</v>
      </c>
      <c r="G501" s="21">
        <v>39</v>
      </c>
      <c r="H501" s="23">
        <v>39</v>
      </c>
      <c r="I501" s="23">
        <v>0.1061</v>
      </c>
      <c r="J501" s="18"/>
      <c r="K501" s="5"/>
      <c r="L501" s="5"/>
      <c r="M501" s="5"/>
      <c r="N501" s="5"/>
      <c r="O501" s="5"/>
      <c r="P501" s="5"/>
      <c r="Q501" s="5"/>
      <c r="R501" s="5"/>
      <c r="S501" s="5"/>
      <c r="T501" s="5"/>
      <c r="U501" s="5"/>
      <c r="V501" s="5"/>
      <c r="W501" s="5"/>
      <c r="X501" s="5"/>
      <c r="Y501" s="5"/>
    </row>
    <row r="502" spans="1:25" ht="15" thickBot="1" x14ac:dyDescent="0.35">
      <c r="A502" s="27">
        <v>500</v>
      </c>
      <c r="B502" s="21">
        <v>501</v>
      </c>
      <c r="C502" s="22">
        <v>0.1515</v>
      </c>
      <c r="D502" s="21">
        <v>0.49</v>
      </c>
      <c r="E502" s="22">
        <v>0.20485098360655737</v>
      </c>
      <c r="F502" s="21">
        <v>7</v>
      </c>
      <c r="G502" s="21">
        <v>23</v>
      </c>
      <c r="H502" s="23">
        <v>30</v>
      </c>
      <c r="I502" s="23">
        <v>0.1515</v>
      </c>
      <c r="J502" s="18"/>
      <c r="K502" s="5"/>
      <c r="L502" s="5"/>
      <c r="M502" s="5"/>
      <c r="N502" s="5"/>
      <c r="O502" s="5"/>
      <c r="P502" s="5"/>
      <c r="Q502" s="5"/>
      <c r="R502" s="5"/>
      <c r="S502" s="5"/>
      <c r="T502" s="5"/>
      <c r="U502" s="5"/>
      <c r="V502" s="5"/>
      <c r="W502" s="5"/>
      <c r="X502" s="5"/>
      <c r="Y502" s="5"/>
    </row>
    <row r="503" spans="1:25" ht="15" thickBot="1" x14ac:dyDescent="0.35">
      <c r="A503" s="27">
        <v>501</v>
      </c>
      <c r="B503" s="21">
        <v>502</v>
      </c>
      <c r="C503" s="22">
        <v>7.5800000000000006E-2</v>
      </c>
      <c r="D503" s="21">
        <v>0.56999999999999995</v>
      </c>
      <c r="E503" s="21">
        <v>0.1045</v>
      </c>
      <c r="F503" s="21">
        <v>2</v>
      </c>
      <c r="G503" s="21">
        <v>31</v>
      </c>
      <c r="H503" s="23">
        <v>33</v>
      </c>
      <c r="I503" s="23">
        <v>7.5800000000000006E-2</v>
      </c>
      <c r="J503" s="18"/>
      <c r="K503" s="5"/>
      <c r="L503" s="5"/>
      <c r="M503" s="5"/>
      <c r="N503" s="5"/>
      <c r="O503" s="5"/>
      <c r="P503" s="5"/>
      <c r="Q503" s="5"/>
      <c r="R503" s="5"/>
      <c r="S503" s="5"/>
      <c r="T503" s="5"/>
      <c r="U503" s="5"/>
      <c r="V503" s="5"/>
      <c r="W503" s="5"/>
      <c r="X503" s="5"/>
      <c r="Y503" s="5"/>
    </row>
    <row r="504" spans="1:25" ht="15" thickBot="1" x14ac:dyDescent="0.35">
      <c r="A504" s="27">
        <v>502</v>
      </c>
      <c r="B504" s="21">
        <v>503</v>
      </c>
      <c r="C504" s="22">
        <v>7.5800000000000006E-2</v>
      </c>
      <c r="D504" s="21">
        <v>0.56999999999999995</v>
      </c>
      <c r="E504" s="21">
        <v>0.1045</v>
      </c>
      <c r="F504" s="21">
        <v>2</v>
      </c>
      <c r="G504" s="21">
        <v>20</v>
      </c>
      <c r="H504" s="23">
        <v>22</v>
      </c>
      <c r="I504" s="23">
        <v>7.5800000000000006E-2</v>
      </c>
      <c r="J504" s="18"/>
      <c r="K504" s="5"/>
      <c r="L504" s="5"/>
      <c r="M504" s="5"/>
      <c r="N504" s="5"/>
      <c r="O504" s="5"/>
      <c r="P504" s="5"/>
      <c r="Q504" s="5"/>
      <c r="R504" s="5"/>
      <c r="S504" s="5"/>
      <c r="T504" s="5"/>
      <c r="U504" s="5"/>
      <c r="V504" s="5"/>
      <c r="W504" s="5"/>
      <c r="X504" s="5"/>
      <c r="Y504" s="5"/>
    </row>
    <row r="505" spans="1:25" ht="15" thickBot="1" x14ac:dyDescent="0.35">
      <c r="A505" s="27">
        <v>503</v>
      </c>
      <c r="B505" s="21">
        <v>504</v>
      </c>
      <c r="C505" s="22">
        <v>7.5800000000000006E-2</v>
      </c>
      <c r="D505" s="21">
        <v>0.56999999999999995</v>
      </c>
      <c r="E505" s="21">
        <v>0.1045</v>
      </c>
      <c r="F505" s="21">
        <v>1</v>
      </c>
      <c r="G505" s="21">
        <v>12</v>
      </c>
      <c r="H505" s="23">
        <v>13</v>
      </c>
      <c r="I505" s="23">
        <v>7.5800000000000006E-2</v>
      </c>
      <c r="J505" s="18"/>
      <c r="K505" s="5"/>
      <c r="L505" s="5"/>
      <c r="M505" s="5"/>
      <c r="N505" s="5"/>
      <c r="O505" s="5"/>
      <c r="P505" s="5"/>
      <c r="Q505" s="5"/>
      <c r="R505" s="5"/>
      <c r="S505" s="5"/>
      <c r="T505" s="5"/>
      <c r="U505" s="5"/>
      <c r="V505" s="5"/>
      <c r="W505" s="5"/>
      <c r="X505" s="5"/>
      <c r="Y505" s="5"/>
    </row>
    <row r="506" spans="1:25" ht="15" thickBot="1" x14ac:dyDescent="0.35">
      <c r="A506" s="27">
        <v>504</v>
      </c>
      <c r="B506" s="21">
        <v>505</v>
      </c>
      <c r="C506" s="22">
        <v>6.0600000000000001E-2</v>
      </c>
      <c r="D506" s="21">
        <v>0.62</v>
      </c>
      <c r="E506" s="21">
        <v>0.1343</v>
      </c>
      <c r="F506" s="21">
        <v>3</v>
      </c>
      <c r="G506" s="21">
        <v>15</v>
      </c>
      <c r="H506" s="23">
        <v>18</v>
      </c>
      <c r="I506" s="23">
        <v>6.0600000000000001E-2</v>
      </c>
      <c r="J506" s="18"/>
      <c r="K506" s="5"/>
      <c r="L506" s="5"/>
      <c r="M506" s="5"/>
      <c r="N506" s="5"/>
      <c r="O506" s="5"/>
      <c r="P506" s="5"/>
      <c r="Q506" s="5"/>
      <c r="R506" s="5"/>
      <c r="S506" s="5"/>
      <c r="T506" s="5"/>
      <c r="U506" s="5"/>
      <c r="V506" s="5"/>
      <c r="W506" s="5"/>
      <c r="X506" s="5"/>
      <c r="Y506" s="5"/>
    </row>
    <row r="507" spans="1:25" ht="15" thickBot="1" x14ac:dyDescent="0.35">
      <c r="A507" s="27">
        <v>505</v>
      </c>
      <c r="B507" s="21">
        <v>506</v>
      </c>
      <c r="C507" s="22">
        <v>6.0600000000000001E-2</v>
      </c>
      <c r="D507" s="21">
        <v>0.62</v>
      </c>
      <c r="E507" s="21">
        <v>0.1343</v>
      </c>
      <c r="F507" s="21">
        <v>1</v>
      </c>
      <c r="G507" s="21">
        <v>4</v>
      </c>
      <c r="H507" s="23">
        <v>5</v>
      </c>
      <c r="I507" s="23">
        <v>6.0600000000000001E-2</v>
      </c>
      <c r="J507" s="18"/>
      <c r="K507" s="5"/>
      <c r="L507" s="5"/>
      <c r="M507" s="5"/>
      <c r="N507" s="5"/>
      <c r="O507" s="5"/>
      <c r="P507" s="5"/>
      <c r="Q507" s="5"/>
      <c r="R507" s="5"/>
      <c r="S507" s="5"/>
      <c r="T507" s="5"/>
      <c r="U507" s="5"/>
      <c r="V507" s="5"/>
      <c r="W507" s="5"/>
      <c r="X507" s="5"/>
      <c r="Y507" s="5"/>
    </row>
    <row r="508" spans="1:25" ht="15" thickBot="1" x14ac:dyDescent="0.35">
      <c r="A508" s="27">
        <v>506</v>
      </c>
      <c r="B508" s="21">
        <v>507</v>
      </c>
      <c r="C508" s="22">
        <v>7.5800000000000006E-2</v>
      </c>
      <c r="D508" s="21">
        <v>0.56999999999999995</v>
      </c>
      <c r="E508" s="21">
        <v>0.1045</v>
      </c>
      <c r="F508" s="21">
        <v>0</v>
      </c>
      <c r="G508" s="21">
        <v>3</v>
      </c>
      <c r="H508" s="23">
        <v>3</v>
      </c>
      <c r="I508" s="23">
        <v>7.5800000000000006E-2</v>
      </c>
      <c r="J508" s="18"/>
      <c r="K508" s="5"/>
      <c r="L508" s="5"/>
      <c r="M508" s="5"/>
      <c r="N508" s="5"/>
      <c r="O508" s="5"/>
      <c r="P508" s="5"/>
      <c r="Q508" s="5"/>
      <c r="R508" s="5"/>
      <c r="S508" s="5"/>
      <c r="T508" s="5"/>
      <c r="U508" s="5"/>
      <c r="V508" s="5"/>
      <c r="W508" s="5"/>
      <c r="X508" s="5"/>
      <c r="Y508" s="5"/>
    </row>
    <row r="509" spans="1:25" ht="15" thickBot="1" x14ac:dyDescent="0.35">
      <c r="A509" s="27">
        <v>507</v>
      </c>
      <c r="B509" s="21">
        <v>508</v>
      </c>
      <c r="C509" s="22">
        <v>7.5800000000000006E-2</v>
      </c>
      <c r="D509" s="21">
        <v>0.56999999999999995</v>
      </c>
      <c r="E509" s="21">
        <v>0.1045</v>
      </c>
      <c r="F509" s="21">
        <v>0</v>
      </c>
      <c r="G509" s="21">
        <v>1</v>
      </c>
      <c r="H509" s="23">
        <v>1</v>
      </c>
      <c r="I509" s="23">
        <v>7.5800000000000006E-2</v>
      </c>
      <c r="J509" s="18"/>
      <c r="K509" s="5"/>
      <c r="L509" s="5"/>
      <c r="M509" s="5"/>
      <c r="N509" s="5"/>
      <c r="O509" s="5"/>
      <c r="P509" s="5"/>
      <c r="Q509" s="5"/>
      <c r="R509" s="5"/>
      <c r="S509" s="5"/>
      <c r="T509" s="5"/>
      <c r="U509" s="5"/>
      <c r="V509" s="5"/>
      <c r="W509" s="5"/>
      <c r="X509" s="5"/>
      <c r="Y509" s="5"/>
    </row>
    <row r="510" spans="1:25" ht="15" thickBot="1" x14ac:dyDescent="0.35">
      <c r="A510" s="27">
        <v>508</v>
      </c>
      <c r="B510" s="21">
        <v>509</v>
      </c>
      <c r="C510" s="22">
        <v>0.1061</v>
      </c>
      <c r="D510" s="21">
        <v>0.57999999999999996</v>
      </c>
      <c r="E510" s="21">
        <v>0.16420000000000001</v>
      </c>
      <c r="F510" s="21">
        <v>1</v>
      </c>
      <c r="G510" s="21">
        <v>1</v>
      </c>
      <c r="H510" s="23">
        <v>2</v>
      </c>
      <c r="I510" s="23">
        <v>0.1061</v>
      </c>
      <c r="J510" s="18"/>
      <c r="K510" s="5"/>
      <c r="L510" s="5"/>
      <c r="M510" s="5"/>
      <c r="N510" s="5"/>
      <c r="O510" s="5"/>
      <c r="P510" s="5"/>
      <c r="Q510" s="5"/>
      <c r="R510" s="5"/>
      <c r="S510" s="5"/>
      <c r="T510" s="5"/>
      <c r="U510" s="5"/>
      <c r="V510" s="5"/>
      <c r="W510" s="5"/>
      <c r="X510" s="5"/>
      <c r="Y510" s="5"/>
    </row>
    <row r="511" spans="1:25" ht="15" thickBot="1" x14ac:dyDescent="0.35">
      <c r="A511" s="27">
        <v>509</v>
      </c>
      <c r="B511" s="21">
        <v>510</v>
      </c>
      <c r="C511" s="22">
        <v>7.5800000000000006E-2</v>
      </c>
      <c r="D511" s="21">
        <v>0.62</v>
      </c>
      <c r="E511" s="21">
        <v>0.16420000000000001</v>
      </c>
      <c r="F511" s="21">
        <v>2</v>
      </c>
      <c r="G511" s="21">
        <v>17</v>
      </c>
      <c r="H511" s="23">
        <v>19</v>
      </c>
      <c r="I511" s="23">
        <v>7.5800000000000006E-2</v>
      </c>
      <c r="J511" s="18"/>
      <c r="K511" s="5"/>
      <c r="L511" s="5"/>
      <c r="M511" s="5"/>
      <c r="N511" s="5"/>
      <c r="O511" s="5"/>
      <c r="P511" s="5"/>
      <c r="Q511" s="5"/>
      <c r="R511" s="5"/>
      <c r="S511" s="5"/>
      <c r="T511" s="5"/>
      <c r="U511" s="5"/>
      <c r="V511" s="5"/>
      <c r="W511" s="5"/>
      <c r="X511" s="5"/>
      <c r="Y511" s="5"/>
    </row>
    <row r="512" spans="1:25" ht="15" thickBot="1" x14ac:dyDescent="0.35">
      <c r="A512" s="27">
        <v>510</v>
      </c>
      <c r="B512" s="21">
        <v>511</v>
      </c>
      <c r="C512" s="22">
        <v>7.5800000000000006E-2</v>
      </c>
      <c r="D512" s="21">
        <v>0.54</v>
      </c>
      <c r="E512" s="21">
        <v>0.35820000000000002</v>
      </c>
      <c r="F512" s="21">
        <v>3</v>
      </c>
      <c r="G512" s="21">
        <v>25</v>
      </c>
      <c r="H512" s="23">
        <v>28</v>
      </c>
      <c r="I512" s="23">
        <v>7.5800000000000006E-2</v>
      </c>
      <c r="J512" s="18"/>
      <c r="K512" s="5"/>
      <c r="L512" s="5"/>
      <c r="M512" s="5"/>
      <c r="N512" s="5"/>
      <c r="O512" s="5"/>
      <c r="P512" s="5"/>
      <c r="Q512" s="5"/>
      <c r="R512" s="5"/>
      <c r="S512" s="5"/>
      <c r="T512" s="5"/>
      <c r="U512" s="5"/>
      <c r="V512" s="5"/>
      <c r="W512" s="5"/>
      <c r="X512" s="5"/>
      <c r="Y512" s="5"/>
    </row>
    <row r="513" spans="1:25" ht="15" thickBot="1" x14ac:dyDescent="0.35">
      <c r="A513" s="27">
        <v>511</v>
      </c>
      <c r="B513" s="21">
        <v>512</v>
      </c>
      <c r="C513" s="22">
        <v>0.1061</v>
      </c>
      <c r="D513" s="21">
        <v>0.46</v>
      </c>
      <c r="E513" s="21">
        <v>0.3881</v>
      </c>
      <c r="F513" s="21">
        <v>7</v>
      </c>
      <c r="G513" s="21">
        <v>51</v>
      </c>
      <c r="H513" s="23">
        <v>58</v>
      </c>
      <c r="I513" s="23">
        <v>0.1061</v>
      </c>
      <c r="J513" s="18"/>
      <c r="K513" s="5"/>
      <c r="L513" s="5"/>
      <c r="M513" s="5"/>
      <c r="N513" s="5"/>
      <c r="O513" s="5"/>
      <c r="P513" s="5"/>
      <c r="Q513" s="5"/>
      <c r="R513" s="5"/>
      <c r="S513" s="5"/>
      <c r="T513" s="5"/>
      <c r="U513" s="5"/>
      <c r="V513" s="5"/>
      <c r="W513" s="5"/>
      <c r="X513" s="5"/>
      <c r="Y513" s="5"/>
    </row>
    <row r="514" spans="1:25" ht="15" thickBot="1" x14ac:dyDescent="0.35">
      <c r="A514" s="27">
        <v>512</v>
      </c>
      <c r="B514" s="21">
        <v>513</v>
      </c>
      <c r="C514" s="22">
        <v>0.13639999999999999</v>
      </c>
      <c r="D514" s="21">
        <v>0.43</v>
      </c>
      <c r="E514" s="21">
        <v>0.22389999999999999</v>
      </c>
      <c r="F514" s="21">
        <v>22</v>
      </c>
      <c r="G514" s="21">
        <v>77</v>
      </c>
      <c r="H514" s="23">
        <v>99</v>
      </c>
      <c r="I514" s="23">
        <v>0.13639999999999999</v>
      </c>
      <c r="J514" s="18"/>
      <c r="K514" s="5"/>
      <c r="L514" s="5"/>
      <c r="M514" s="5"/>
      <c r="N514" s="5"/>
      <c r="O514" s="5"/>
      <c r="P514" s="5"/>
      <c r="Q514" s="5"/>
      <c r="R514" s="5"/>
      <c r="S514" s="5"/>
      <c r="T514" s="5"/>
      <c r="U514" s="5"/>
      <c r="V514" s="5"/>
      <c r="W514" s="5"/>
      <c r="X514" s="5"/>
      <c r="Y514" s="5"/>
    </row>
    <row r="515" spans="1:25" ht="15" thickBot="1" x14ac:dyDescent="0.35">
      <c r="A515" s="27">
        <v>513</v>
      </c>
      <c r="B515" s="21">
        <v>514</v>
      </c>
      <c r="C515" s="22">
        <v>0.1212</v>
      </c>
      <c r="D515" s="21">
        <v>0.37</v>
      </c>
      <c r="E515" s="21">
        <v>0.4627</v>
      </c>
      <c r="F515" s="21">
        <v>24</v>
      </c>
      <c r="G515" s="21">
        <v>92</v>
      </c>
      <c r="H515" s="23">
        <v>116</v>
      </c>
      <c r="I515" s="23">
        <v>0.1212</v>
      </c>
      <c r="J515" s="18"/>
      <c r="K515" s="5"/>
      <c r="L515" s="5"/>
      <c r="M515" s="5"/>
      <c r="N515" s="5"/>
      <c r="O515" s="5"/>
      <c r="P515" s="5"/>
      <c r="Q515" s="5"/>
      <c r="R515" s="5"/>
      <c r="S515" s="5"/>
      <c r="T515" s="5"/>
      <c r="U515" s="5"/>
      <c r="V515" s="5"/>
      <c r="W515" s="5"/>
      <c r="X515" s="5"/>
      <c r="Y515" s="5"/>
    </row>
    <row r="516" spans="1:25" ht="15" thickBot="1" x14ac:dyDescent="0.35">
      <c r="A516" s="27">
        <v>514</v>
      </c>
      <c r="B516" s="21">
        <v>515</v>
      </c>
      <c r="C516" s="22">
        <v>0.1061</v>
      </c>
      <c r="D516" s="21">
        <v>0.33</v>
      </c>
      <c r="E516" s="21">
        <v>0.3881</v>
      </c>
      <c r="F516" s="21">
        <v>12</v>
      </c>
      <c r="G516" s="21">
        <v>75</v>
      </c>
      <c r="H516" s="23">
        <v>87</v>
      </c>
      <c r="I516" s="23">
        <v>0.1061</v>
      </c>
      <c r="J516" s="18"/>
      <c r="K516" s="5"/>
      <c r="L516" s="5"/>
      <c r="M516" s="5"/>
      <c r="N516" s="5"/>
      <c r="O516" s="5"/>
      <c r="P516" s="5"/>
      <c r="Q516" s="5"/>
      <c r="R516" s="5"/>
      <c r="S516" s="5"/>
      <c r="T516" s="5"/>
      <c r="U516" s="5"/>
      <c r="V516" s="5"/>
      <c r="W516" s="5"/>
      <c r="X516" s="5"/>
      <c r="Y516" s="5"/>
    </row>
    <row r="517" spans="1:25" ht="15" thickBot="1" x14ac:dyDescent="0.35">
      <c r="A517" s="27">
        <v>515</v>
      </c>
      <c r="B517" s="21">
        <v>516</v>
      </c>
      <c r="C517" s="22">
        <v>0.13639999999999999</v>
      </c>
      <c r="D517" s="21">
        <v>0.28000000000000003</v>
      </c>
      <c r="E517" s="21">
        <v>0.35820000000000002</v>
      </c>
      <c r="F517" s="21">
        <v>17</v>
      </c>
      <c r="G517" s="21">
        <v>93</v>
      </c>
      <c r="H517" s="23">
        <v>110</v>
      </c>
      <c r="I517" s="23">
        <v>0.13639999999999999</v>
      </c>
      <c r="J517" s="18"/>
      <c r="K517" s="5"/>
      <c r="L517" s="5"/>
      <c r="M517" s="5"/>
      <c r="N517" s="5"/>
      <c r="O517" s="5"/>
      <c r="P517" s="5"/>
      <c r="Q517" s="5"/>
      <c r="R517" s="5"/>
      <c r="S517" s="5"/>
      <c r="T517" s="5"/>
      <c r="U517" s="5"/>
      <c r="V517" s="5"/>
      <c r="W517" s="5"/>
      <c r="X517" s="5"/>
      <c r="Y517" s="5"/>
    </row>
    <row r="518" spans="1:25" ht="15" thickBot="1" x14ac:dyDescent="0.35">
      <c r="A518" s="27">
        <v>516</v>
      </c>
      <c r="B518" s="21">
        <v>517</v>
      </c>
      <c r="C518" s="22">
        <v>0.13639999999999999</v>
      </c>
      <c r="D518" s="21">
        <v>0.28000000000000003</v>
      </c>
      <c r="E518" s="21">
        <v>0.35820000000000002</v>
      </c>
      <c r="F518" s="21">
        <v>13</v>
      </c>
      <c r="G518" s="21">
        <v>64</v>
      </c>
      <c r="H518" s="23">
        <v>77</v>
      </c>
      <c r="I518" s="23">
        <v>0.13639999999999999</v>
      </c>
      <c r="J518" s="18"/>
      <c r="K518" s="5"/>
      <c r="L518" s="5"/>
      <c r="M518" s="5"/>
      <c r="N518" s="5"/>
      <c r="O518" s="5"/>
      <c r="P518" s="5"/>
      <c r="Q518" s="5"/>
      <c r="R518" s="5"/>
      <c r="S518" s="5"/>
      <c r="T518" s="5"/>
      <c r="U518" s="5"/>
      <c r="V518" s="5"/>
      <c r="W518" s="5"/>
      <c r="X518" s="5"/>
      <c r="Y518" s="5"/>
    </row>
    <row r="519" spans="1:25" ht="15" thickBot="1" x14ac:dyDescent="0.35">
      <c r="A519" s="27">
        <v>517</v>
      </c>
      <c r="B519" s="21">
        <v>518</v>
      </c>
      <c r="C519" s="22">
        <v>0.13639999999999999</v>
      </c>
      <c r="D519" s="21">
        <v>0.26</v>
      </c>
      <c r="E519" s="21">
        <v>0.32840000000000003</v>
      </c>
      <c r="F519" s="21">
        <v>9</v>
      </c>
      <c r="G519" s="21">
        <v>56</v>
      </c>
      <c r="H519" s="23">
        <v>65</v>
      </c>
      <c r="I519" s="23">
        <v>0.13639999999999999</v>
      </c>
      <c r="J519" s="18"/>
      <c r="K519" s="5"/>
      <c r="L519" s="5"/>
      <c r="M519" s="5"/>
      <c r="N519" s="5"/>
      <c r="O519" s="5"/>
      <c r="P519" s="5"/>
      <c r="Q519" s="5"/>
      <c r="R519" s="5"/>
      <c r="S519" s="5"/>
      <c r="T519" s="5"/>
      <c r="U519" s="5"/>
      <c r="V519" s="5"/>
      <c r="W519" s="5"/>
      <c r="X519" s="5"/>
      <c r="Y519" s="5"/>
    </row>
    <row r="520" spans="1:25" ht="15" thickBot="1" x14ac:dyDescent="0.35">
      <c r="A520" s="27">
        <v>518</v>
      </c>
      <c r="B520" s="21">
        <v>519</v>
      </c>
      <c r="C520" s="22">
        <v>0.1061</v>
      </c>
      <c r="D520" s="21">
        <v>0.26</v>
      </c>
      <c r="E520" s="21">
        <v>0.3881</v>
      </c>
      <c r="F520" s="21">
        <v>5</v>
      </c>
      <c r="G520" s="21">
        <v>50</v>
      </c>
      <c r="H520" s="23">
        <v>55</v>
      </c>
      <c r="I520" s="23">
        <v>0.1061</v>
      </c>
      <c r="J520" s="18"/>
      <c r="K520" s="5"/>
      <c r="L520" s="5"/>
      <c r="M520" s="5"/>
      <c r="N520" s="5"/>
      <c r="O520" s="5"/>
      <c r="P520" s="5"/>
      <c r="Q520" s="5"/>
      <c r="R520" s="5"/>
      <c r="S520" s="5"/>
      <c r="T520" s="5"/>
      <c r="U520" s="5"/>
      <c r="V520" s="5"/>
      <c r="W520" s="5"/>
      <c r="X520" s="5"/>
      <c r="Y520" s="5"/>
    </row>
    <row r="521" spans="1:25" ht="15" thickBot="1" x14ac:dyDescent="0.35">
      <c r="A521" s="27">
        <v>519</v>
      </c>
      <c r="B521" s="21">
        <v>520</v>
      </c>
      <c r="C521" s="22">
        <v>0.1212</v>
      </c>
      <c r="D521" s="21">
        <v>0.3</v>
      </c>
      <c r="E521" s="21">
        <v>0.25369999999999998</v>
      </c>
      <c r="F521" s="21">
        <v>5</v>
      </c>
      <c r="G521" s="21">
        <v>44</v>
      </c>
      <c r="H521" s="23">
        <v>49</v>
      </c>
      <c r="I521" s="23">
        <v>0.1212</v>
      </c>
      <c r="J521" s="18"/>
      <c r="K521" s="5"/>
      <c r="L521" s="5"/>
      <c r="M521" s="5"/>
      <c r="N521" s="5"/>
      <c r="O521" s="5"/>
      <c r="P521" s="5"/>
      <c r="Q521" s="5"/>
      <c r="R521" s="5"/>
      <c r="S521" s="5"/>
      <c r="T521" s="5"/>
      <c r="U521" s="5"/>
      <c r="V521" s="5"/>
      <c r="W521" s="5"/>
      <c r="X521" s="5"/>
      <c r="Y521" s="5"/>
    </row>
    <row r="522" spans="1:25" ht="15" thickBot="1" x14ac:dyDescent="0.35">
      <c r="A522" s="27">
        <v>520</v>
      </c>
      <c r="B522" s="21">
        <v>521</v>
      </c>
      <c r="C522" s="22">
        <v>0.1212</v>
      </c>
      <c r="D522" s="21">
        <v>0.3</v>
      </c>
      <c r="E522" s="21">
        <v>0.28360000000000002</v>
      </c>
      <c r="F522" s="21">
        <v>5</v>
      </c>
      <c r="G522" s="21">
        <v>45</v>
      </c>
      <c r="H522" s="23">
        <v>50</v>
      </c>
      <c r="I522" s="23">
        <v>0.1212</v>
      </c>
      <c r="J522" s="18"/>
      <c r="K522" s="5"/>
      <c r="L522" s="5"/>
      <c r="M522" s="5"/>
      <c r="N522" s="5"/>
      <c r="O522" s="5"/>
      <c r="P522" s="5"/>
      <c r="Q522" s="5"/>
      <c r="R522" s="5"/>
      <c r="S522" s="5"/>
      <c r="T522" s="5"/>
      <c r="U522" s="5"/>
      <c r="V522" s="5"/>
      <c r="W522" s="5"/>
      <c r="X522" s="5"/>
      <c r="Y522" s="5"/>
    </row>
    <row r="523" spans="1:25" ht="15" thickBot="1" x14ac:dyDescent="0.35">
      <c r="A523" s="27">
        <v>521</v>
      </c>
      <c r="B523" s="21">
        <v>522</v>
      </c>
      <c r="C523" s="22">
        <v>0.1061</v>
      </c>
      <c r="D523" s="21">
        <v>0.36</v>
      </c>
      <c r="E523" s="21">
        <v>0.25369999999999998</v>
      </c>
      <c r="F523" s="21">
        <v>4</v>
      </c>
      <c r="G523" s="21">
        <v>31</v>
      </c>
      <c r="H523" s="23">
        <v>35</v>
      </c>
      <c r="I523" s="23">
        <v>0.1061</v>
      </c>
      <c r="J523" s="18"/>
      <c r="K523" s="5"/>
      <c r="L523" s="5"/>
      <c r="M523" s="5"/>
      <c r="N523" s="5"/>
      <c r="O523" s="5"/>
      <c r="P523" s="5"/>
      <c r="Q523" s="5"/>
      <c r="R523" s="5"/>
      <c r="S523" s="5"/>
      <c r="T523" s="5"/>
      <c r="U523" s="5"/>
      <c r="V523" s="5"/>
      <c r="W523" s="5"/>
      <c r="X523" s="5"/>
      <c r="Y523" s="5"/>
    </row>
    <row r="524" spans="1:25" ht="15" thickBot="1" x14ac:dyDescent="0.35">
      <c r="A524" s="27">
        <v>522</v>
      </c>
      <c r="B524" s="21">
        <v>523</v>
      </c>
      <c r="C524" s="22">
        <v>0.1061</v>
      </c>
      <c r="D524" s="21">
        <v>0.36</v>
      </c>
      <c r="E524" s="21">
        <v>0.19400000000000001</v>
      </c>
      <c r="F524" s="21">
        <v>5</v>
      </c>
      <c r="G524" s="21">
        <v>20</v>
      </c>
      <c r="H524" s="23">
        <v>25</v>
      </c>
      <c r="I524" s="23">
        <v>0.1061</v>
      </c>
      <c r="J524" s="18"/>
      <c r="K524" s="5"/>
      <c r="L524" s="5"/>
      <c r="M524" s="5"/>
      <c r="N524" s="5"/>
      <c r="O524" s="5"/>
      <c r="P524" s="5"/>
      <c r="Q524" s="5"/>
      <c r="R524" s="5"/>
      <c r="S524" s="5"/>
      <c r="T524" s="5"/>
      <c r="U524" s="5"/>
      <c r="V524" s="5"/>
      <c r="W524" s="5"/>
      <c r="X524" s="5"/>
      <c r="Y524" s="5"/>
    </row>
    <row r="525" spans="1:25" ht="15" thickBot="1" x14ac:dyDescent="0.35">
      <c r="A525" s="27">
        <v>523</v>
      </c>
      <c r="B525" s="21">
        <v>524</v>
      </c>
      <c r="C525" s="22">
        <v>9.0899999999999995E-2</v>
      </c>
      <c r="D525" s="21">
        <v>0.38</v>
      </c>
      <c r="E525" s="21">
        <v>0.19400000000000001</v>
      </c>
      <c r="F525" s="21">
        <v>5</v>
      </c>
      <c r="G525" s="21">
        <v>23</v>
      </c>
      <c r="H525" s="23">
        <v>28</v>
      </c>
      <c r="I525" s="23">
        <v>9.0899999999999995E-2</v>
      </c>
      <c r="J525" s="18"/>
      <c r="K525" s="5"/>
      <c r="L525" s="5"/>
      <c r="M525" s="5"/>
      <c r="N525" s="5"/>
      <c r="O525" s="5"/>
      <c r="P525" s="5"/>
      <c r="Q525" s="5"/>
      <c r="R525" s="5"/>
      <c r="S525" s="5"/>
      <c r="T525" s="5"/>
      <c r="U525" s="5"/>
      <c r="V525" s="5"/>
      <c r="W525" s="5"/>
      <c r="X525" s="5"/>
      <c r="Y525" s="5"/>
    </row>
    <row r="526" spans="1:25" ht="15" thickBot="1" x14ac:dyDescent="0.35">
      <c r="A526" s="27">
        <v>524</v>
      </c>
      <c r="B526" s="21">
        <v>525</v>
      </c>
      <c r="C526" s="22">
        <v>6.0600000000000001E-2</v>
      </c>
      <c r="D526" s="21">
        <v>0.41</v>
      </c>
      <c r="E526" s="21">
        <v>0.22389999999999999</v>
      </c>
      <c r="F526" s="21">
        <v>4</v>
      </c>
      <c r="G526" s="21">
        <v>17</v>
      </c>
      <c r="H526" s="23">
        <v>21</v>
      </c>
      <c r="I526" s="23">
        <v>6.0600000000000001E-2</v>
      </c>
      <c r="J526" s="18"/>
      <c r="K526" s="5"/>
      <c r="L526" s="5"/>
      <c r="M526" s="5"/>
      <c r="N526" s="5"/>
      <c r="O526" s="5"/>
      <c r="P526" s="5"/>
      <c r="Q526" s="5"/>
      <c r="R526" s="5"/>
      <c r="S526" s="5"/>
      <c r="T526" s="5"/>
      <c r="U526" s="5"/>
      <c r="V526" s="5"/>
      <c r="W526" s="5"/>
      <c r="X526" s="5"/>
      <c r="Y526" s="5"/>
    </row>
    <row r="527" spans="1:25" ht="15" thickBot="1" x14ac:dyDescent="0.35">
      <c r="A527" s="27">
        <v>525</v>
      </c>
      <c r="B527" s="21">
        <v>526</v>
      </c>
      <c r="C527" s="22">
        <v>6.0600000000000001E-2</v>
      </c>
      <c r="D527" s="21">
        <v>0.41</v>
      </c>
      <c r="E527" s="21">
        <v>0.19400000000000001</v>
      </c>
      <c r="F527" s="21">
        <v>0</v>
      </c>
      <c r="G527" s="21">
        <v>7</v>
      </c>
      <c r="H527" s="23">
        <v>7</v>
      </c>
      <c r="I527" s="23">
        <v>6.0600000000000001E-2</v>
      </c>
      <c r="J527" s="18"/>
      <c r="K527" s="5"/>
      <c r="L527" s="5"/>
      <c r="M527" s="5"/>
      <c r="N527" s="5"/>
      <c r="O527" s="5"/>
      <c r="P527" s="5"/>
      <c r="Q527" s="5"/>
      <c r="R527" s="5"/>
      <c r="S527" s="5"/>
      <c r="T527" s="5"/>
      <c r="U527" s="5"/>
      <c r="V527" s="5"/>
      <c r="W527" s="5"/>
      <c r="X527" s="5"/>
      <c r="Y527" s="5"/>
    </row>
    <row r="528" spans="1:25" ht="15" thickBot="1" x14ac:dyDescent="0.35">
      <c r="A528" s="27">
        <v>526</v>
      </c>
      <c r="B528" s="21">
        <v>527</v>
      </c>
      <c r="C528" s="22">
        <v>4.5499999999999999E-2</v>
      </c>
      <c r="D528" s="21">
        <v>0.45</v>
      </c>
      <c r="E528" s="21">
        <v>0.19400000000000001</v>
      </c>
      <c r="F528" s="21">
        <v>0</v>
      </c>
      <c r="G528" s="21">
        <v>1</v>
      </c>
      <c r="H528" s="23">
        <v>1</v>
      </c>
      <c r="I528" s="23">
        <v>4.5499999999999999E-2</v>
      </c>
      <c r="J528" s="18"/>
      <c r="K528" s="5"/>
      <c r="L528" s="5"/>
      <c r="M528" s="5"/>
      <c r="N528" s="5"/>
      <c r="O528" s="5"/>
      <c r="P528" s="5"/>
      <c r="Q528" s="5"/>
      <c r="R528" s="5"/>
      <c r="S528" s="5"/>
      <c r="T528" s="5"/>
      <c r="U528" s="5"/>
      <c r="V528" s="5"/>
      <c r="W528" s="5"/>
      <c r="X528" s="5"/>
      <c r="Y528" s="5"/>
    </row>
    <row r="529" spans="1:25" ht="15" thickBot="1" x14ac:dyDescent="0.35">
      <c r="A529" s="27">
        <v>527</v>
      </c>
      <c r="B529" s="21">
        <v>528</v>
      </c>
      <c r="C529" s="22">
        <v>3.0300000000000001E-2</v>
      </c>
      <c r="D529" s="21">
        <v>0.45</v>
      </c>
      <c r="E529" s="21">
        <v>0.25369999999999998</v>
      </c>
      <c r="F529" s="21">
        <v>0</v>
      </c>
      <c r="G529" s="21">
        <v>1</v>
      </c>
      <c r="H529" s="23">
        <v>1</v>
      </c>
      <c r="I529" s="23">
        <v>3.0300000000000001E-2</v>
      </c>
      <c r="J529" s="18"/>
      <c r="K529" s="5"/>
      <c r="L529" s="5"/>
      <c r="M529" s="5"/>
      <c r="N529" s="5"/>
      <c r="O529" s="5"/>
      <c r="P529" s="5"/>
      <c r="Q529" s="5"/>
      <c r="R529" s="5"/>
      <c r="S529" s="5"/>
      <c r="T529" s="5"/>
      <c r="U529" s="5"/>
      <c r="V529" s="5"/>
      <c r="W529" s="5"/>
      <c r="X529" s="5"/>
      <c r="Y529" s="5"/>
    </row>
    <row r="530" spans="1:25" ht="15" thickBot="1" x14ac:dyDescent="0.35">
      <c r="A530" s="27">
        <v>528</v>
      </c>
      <c r="B530" s="21">
        <v>529</v>
      </c>
      <c r="C530" s="22">
        <v>6.0600000000000001E-2</v>
      </c>
      <c r="D530" s="21">
        <v>0.48</v>
      </c>
      <c r="E530" s="21">
        <v>0.1343</v>
      </c>
      <c r="F530" s="21">
        <v>0</v>
      </c>
      <c r="G530" s="21">
        <v>1</v>
      </c>
      <c r="H530" s="23">
        <v>1</v>
      </c>
      <c r="I530" s="23">
        <v>6.0600000000000001E-2</v>
      </c>
      <c r="J530" s="18"/>
      <c r="K530" s="5"/>
      <c r="L530" s="5"/>
      <c r="M530" s="5"/>
      <c r="N530" s="5"/>
      <c r="O530" s="5"/>
      <c r="P530" s="5"/>
      <c r="Q530" s="5"/>
      <c r="R530" s="5"/>
      <c r="S530" s="5"/>
      <c r="T530" s="5"/>
      <c r="U530" s="5"/>
      <c r="V530" s="5"/>
      <c r="W530" s="5"/>
      <c r="X530" s="5"/>
      <c r="Y530" s="5"/>
    </row>
    <row r="531" spans="1:25" ht="15" thickBot="1" x14ac:dyDescent="0.35">
      <c r="A531" s="27">
        <v>529</v>
      </c>
      <c r="B531" s="21">
        <v>530</v>
      </c>
      <c r="C531" s="22">
        <v>6.0600000000000001E-2</v>
      </c>
      <c r="D531" s="21">
        <v>0.48</v>
      </c>
      <c r="E531" s="21">
        <v>0.1343</v>
      </c>
      <c r="F531" s="21">
        <v>0</v>
      </c>
      <c r="G531" s="21">
        <v>5</v>
      </c>
      <c r="H531" s="23">
        <v>5</v>
      </c>
      <c r="I531" s="23">
        <v>6.0600000000000001E-2</v>
      </c>
      <c r="J531" s="18"/>
      <c r="K531" s="5"/>
      <c r="L531" s="5"/>
      <c r="M531" s="5"/>
      <c r="N531" s="5"/>
      <c r="O531" s="5"/>
      <c r="P531" s="5"/>
      <c r="Q531" s="5"/>
      <c r="R531" s="5"/>
      <c r="S531" s="5"/>
      <c r="T531" s="5"/>
      <c r="U531" s="5"/>
      <c r="V531" s="5"/>
      <c r="W531" s="5"/>
      <c r="X531" s="5"/>
      <c r="Y531" s="5"/>
    </row>
    <row r="532" spans="1:25" ht="15" thickBot="1" x14ac:dyDescent="0.35">
      <c r="A532" s="27">
        <v>530</v>
      </c>
      <c r="B532" s="21">
        <v>531</v>
      </c>
      <c r="C532" s="22">
        <v>7.5800000000000006E-2</v>
      </c>
      <c r="D532" s="21">
        <v>0.48</v>
      </c>
      <c r="E532" s="21">
        <v>8.9599999999999999E-2</v>
      </c>
      <c r="F532" s="21">
        <v>0</v>
      </c>
      <c r="G532" s="21">
        <v>15</v>
      </c>
      <c r="H532" s="23">
        <v>15</v>
      </c>
      <c r="I532" s="23">
        <v>7.5800000000000006E-2</v>
      </c>
      <c r="J532" s="18"/>
      <c r="K532" s="5"/>
      <c r="L532" s="5"/>
      <c r="M532" s="5"/>
      <c r="N532" s="5"/>
      <c r="O532" s="5"/>
      <c r="P532" s="5"/>
      <c r="Q532" s="5"/>
      <c r="R532" s="5"/>
      <c r="S532" s="5"/>
      <c r="T532" s="5"/>
      <c r="U532" s="5"/>
      <c r="V532" s="5"/>
      <c r="W532" s="5"/>
      <c r="X532" s="5"/>
      <c r="Y532" s="5"/>
    </row>
    <row r="533" spans="1:25" ht="15" thickBot="1" x14ac:dyDescent="0.35">
      <c r="A533" s="27">
        <v>531</v>
      </c>
      <c r="B533" s="21">
        <v>532</v>
      </c>
      <c r="C533" s="22">
        <v>0.1212</v>
      </c>
      <c r="D533" s="21">
        <v>0.48</v>
      </c>
      <c r="E533" s="22">
        <v>0.20485098360655737</v>
      </c>
      <c r="F533" s="21">
        <v>5</v>
      </c>
      <c r="G533" s="21">
        <v>79</v>
      </c>
      <c r="H533" s="23">
        <v>84</v>
      </c>
      <c r="I533" s="23">
        <v>0.1212</v>
      </c>
      <c r="J533" s="18"/>
      <c r="K533" s="5"/>
      <c r="L533" s="5"/>
      <c r="M533" s="5"/>
      <c r="N533" s="5"/>
      <c r="O533" s="5"/>
      <c r="P533" s="5"/>
      <c r="Q533" s="5"/>
      <c r="R533" s="5"/>
      <c r="S533" s="5"/>
      <c r="T533" s="5"/>
      <c r="U533" s="5"/>
      <c r="V533" s="5"/>
      <c r="W533" s="5"/>
      <c r="X533" s="5"/>
      <c r="Y533" s="5"/>
    </row>
    <row r="534" spans="1:25" ht="15" thickBot="1" x14ac:dyDescent="0.35">
      <c r="A534" s="27">
        <v>532</v>
      </c>
      <c r="B534" s="21">
        <v>533</v>
      </c>
      <c r="C534" s="22">
        <v>0.13639999999999999</v>
      </c>
      <c r="D534" s="21">
        <v>0.49</v>
      </c>
      <c r="E534" s="22">
        <v>0.20485098360655737</v>
      </c>
      <c r="F534" s="21">
        <v>6</v>
      </c>
      <c r="G534" s="21">
        <v>171</v>
      </c>
      <c r="H534" s="23">
        <v>177</v>
      </c>
      <c r="I534" s="23">
        <v>0.13639999999999999</v>
      </c>
      <c r="J534" s="18"/>
      <c r="K534" s="5"/>
      <c r="L534" s="5"/>
      <c r="M534" s="5"/>
      <c r="N534" s="5"/>
      <c r="O534" s="5"/>
      <c r="P534" s="5"/>
      <c r="Q534" s="5"/>
      <c r="R534" s="5"/>
      <c r="S534" s="5"/>
      <c r="T534" s="5"/>
      <c r="U534" s="5"/>
      <c r="V534" s="5"/>
      <c r="W534" s="5"/>
      <c r="X534" s="5"/>
      <c r="Y534" s="5"/>
    </row>
    <row r="535" spans="1:25" ht="15" thickBot="1" x14ac:dyDescent="0.35">
      <c r="A535" s="27">
        <v>533</v>
      </c>
      <c r="B535" s="21">
        <v>534</v>
      </c>
      <c r="C535" s="22">
        <v>0.1515</v>
      </c>
      <c r="D535" s="21">
        <v>0.41</v>
      </c>
      <c r="E535" s="22">
        <v>0.20485098360655737</v>
      </c>
      <c r="F535" s="21">
        <v>4</v>
      </c>
      <c r="G535" s="21">
        <v>98</v>
      </c>
      <c r="H535" s="23">
        <v>102</v>
      </c>
      <c r="I535" s="23">
        <v>0.1515</v>
      </c>
      <c r="J535" s="18"/>
      <c r="K535" s="5"/>
      <c r="L535" s="5"/>
      <c r="M535" s="5"/>
      <c r="N535" s="5"/>
      <c r="O535" s="5"/>
      <c r="P535" s="5"/>
      <c r="Q535" s="5"/>
      <c r="R535" s="5"/>
      <c r="S535" s="5"/>
      <c r="T535" s="5"/>
      <c r="U535" s="5"/>
      <c r="V535" s="5"/>
      <c r="W535" s="5"/>
      <c r="X535" s="5"/>
      <c r="Y535" s="5"/>
    </row>
    <row r="536" spans="1:25" ht="15" thickBot="1" x14ac:dyDescent="0.35">
      <c r="A536" s="27">
        <v>534</v>
      </c>
      <c r="B536" s="21">
        <v>535</v>
      </c>
      <c r="C536" s="22">
        <v>0.13639999999999999</v>
      </c>
      <c r="D536" s="21">
        <v>0.42</v>
      </c>
      <c r="E536" s="22">
        <v>0.20485098360655737</v>
      </c>
      <c r="F536" s="21">
        <v>6</v>
      </c>
      <c r="G536" s="21">
        <v>34</v>
      </c>
      <c r="H536" s="23">
        <v>40</v>
      </c>
      <c r="I536" s="23">
        <v>0.13639999999999999</v>
      </c>
      <c r="J536" s="18"/>
      <c r="K536" s="5"/>
      <c r="L536" s="5"/>
      <c r="M536" s="5"/>
      <c r="N536" s="5"/>
      <c r="O536" s="5"/>
      <c r="P536" s="5"/>
      <c r="Q536" s="5"/>
      <c r="R536" s="5"/>
      <c r="S536" s="5"/>
      <c r="T536" s="5"/>
      <c r="U536" s="5"/>
      <c r="V536" s="5"/>
      <c r="W536" s="5"/>
      <c r="X536" s="5"/>
      <c r="Y536" s="5"/>
    </row>
    <row r="537" spans="1:25" ht="15" thickBot="1" x14ac:dyDescent="0.35">
      <c r="A537" s="27">
        <v>535</v>
      </c>
      <c r="B537" s="21">
        <v>536</v>
      </c>
      <c r="C537" s="22">
        <v>0.1212</v>
      </c>
      <c r="D537" s="21">
        <v>0.46</v>
      </c>
      <c r="E537" s="21">
        <v>0.1343</v>
      </c>
      <c r="F537" s="21">
        <v>3</v>
      </c>
      <c r="G537" s="21">
        <v>43</v>
      </c>
      <c r="H537" s="23">
        <v>46</v>
      </c>
      <c r="I537" s="23">
        <v>0.1212</v>
      </c>
      <c r="J537" s="18"/>
      <c r="K537" s="5"/>
      <c r="L537" s="5"/>
      <c r="M537" s="5"/>
      <c r="N537" s="5"/>
      <c r="O537" s="5"/>
      <c r="P537" s="5"/>
      <c r="Q537" s="5"/>
      <c r="R537" s="5"/>
      <c r="S537" s="5"/>
      <c r="T537" s="5"/>
      <c r="U537" s="5"/>
      <c r="V537" s="5"/>
      <c r="W537" s="5"/>
      <c r="X537" s="5"/>
      <c r="Y537" s="5"/>
    </row>
    <row r="538" spans="1:25" ht="15" thickBot="1" x14ac:dyDescent="0.35">
      <c r="A538" s="27">
        <v>536</v>
      </c>
      <c r="B538" s="21">
        <v>537</v>
      </c>
      <c r="C538" s="22">
        <v>0.13639999999999999</v>
      </c>
      <c r="D538" s="21">
        <v>0.42</v>
      </c>
      <c r="E538" s="21">
        <v>0.19400000000000001</v>
      </c>
      <c r="F538" s="21">
        <v>11</v>
      </c>
      <c r="G538" s="21">
        <v>52</v>
      </c>
      <c r="H538" s="23">
        <v>63</v>
      </c>
      <c r="I538" s="23">
        <v>0.13639999999999999</v>
      </c>
      <c r="J538" s="18"/>
      <c r="K538" s="5"/>
      <c r="L538" s="5"/>
      <c r="M538" s="5"/>
      <c r="N538" s="5"/>
      <c r="O538" s="5"/>
      <c r="P538" s="5"/>
      <c r="Q538" s="5"/>
      <c r="R538" s="5"/>
      <c r="S538" s="5"/>
      <c r="T538" s="5"/>
      <c r="U538" s="5"/>
      <c r="V538" s="5"/>
      <c r="W538" s="5"/>
      <c r="X538" s="5"/>
      <c r="Y538" s="5"/>
    </row>
    <row r="539" spans="1:25" ht="15" thickBot="1" x14ac:dyDescent="0.35">
      <c r="A539" s="27">
        <v>537</v>
      </c>
      <c r="B539" s="21">
        <v>538</v>
      </c>
      <c r="C539" s="22">
        <v>0.13639999999999999</v>
      </c>
      <c r="D539" s="21">
        <v>0.43</v>
      </c>
      <c r="E539" s="21">
        <v>0.22389999999999999</v>
      </c>
      <c r="F539" s="21">
        <v>6</v>
      </c>
      <c r="G539" s="21">
        <v>54</v>
      </c>
      <c r="H539" s="23">
        <v>60</v>
      </c>
      <c r="I539" s="23">
        <v>0.13639999999999999</v>
      </c>
      <c r="J539" s="18"/>
      <c r="K539" s="5"/>
      <c r="L539" s="5"/>
      <c r="M539" s="5"/>
      <c r="N539" s="5"/>
      <c r="O539" s="5"/>
      <c r="P539" s="5"/>
      <c r="Q539" s="5"/>
      <c r="R539" s="5"/>
      <c r="S539" s="5"/>
      <c r="T539" s="5"/>
      <c r="U539" s="5"/>
      <c r="V539" s="5"/>
      <c r="W539" s="5"/>
      <c r="X539" s="5"/>
      <c r="Y539" s="5"/>
    </row>
    <row r="540" spans="1:25" ht="15" thickBot="1" x14ac:dyDescent="0.35">
      <c r="A540" s="27">
        <v>538</v>
      </c>
      <c r="B540" s="21">
        <v>539</v>
      </c>
      <c r="C540" s="22">
        <v>0.13639999999999999</v>
      </c>
      <c r="D540" s="21">
        <v>0.46</v>
      </c>
      <c r="E540" s="21">
        <v>0.22389999999999999</v>
      </c>
      <c r="F540" s="21">
        <v>2</v>
      </c>
      <c r="G540" s="21">
        <v>43</v>
      </c>
      <c r="H540" s="23">
        <v>45</v>
      </c>
      <c r="I540" s="23">
        <v>0.13639999999999999</v>
      </c>
      <c r="J540" s="18"/>
      <c r="K540" s="5"/>
      <c r="L540" s="5"/>
      <c r="M540" s="5"/>
      <c r="N540" s="5"/>
      <c r="O540" s="5"/>
      <c r="P540" s="5"/>
      <c r="Q540" s="5"/>
      <c r="R540" s="5"/>
      <c r="S540" s="5"/>
      <c r="T540" s="5"/>
      <c r="U540" s="5"/>
      <c r="V540" s="5"/>
      <c r="W540" s="5"/>
      <c r="X540" s="5"/>
      <c r="Y540" s="5"/>
    </row>
    <row r="541" spans="1:25" ht="15" thickBot="1" x14ac:dyDescent="0.35">
      <c r="A541" s="27">
        <v>539</v>
      </c>
      <c r="B541" s="21">
        <v>540</v>
      </c>
      <c r="C541" s="22">
        <v>0.16669999999999999</v>
      </c>
      <c r="D541" s="21">
        <v>0.4</v>
      </c>
      <c r="E541" s="21">
        <v>0.16420000000000001</v>
      </c>
      <c r="F541" s="21">
        <v>7</v>
      </c>
      <c r="G541" s="21">
        <v>50</v>
      </c>
      <c r="H541" s="23">
        <v>57</v>
      </c>
      <c r="I541" s="23">
        <v>0.16669999999999999</v>
      </c>
      <c r="J541" s="18"/>
      <c r="K541" s="5"/>
      <c r="L541" s="5"/>
      <c r="M541" s="5"/>
      <c r="N541" s="5"/>
      <c r="O541" s="5"/>
      <c r="P541" s="5"/>
      <c r="Q541" s="5"/>
      <c r="R541" s="5"/>
      <c r="S541" s="5"/>
      <c r="T541" s="5"/>
      <c r="U541" s="5"/>
      <c r="V541" s="5"/>
      <c r="W541" s="5"/>
      <c r="X541" s="5"/>
      <c r="Y541" s="5"/>
    </row>
    <row r="542" spans="1:25" ht="15" thickBot="1" x14ac:dyDescent="0.35">
      <c r="A542" s="27">
        <v>540</v>
      </c>
      <c r="B542" s="21">
        <v>541</v>
      </c>
      <c r="C542" s="22">
        <v>0.1515</v>
      </c>
      <c r="D542" s="21">
        <v>0.47</v>
      </c>
      <c r="E542" s="21">
        <v>0.25369999999999998</v>
      </c>
      <c r="F542" s="21">
        <v>4</v>
      </c>
      <c r="G542" s="21">
        <v>66</v>
      </c>
      <c r="H542" s="23">
        <v>70</v>
      </c>
      <c r="I542" s="23">
        <v>0.1515</v>
      </c>
      <c r="J542" s="18"/>
      <c r="K542" s="5"/>
      <c r="L542" s="5"/>
      <c r="M542" s="5"/>
      <c r="N542" s="5"/>
      <c r="O542" s="5"/>
      <c r="P542" s="5"/>
      <c r="Q542" s="5"/>
      <c r="R542" s="5"/>
      <c r="S542" s="5"/>
      <c r="T542" s="5"/>
      <c r="U542" s="5"/>
      <c r="V542" s="5"/>
      <c r="W542" s="5"/>
      <c r="X542" s="5"/>
      <c r="Y542" s="5"/>
    </row>
    <row r="543" spans="1:25" ht="15" thickBot="1" x14ac:dyDescent="0.35">
      <c r="A543" s="27">
        <v>541</v>
      </c>
      <c r="B543" s="21">
        <v>542</v>
      </c>
      <c r="C543" s="22">
        <v>0.1212</v>
      </c>
      <c r="D543" s="21">
        <v>0.5</v>
      </c>
      <c r="E543" s="21">
        <v>0.25369999999999998</v>
      </c>
      <c r="F543" s="21">
        <v>6</v>
      </c>
      <c r="G543" s="21">
        <v>178</v>
      </c>
      <c r="H543" s="23">
        <v>184</v>
      </c>
      <c r="I543" s="23">
        <v>0.1212</v>
      </c>
      <c r="J543" s="18"/>
      <c r="K543" s="5"/>
      <c r="L543" s="5"/>
      <c r="M543" s="5"/>
      <c r="N543" s="5"/>
      <c r="O543" s="5"/>
      <c r="P543" s="5"/>
      <c r="Q543" s="5"/>
      <c r="R543" s="5"/>
      <c r="S543" s="5"/>
      <c r="T543" s="5"/>
      <c r="U543" s="5"/>
      <c r="V543" s="5"/>
      <c r="W543" s="5"/>
      <c r="X543" s="5"/>
      <c r="Y543" s="5"/>
    </row>
    <row r="544" spans="1:25" ht="15" thickBot="1" x14ac:dyDescent="0.35">
      <c r="A544" s="27">
        <v>542</v>
      </c>
      <c r="B544" s="21">
        <v>543</v>
      </c>
      <c r="C544" s="22">
        <v>0.13639999999999999</v>
      </c>
      <c r="D544" s="21">
        <v>0.59</v>
      </c>
      <c r="E544" s="21">
        <v>0.19400000000000001</v>
      </c>
      <c r="F544" s="21">
        <v>8</v>
      </c>
      <c r="G544" s="21">
        <v>145</v>
      </c>
      <c r="H544" s="23">
        <v>153</v>
      </c>
      <c r="I544" s="23">
        <v>0.13639999999999999</v>
      </c>
      <c r="J544" s="18"/>
      <c r="K544" s="5"/>
      <c r="L544" s="5"/>
      <c r="M544" s="5"/>
      <c r="N544" s="5"/>
      <c r="O544" s="5"/>
      <c r="P544" s="5"/>
      <c r="Q544" s="5"/>
      <c r="R544" s="5"/>
      <c r="S544" s="5"/>
      <c r="T544" s="5"/>
      <c r="U544" s="5"/>
      <c r="V544" s="5"/>
      <c r="W544" s="5"/>
      <c r="X544" s="5"/>
      <c r="Y544" s="5"/>
    </row>
    <row r="545" spans="1:25" ht="15" thickBot="1" x14ac:dyDescent="0.35">
      <c r="A545" s="27">
        <v>543</v>
      </c>
      <c r="B545" s="21">
        <v>544</v>
      </c>
      <c r="C545" s="22">
        <v>0.1515</v>
      </c>
      <c r="D545" s="21">
        <v>0.54</v>
      </c>
      <c r="E545" s="21">
        <v>0.16420000000000001</v>
      </c>
      <c r="F545" s="21">
        <v>5</v>
      </c>
      <c r="G545" s="21">
        <v>101</v>
      </c>
      <c r="H545" s="23">
        <v>106</v>
      </c>
      <c r="I545" s="23">
        <v>0.1515</v>
      </c>
      <c r="J545" s="18"/>
      <c r="K545" s="5"/>
      <c r="L545" s="5"/>
      <c r="M545" s="5"/>
      <c r="N545" s="5"/>
      <c r="O545" s="5"/>
      <c r="P545" s="5"/>
      <c r="Q545" s="5"/>
      <c r="R545" s="5"/>
      <c r="S545" s="5"/>
      <c r="T545" s="5"/>
      <c r="U545" s="5"/>
      <c r="V545" s="5"/>
      <c r="W545" s="5"/>
      <c r="X545" s="5"/>
      <c r="Y545" s="5"/>
    </row>
    <row r="546" spans="1:25" ht="15" thickBot="1" x14ac:dyDescent="0.35">
      <c r="A546" s="27">
        <v>544</v>
      </c>
      <c r="B546" s="21">
        <v>545</v>
      </c>
      <c r="C546" s="22">
        <v>0.13639999999999999</v>
      </c>
      <c r="D546" s="21">
        <v>0.59</v>
      </c>
      <c r="E546" s="21">
        <v>0.19400000000000001</v>
      </c>
      <c r="F546" s="21">
        <v>1</v>
      </c>
      <c r="G546" s="21">
        <v>80</v>
      </c>
      <c r="H546" s="23">
        <v>81</v>
      </c>
      <c r="I546" s="23">
        <v>0.13639999999999999</v>
      </c>
      <c r="J546" s="18"/>
      <c r="K546" s="5"/>
      <c r="L546" s="5"/>
      <c r="M546" s="5"/>
      <c r="N546" s="5"/>
      <c r="O546" s="5"/>
      <c r="P546" s="5"/>
      <c r="Q546" s="5"/>
      <c r="R546" s="5"/>
      <c r="S546" s="5"/>
      <c r="T546" s="5"/>
      <c r="U546" s="5"/>
      <c r="V546" s="5"/>
      <c r="W546" s="5"/>
      <c r="X546" s="5"/>
      <c r="Y546" s="5"/>
    </row>
    <row r="547" spans="1:25" ht="15" thickBot="1" x14ac:dyDescent="0.35">
      <c r="A547" s="27">
        <v>545</v>
      </c>
      <c r="B547" s="21">
        <v>546</v>
      </c>
      <c r="C547" s="22">
        <v>0.1515</v>
      </c>
      <c r="D547" s="21">
        <v>0.63</v>
      </c>
      <c r="E547" s="21">
        <v>0.16420000000000001</v>
      </c>
      <c r="F547" s="21">
        <v>6</v>
      </c>
      <c r="G547" s="21">
        <v>53</v>
      </c>
      <c r="H547" s="23">
        <v>59</v>
      </c>
      <c r="I547" s="23">
        <v>0.1515</v>
      </c>
      <c r="J547" s="18"/>
      <c r="K547" s="5"/>
      <c r="L547" s="5"/>
      <c r="M547" s="5"/>
      <c r="N547" s="5"/>
      <c r="O547" s="5"/>
      <c r="P547" s="5"/>
      <c r="Q547" s="5"/>
      <c r="R547" s="5"/>
      <c r="S547" s="5"/>
      <c r="T547" s="5"/>
      <c r="U547" s="5"/>
      <c r="V547" s="5"/>
      <c r="W547" s="5"/>
      <c r="X547" s="5"/>
      <c r="Y547" s="5"/>
    </row>
    <row r="548" spans="1:25" ht="15" thickBot="1" x14ac:dyDescent="0.35">
      <c r="A548" s="27">
        <v>546</v>
      </c>
      <c r="B548" s="21">
        <v>547</v>
      </c>
      <c r="C548" s="22">
        <v>0.13639999999999999</v>
      </c>
      <c r="D548" s="21">
        <v>0.63</v>
      </c>
      <c r="E548" s="21">
        <v>0.22389999999999999</v>
      </c>
      <c r="F548" s="21">
        <v>3</v>
      </c>
      <c r="G548" s="21">
        <v>32</v>
      </c>
      <c r="H548" s="23">
        <v>35</v>
      </c>
      <c r="I548" s="23">
        <v>0.13639999999999999</v>
      </c>
      <c r="J548" s="18"/>
      <c r="K548" s="5"/>
      <c r="L548" s="5"/>
      <c r="M548" s="5"/>
      <c r="N548" s="5"/>
      <c r="O548" s="5"/>
      <c r="P548" s="5"/>
      <c r="Q548" s="5"/>
      <c r="R548" s="5"/>
      <c r="S548" s="5"/>
      <c r="T548" s="5"/>
      <c r="U548" s="5"/>
      <c r="V548" s="5"/>
      <c r="W548" s="5"/>
      <c r="X548" s="5"/>
      <c r="Y548" s="5"/>
    </row>
    <row r="549" spans="1:25" ht="15" thickBot="1" x14ac:dyDescent="0.35">
      <c r="A549" s="27">
        <v>547</v>
      </c>
      <c r="B549" s="21">
        <v>548</v>
      </c>
      <c r="C549" s="22">
        <v>0.1515</v>
      </c>
      <c r="D549" s="21">
        <v>0.64</v>
      </c>
      <c r="E549" s="21">
        <v>0.25369999999999998</v>
      </c>
      <c r="F549" s="21">
        <v>3</v>
      </c>
      <c r="G549" s="21">
        <v>21</v>
      </c>
      <c r="H549" s="23">
        <v>24</v>
      </c>
      <c r="I549" s="23">
        <v>0.1515</v>
      </c>
      <c r="J549" s="18"/>
      <c r="K549" s="5"/>
      <c r="L549" s="5"/>
      <c r="M549" s="5"/>
      <c r="N549" s="5"/>
      <c r="O549" s="5"/>
      <c r="P549" s="5"/>
      <c r="Q549" s="5"/>
      <c r="R549" s="5"/>
      <c r="S549" s="5"/>
      <c r="T549" s="5"/>
      <c r="U549" s="5"/>
      <c r="V549" s="5"/>
      <c r="W549" s="5"/>
      <c r="X549" s="5"/>
      <c r="Y549" s="5"/>
    </row>
    <row r="550" spans="1:25" ht="15" thickBot="1" x14ac:dyDescent="0.35">
      <c r="A550" s="27">
        <v>548</v>
      </c>
      <c r="B550" s="21">
        <v>549</v>
      </c>
      <c r="C550" s="22">
        <v>0.13639999999999999</v>
      </c>
      <c r="D550" s="21">
        <v>0.69</v>
      </c>
      <c r="E550" s="21">
        <v>0.28360000000000002</v>
      </c>
      <c r="F550" s="21">
        <v>3</v>
      </c>
      <c r="G550" s="21">
        <v>6</v>
      </c>
      <c r="H550" s="23">
        <v>9</v>
      </c>
      <c r="I550" s="23">
        <v>0.13639999999999999</v>
      </c>
      <c r="J550" s="18"/>
      <c r="K550" s="5"/>
      <c r="L550" s="5"/>
      <c r="M550" s="5"/>
      <c r="N550" s="5"/>
      <c r="O550" s="5"/>
      <c r="P550" s="5"/>
      <c r="Q550" s="5"/>
      <c r="R550" s="5"/>
      <c r="S550" s="5"/>
      <c r="T550" s="5"/>
      <c r="U550" s="5"/>
      <c r="V550" s="5"/>
      <c r="W550" s="5"/>
      <c r="X550" s="5"/>
      <c r="Y550" s="5"/>
    </row>
    <row r="551" spans="1:25" ht="15" thickBot="1" x14ac:dyDescent="0.35">
      <c r="A551" s="27">
        <v>549</v>
      </c>
      <c r="B551" s="21">
        <v>550</v>
      </c>
      <c r="C551" s="22">
        <v>0.16669999999999999</v>
      </c>
      <c r="D551" s="21">
        <v>0.69</v>
      </c>
      <c r="E551" s="21">
        <v>0.16420000000000001</v>
      </c>
      <c r="F551" s="21">
        <v>0</v>
      </c>
      <c r="G551" s="21">
        <v>5</v>
      </c>
      <c r="H551" s="23">
        <v>5</v>
      </c>
      <c r="I551" s="23">
        <v>0.16669999999999999</v>
      </c>
      <c r="J551" s="18"/>
      <c r="K551" s="5"/>
      <c r="L551" s="5"/>
      <c r="M551" s="5"/>
      <c r="N551" s="5"/>
      <c r="O551" s="5"/>
      <c r="P551" s="5"/>
      <c r="Q551" s="5"/>
      <c r="R551" s="5"/>
      <c r="S551" s="5"/>
      <c r="T551" s="5"/>
      <c r="U551" s="5"/>
      <c r="V551" s="5"/>
      <c r="W551" s="5"/>
      <c r="X551" s="5"/>
      <c r="Y551" s="5"/>
    </row>
    <row r="552" spans="1:25" ht="15" thickBot="1" x14ac:dyDescent="0.35">
      <c r="A552" s="27">
        <v>550</v>
      </c>
      <c r="B552" s="21">
        <v>551</v>
      </c>
      <c r="C552" s="22">
        <v>0.1515</v>
      </c>
      <c r="D552" s="21">
        <v>0.69</v>
      </c>
      <c r="E552" s="21">
        <v>0.22389999999999999</v>
      </c>
      <c r="F552" s="21">
        <v>0</v>
      </c>
      <c r="G552" s="21">
        <v>2</v>
      </c>
      <c r="H552" s="23">
        <v>2</v>
      </c>
      <c r="I552" s="23">
        <v>0.1515</v>
      </c>
      <c r="J552" s="18"/>
      <c r="K552" s="5"/>
      <c r="L552" s="5"/>
      <c r="M552" s="5"/>
      <c r="N552" s="5"/>
      <c r="O552" s="5"/>
      <c r="P552" s="5"/>
      <c r="Q552" s="5"/>
      <c r="R552" s="5"/>
      <c r="S552" s="5"/>
      <c r="T552" s="5"/>
      <c r="U552" s="5"/>
      <c r="V552" s="5"/>
      <c r="W552" s="5"/>
      <c r="X552" s="5"/>
      <c r="Y552" s="5"/>
    </row>
    <row r="553" spans="1:25" ht="15" thickBot="1" x14ac:dyDescent="0.35">
      <c r="A553" s="27">
        <v>551</v>
      </c>
      <c r="B553" s="21">
        <v>552</v>
      </c>
      <c r="C553" s="22">
        <v>0.16669999999999999</v>
      </c>
      <c r="D553" s="21">
        <v>0.74</v>
      </c>
      <c r="E553" s="21">
        <v>0.1045</v>
      </c>
      <c r="F553" s="21">
        <v>0</v>
      </c>
      <c r="G553" s="21">
        <v>1</v>
      </c>
      <c r="H553" s="23">
        <v>1</v>
      </c>
      <c r="I553" s="23">
        <v>0.16669999999999999</v>
      </c>
      <c r="J553" s="18"/>
      <c r="K553" s="5"/>
      <c r="L553" s="5"/>
      <c r="M553" s="5"/>
      <c r="N553" s="5"/>
      <c r="O553" s="5"/>
      <c r="P553" s="5"/>
      <c r="Q553" s="5"/>
      <c r="R553" s="5"/>
      <c r="S553" s="5"/>
      <c r="T553" s="5"/>
      <c r="U553" s="5"/>
      <c r="V553" s="5"/>
      <c r="W553" s="5"/>
      <c r="X553" s="5"/>
      <c r="Y553" s="5"/>
    </row>
    <row r="554" spans="1:25" ht="15" thickBot="1" x14ac:dyDescent="0.35">
      <c r="A554" s="27">
        <v>552</v>
      </c>
      <c r="B554" s="21">
        <v>553</v>
      </c>
      <c r="C554" s="22">
        <v>0.13639999999999999</v>
      </c>
      <c r="D554" s="21">
        <v>0.74</v>
      </c>
      <c r="E554" s="21">
        <v>0.22389999999999999</v>
      </c>
      <c r="F554" s="21">
        <v>0</v>
      </c>
      <c r="G554" s="21">
        <v>9</v>
      </c>
      <c r="H554" s="23">
        <v>9</v>
      </c>
      <c r="I554" s="23">
        <v>0.13639999999999999</v>
      </c>
      <c r="J554" s="18"/>
      <c r="K554" s="5"/>
      <c r="L554" s="5"/>
      <c r="M554" s="5"/>
      <c r="N554" s="5"/>
      <c r="O554" s="5"/>
      <c r="P554" s="5"/>
      <c r="Q554" s="5"/>
      <c r="R554" s="5"/>
      <c r="S554" s="5"/>
      <c r="T554" s="5"/>
      <c r="U554" s="5"/>
      <c r="V554" s="5"/>
      <c r="W554" s="5"/>
      <c r="X554" s="5"/>
      <c r="Y554" s="5"/>
    </row>
    <row r="555" spans="1:25" ht="15" thickBot="1" x14ac:dyDescent="0.35">
      <c r="A555" s="27">
        <v>553</v>
      </c>
      <c r="B555" s="21">
        <v>554</v>
      </c>
      <c r="C555" s="22">
        <v>0.18179999999999999</v>
      </c>
      <c r="D555" s="21">
        <v>0.74</v>
      </c>
      <c r="E555" s="21">
        <v>0.1045</v>
      </c>
      <c r="F555" s="21">
        <v>1</v>
      </c>
      <c r="G555" s="21">
        <v>35</v>
      </c>
      <c r="H555" s="23">
        <v>36</v>
      </c>
      <c r="I555" s="23">
        <v>0.18179999999999999</v>
      </c>
      <c r="J555" s="18"/>
      <c r="K555" s="5"/>
      <c r="L555" s="5"/>
      <c r="M555" s="5"/>
      <c r="N555" s="5"/>
      <c r="O555" s="5"/>
      <c r="P555" s="5"/>
      <c r="Q555" s="5"/>
      <c r="R555" s="5"/>
      <c r="S555" s="5"/>
      <c r="T555" s="5"/>
      <c r="U555" s="5"/>
      <c r="V555" s="5"/>
      <c r="W555" s="5"/>
      <c r="X555" s="5"/>
      <c r="Y555" s="5"/>
    </row>
    <row r="556" spans="1:25" ht="15" thickBot="1" x14ac:dyDescent="0.35">
      <c r="A556" s="27">
        <v>554</v>
      </c>
      <c r="B556" s="21">
        <v>555</v>
      </c>
      <c r="C556" s="22">
        <v>0.1515</v>
      </c>
      <c r="D556" s="21">
        <v>0.74</v>
      </c>
      <c r="E556" s="21">
        <v>0.22389999999999999</v>
      </c>
      <c r="F556" s="21">
        <v>5</v>
      </c>
      <c r="G556" s="21">
        <v>103</v>
      </c>
      <c r="H556" s="23">
        <v>108</v>
      </c>
      <c r="I556" s="23">
        <v>0.1515</v>
      </c>
      <c r="J556" s="18"/>
      <c r="K556" s="5"/>
      <c r="L556" s="5"/>
      <c r="M556" s="5"/>
      <c r="N556" s="5"/>
      <c r="O556" s="5"/>
      <c r="P556" s="5"/>
      <c r="Q556" s="5"/>
      <c r="R556" s="5"/>
      <c r="S556" s="5"/>
      <c r="T556" s="5"/>
      <c r="U556" s="5"/>
      <c r="V556" s="5"/>
      <c r="W556" s="5"/>
      <c r="X556" s="5"/>
      <c r="Y556" s="5"/>
    </row>
    <row r="557" spans="1:25" ht="15" thickBot="1" x14ac:dyDescent="0.35">
      <c r="A557" s="27">
        <v>555</v>
      </c>
      <c r="B557" s="21">
        <v>556</v>
      </c>
      <c r="C557" s="22">
        <v>0.18179999999999999</v>
      </c>
      <c r="D557" s="21">
        <v>0.74</v>
      </c>
      <c r="E557" s="21">
        <v>0.1343</v>
      </c>
      <c r="F557" s="21">
        <v>5</v>
      </c>
      <c r="G557" s="21">
        <v>233</v>
      </c>
      <c r="H557" s="23">
        <v>238</v>
      </c>
      <c r="I557" s="23">
        <v>0.18179999999999999</v>
      </c>
      <c r="J557" s="18"/>
      <c r="K557" s="5"/>
      <c r="L557" s="5"/>
      <c r="M557" s="5"/>
      <c r="N557" s="5"/>
      <c r="O557" s="5"/>
      <c r="P557" s="5"/>
      <c r="Q557" s="5"/>
      <c r="R557" s="5"/>
      <c r="S557" s="5"/>
      <c r="T557" s="5"/>
      <c r="U557" s="5"/>
      <c r="V557" s="5"/>
      <c r="W557" s="5"/>
      <c r="X557" s="5"/>
      <c r="Y557" s="5"/>
    </row>
    <row r="558" spans="1:25" ht="15" thickBot="1" x14ac:dyDescent="0.35">
      <c r="A558" s="27">
        <v>556</v>
      </c>
      <c r="B558" s="21">
        <v>557</v>
      </c>
      <c r="C558" s="22">
        <v>0.2273</v>
      </c>
      <c r="D558" s="21">
        <v>0.64</v>
      </c>
      <c r="E558" s="21">
        <v>8.9599999999999999E-2</v>
      </c>
      <c r="F558" s="21">
        <v>10</v>
      </c>
      <c r="G558" s="21">
        <v>134</v>
      </c>
      <c r="H558" s="23">
        <v>144</v>
      </c>
      <c r="I558" s="23">
        <v>0.2273</v>
      </c>
      <c r="J558" s="18"/>
      <c r="K558" s="5"/>
      <c r="L558" s="5"/>
      <c r="M558" s="5"/>
      <c r="N558" s="5"/>
      <c r="O558" s="5"/>
      <c r="P558" s="5"/>
      <c r="Q558" s="5"/>
      <c r="R558" s="5"/>
      <c r="S558" s="5"/>
      <c r="T558" s="5"/>
      <c r="U558" s="5"/>
      <c r="V558" s="5"/>
      <c r="W558" s="5"/>
      <c r="X558" s="5"/>
      <c r="Y558" s="5"/>
    </row>
    <row r="559" spans="1:25" ht="15" thickBot="1" x14ac:dyDescent="0.35">
      <c r="A559" s="27">
        <v>557</v>
      </c>
      <c r="B559" s="21">
        <v>558</v>
      </c>
      <c r="C559" s="22">
        <v>0.2424</v>
      </c>
      <c r="D559" s="21">
        <v>0.6</v>
      </c>
      <c r="E559" s="21">
        <v>0.1045</v>
      </c>
      <c r="F559" s="21">
        <v>6</v>
      </c>
      <c r="G559" s="21">
        <v>49</v>
      </c>
      <c r="H559" s="23">
        <v>55</v>
      </c>
      <c r="I559" s="23">
        <v>0.2424</v>
      </c>
      <c r="J559" s="18"/>
      <c r="K559" s="5"/>
      <c r="L559" s="5"/>
      <c r="M559" s="5"/>
      <c r="N559" s="5"/>
      <c r="O559" s="5"/>
      <c r="P559" s="5"/>
      <c r="Q559" s="5"/>
      <c r="R559" s="5"/>
      <c r="S559" s="5"/>
      <c r="T559" s="5"/>
      <c r="U559" s="5"/>
      <c r="V559" s="5"/>
      <c r="W559" s="5"/>
      <c r="X559" s="5"/>
      <c r="Y559" s="5"/>
    </row>
    <row r="560" spans="1:25" ht="15" thickBot="1" x14ac:dyDescent="0.35">
      <c r="A560" s="27">
        <v>558</v>
      </c>
      <c r="B560" s="21">
        <v>559</v>
      </c>
      <c r="C560" s="22">
        <v>0.2424</v>
      </c>
      <c r="D560" s="21">
        <v>0.6</v>
      </c>
      <c r="E560" s="21">
        <v>0.1343</v>
      </c>
      <c r="F560" s="21">
        <v>6</v>
      </c>
      <c r="G560" s="21">
        <v>55</v>
      </c>
      <c r="H560" s="23">
        <v>61</v>
      </c>
      <c r="I560" s="23">
        <v>0.2424</v>
      </c>
      <c r="J560" s="18"/>
      <c r="K560" s="5"/>
      <c r="L560" s="5"/>
      <c r="M560" s="5"/>
      <c r="N560" s="5"/>
      <c r="O560" s="5"/>
      <c r="P560" s="5"/>
      <c r="Q560" s="5"/>
      <c r="R560" s="5"/>
      <c r="S560" s="5"/>
      <c r="T560" s="5"/>
      <c r="U560" s="5"/>
      <c r="V560" s="5"/>
      <c r="W560" s="5"/>
      <c r="X560" s="5"/>
      <c r="Y560" s="5"/>
    </row>
    <row r="561" spans="1:25" ht="15" thickBot="1" x14ac:dyDescent="0.35">
      <c r="A561" s="27">
        <v>559</v>
      </c>
      <c r="B561" s="21">
        <v>560</v>
      </c>
      <c r="C561" s="22">
        <v>0.28789999999999999</v>
      </c>
      <c r="D561" s="21">
        <v>0.56000000000000005</v>
      </c>
      <c r="E561" s="21">
        <v>8.9599999999999999E-2</v>
      </c>
      <c r="F561" s="21">
        <v>21</v>
      </c>
      <c r="G561" s="21">
        <v>85</v>
      </c>
      <c r="H561" s="23">
        <v>106</v>
      </c>
      <c r="I561" s="23">
        <v>0.28789999999999999</v>
      </c>
      <c r="J561" s="18"/>
      <c r="K561" s="5"/>
      <c r="L561" s="5"/>
      <c r="M561" s="5"/>
      <c r="N561" s="5"/>
      <c r="O561" s="5"/>
      <c r="P561" s="5"/>
      <c r="Q561" s="5"/>
      <c r="R561" s="5"/>
      <c r="S561" s="5"/>
      <c r="T561" s="5"/>
      <c r="U561" s="5"/>
      <c r="V561" s="5"/>
      <c r="W561" s="5"/>
      <c r="X561" s="5"/>
      <c r="Y561" s="5"/>
    </row>
    <row r="562" spans="1:25" ht="15" thickBot="1" x14ac:dyDescent="0.35">
      <c r="A562" s="27">
        <v>560</v>
      </c>
      <c r="B562" s="21">
        <v>561</v>
      </c>
      <c r="C562" s="22">
        <v>0.2727</v>
      </c>
      <c r="D562" s="21">
        <v>0.56000000000000005</v>
      </c>
      <c r="E562" s="21">
        <v>0.1343</v>
      </c>
      <c r="F562" s="21">
        <v>21</v>
      </c>
      <c r="G562" s="21">
        <v>72</v>
      </c>
      <c r="H562" s="23">
        <v>93</v>
      </c>
      <c r="I562" s="23">
        <v>0.2727</v>
      </c>
      <c r="J562" s="18"/>
      <c r="K562" s="5"/>
      <c r="L562" s="5"/>
      <c r="M562" s="5"/>
      <c r="N562" s="5"/>
      <c r="O562" s="5"/>
      <c r="P562" s="5"/>
      <c r="Q562" s="5"/>
      <c r="R562" s="5"/>
      <c r="S562" s="5"/>
      <c r="T562" s="5"/>
      <c r="U562" s="5"/>
      <c r="V562" s="5"/>
      <c r="W562" s="5"/>
      <c r="X562" s="5"/>
      <c r="Y562" s="5"/>
    </row>
    <row r="563" spans="1:25" ht="15" thickBot="1" x14ac:dyDescent="0.35">
      <c r="A563" s="27">
        <v>561</v>
      </c>
      <c r="B563" s="21">
        <v>562</v>
      </c>
      <c r="C563" s="22">
        <v>0.33329999999999999</v>
      </c>
      <c r="D563" s="21">
        <v>0.45</v>
      </c>
      <c r="E563" s="22">
        <v>0.20485098360655737</v>
      </c>
      <c r="F563" s="21">
        <v>11</v>
      </c>
      <c r="G563" s="21">
        <v>57</v>
      </c>
      <c r="H563" s="23">
        <v>68</v>
      </c>
      <c r="I563" s="23">
        <v>0.33329999999999999</v>
      </c>
      <c r="J563" s="18"/>
      <c r="K563" s="5"/>
      <c r="L563" s="5"/>
      <c r="M563" s="5"/>
      <c r="N563" s="5"/>
      <c r="O563" s="5"/>
      <c r="P563" s="5"/>
      <c r="Q563" s="5"/>
      <c r="R563" s="5"/>
      <c r="S563" s="5"/>
      <c r="T563" s="5"/>
      <c r="U563" s="5"/>
      <c r="V563" s="5"/>
      <c r="W563" s="5"/>
      <c r="X563" s="5"/>
      <c r="Y563" s="5"/>
    </row>
    <row r="564" spans="1:25" ht="15" thickBot="1" x14ac:dyDescent="0.35">
      <c r="A564" s="27">
        <v>562</v>
      </c>
      <c r="B564" s="21">
        <v>563</v>
      </c>
      <c r="C564" s="22">
        <v>0.34849999999999998</v>
      </c>
      <c r="D564" s="21">
        <v>0.42</v>
      </c>
      <c r="E564" s="22">
        <v>0.20485098360655737</v>
      </c>
      <c r="F564" s="21">
        <v>21</v>
      </c>
      <c r="G564" s="21">
        <v>63</v>
      </c>
      <c r="H564" s="23">
        <v>84</v>
      </c>
      <c r="I564" s="23">
        <v>0.34849999999999998</v>
      </c>
      <c r="J564" s="18"/>
      <c r="K564" s="5"/>
      <c r="L564" s="5"/>
      <c r="M564" s="5"/>
      <c r="N564" s="5"/>
      <c r="O564" s="5"/>
      <c r="P564" s="5"/>
      <c r="Q564" s="5"/>
      <c r="R564" s="5"/>
      <c r="S564" s="5"/>
      <c r="T564" s="5"/>
      <c r="U564" s="5"/>
      <c r="V564" s="5"/>
      <c r="W564" s="5"/>
      <c r="X564" s="5"/>
      <c r="Y564" s="5"/>
    </row>
    <row r="565" spans="1:25" ht="15" thickBot="1" x14ac:dyDescent="0.35">
      <c r="A565" s="27">
        <v>563</v>
      </c>
      <c r="B565" s="21">
        <v>564</v>
      </c>
      <c r="C565" s="22">
        <v>0.34849999999999998</v>
      </c>
      <c r="D565" s="21">
        <v>0.42</v>
      </c>
      <c r="E565" s="22">
        <v>0.20485098360655737</v>
      </c>
      <c r="F565" s="21">
        <v>14</v>
      </c>
      <c r="G565" s="21">
        <v>102</v>
      </c>
      <c r="H565" s="23">
        <v>116</v>
      </c>
      <c r="I565" s="23">
        <v>0.34849999999999998</v>
      </c>
      <c r="J565" s="18"/>
      <c r="K565" s="5"/>
      <c r="L565" s="5"/>
      <c r="M565" s="5"/>
      <c r="N565" s="5"/>
      <c r="O565" s="5"/>
      <c r="P565" s="5"/>
      <c r="Q565" s="5"/>
      <c r="R565" s="5"/>
      <c r="S565" s="5"/>
      <c r="T565" s="5"/>
      <c r="U565" s="5"/>
      <c r="V565" s="5"/>
      <c r="W565" s="5"/>
      <c r="X565" s="5"/>
      <c r="Y565" s="5"/>
    </row>
    <row r="566" spans="1:25" ht="15" thickBot="1" x14ac:dyDescent="0.35">
      <c r="A566" s="27">
        <v>564</v>
      </c>
      <c r="B566" s="21">
        <v>565</v>
      </c>
      <c r="C566" s="22">
        <v>0.33329999999999999</v>
      </c>
      <c r="D566" s="21">
        <v>0.45</v>
      </c>
      <c r="E566" s="22">
        <v>0.20485098360655737</v>
      </c>
      <c r="F566" s="21">
        <v>14</v>
      </c>
      <c r="G566" s="21">
        <v>208</v>
      </c>
      <c r="H566" s="23">
        <v>222</v>
      </c>
      <c r="I566" s="23">
        <v>0.33329999999999999</v>
      </c>
      <c r="J566" s="18"/>
      <c r="K566" s="5"/>
      <c r="L566" s="5"/>
      <c r="M566" s="5"/>
      <c r="N566" s="5"/>
      <c r="O566" s="5"/>
      <c r="P566" s="5"/>
      <c r="Q566" s="5"/>
      <c r="R566" s="5"/>
      <c r="S566" s="5"/>
      <c r="T566" s="5"/>
      <c r="U566" s="5"/>
      <c r="V566" s="5"/>
      <c r="W566" s="5"/>
      <c r="X566" s="5"/>
      <c r="Y566" s="5"/>
    </row>
    <row r="567" spans="1:25" ht="15" thickBot="1" x14ac:dyDescent="0.35">
      <c r="A567" s="27">
        <v>565</v>
      </c>
      <c r="B567" s="21">
        <v>566</v>
      </c>
      <c r="C567" s="22">
        <v>0.31819999999999998</v>
      </c>
      <c r="D567" s="21">
        <v>0.49</v>
      </c>
      <c r="E567" s="21">
        <v>8.9599999999999999E-2</v>
      </c>
      <c r="F567" s="21">
        <v>7</v>
      </c>
      <c r="G567" s="21">
        <v>218</v>
      </c>
      <c r="H567" s="23">
        <v>225</v>
      </c>
      <c r="I567" s="23">
        <v>0.31819999999999998</v>
      </c>
      <c r="J567" s="18"/>
      <c r="K567" s="5"/>
      <c r="L567" s="5"/>
      <c r="M567" s="5"/>
      <c r="N567" s="5"/>
      <c r="O567" s="5"/>
      <c r="P567" s="5"/>
      <c r="Q567" s="5"/>
      <c r="R567" s="5"/>
      <c r="S567" s="5"/>
      <c r="T567" s="5"/>
      <c r="U567" s="5"/>
      <c r="V567" s="5"/>
      <c r="W567" s="5"/>
      <c r="X567" s="5"/>
      <c r="Y567" s="5"/>
    </row>
    <row r="568" spans="1:25" ht="15" thickBot="1" x14ac:dyDescent="0.35">
      <c r="A568" s="27">
        <v>566</v>
      </c>
      <c r="B568" s="21">
        <v>567</v>
      </c>
      <c r="C568" s="22">
        <v>0.2576</v>
      </c>
      <c r="D568" s="21">
        <v>0.65</v>
      </c>
      <c r="E568" s="21">
        <v>0.16420000000000001</v>
      </c>
      <c r="F568" s="21">
        <v>13</v>
      </c>
      <c r="G568" s="21">
        <v>133</v>
      </c>
      <c r="H568" s="23">
        <v>146</v>
      </c>
      <c r="I568" s="23">
        <v>0.2576</v>
      </c>
      <c r="J568" s="18"/>
      <c r="K568" s="5"/>
      <c r="L568" s="5"/>
      <c r="M568" s="5"/>
      <c r="N568" s="5"/>
      <c r="O568" s="5"/>
      <c r="P568" s="5"/>
      <c r="Q568" s="5"/>
      <c r="R568" s="5"/>
      <c r="S568" s="5"/>
      <c r="T568" s="5"/>
      <c r="U568" s="5"/>
      <c r="V568" s="5"/>
      <c r="W568" s="5"/>
      <c r="X568" s="5"/>
      <c r="Y568" s="5"/>
    </row>
    <row r="569" spans="1:25" ht="15" thickBot="1" x14ac:dyDescent="0.35">
      <c r="A569" s="27">
        <v>567</v>
      </c>
      <c r="B569" s="21">
        <v>568</v>
      </c>
      <c r="C569" s="22">
        <v>0.2273</v>
      </c>
      <c r="D569" s="21">
        <v>0.65</v>
      </c>
      <c r="E569" s="21">
        <v>0.19400000000000001</v>
      </c>
      <c r="F569" s="21">
        <v>16</v>
      </c>
      <c r="G569" s="21">
        <v>103</v>
      </c>
      <c r="H569" s="23">
        <v>119</v>
      </c>
      <c r="I569" s="23">
        <v>0.2273</v>
      </c>
      <c r="J569" s="18"/>
      <c r="K569" s="5"/>
      <c r="L569" s="5"/>
      <c r="M569" s="5"/>
      <c r="N569" s="5"/>
      <c r="O569" s="5"/>
      <c r="P569" s="5"/>
      <c r="Q569" s="5"/>
      <c r="R569" s="5"/>
      <c r="S569" s="5"/>
      <c r="T569" s="5"/>
      <c r="U569" s="5"/>
      <c r="V569" s="5"/>
      <c r="W569" s="5"/>
      <c r="X569" s="5"/>
      <c r="Y569" s="5"/>
    </row>
    <row r="570" spans="1:25" ht="15" thickBot="1" x14ac:dyDescent="0.35">
      <c r="A570" s="27">
        <v>568</v>
      </c>
      <c r="B570" s="21">
        <v>569</v>
      </c>
      <c r="C570" s="22">
        <v>0.2273</v>
      </c>
      <c r="D570" s="21">
        <v>0.65</v>
      </c>
      <c r="E570" s="21">
        <v>0.19400000000000001</v>
      </c>
      <c r="F570" s="21">
        <v>5</v>
      </c>
      <c r="G570" s="21">
        <v>40</v>
      </c>
      <c r="H570" s="23">
        <v>45</v>
      </c>
      <c r="I570" s="23">
        <v>0.2273</v>
      </c>
      <c r="J570" s="18"/>
      <c r="K570" s="5"/>
      <c r="L570" s="5"/>
      <c r="M570" s="5"/>
      <c r="N570" s="5"/>
      <c r="O570" s="5"/>
      <c r="P570" s="5"/>
      <c r="Q570" s="5"/>
      <c r="R570" s="5"/>
      <c r="S570" s="5"/>
      <c r="T570" s="5"/>
      <c r="U570" s="5"/>
      <c r="V570" s="5"/>
      <c r="W570" s="5"/>
      <c r="X570" s="5"/>
      <c r="Y570" s="5"/>
    </row>
    <row r="571" spans="1:25" ht="15" thickBot="1" x14ac:dyDescent="0.35">
      <c r="A571" s="27">
        <v>569</v>
      </c>
      <c r="B571" s="21">
        <v>570</v>
      </c>
      <c r="C571" s="22">
        <v>0.2273</v>
      </c>
      <c r="D571" s="21">
        <v>0.64</v>
      </c>
      <c r="E571" s="21">
        <v>0.16420000000000001</v>
      </c>
      <c r="F571" s="21">
        <v>4</v>
      </c>
      <c r="G571" s="21">
        <v>49</v>
      </c>
      <c r="H571" s="23">
        <v>53</v>
      </c>
      <c r="I571" s="23">
        <v>0.2273</v>
      </c>
      <c r="J571" s="18"/>
      <c r="K571" s="5"/>
      <c r="L571" s="5"/>
      <c r="M571" s="5"/>
      <c r="N571" s="5"/>
      <c r="O571" s="5"/>
      <c r="P571" s="5"/>
      <c r="Q571" s="5"/>
      <c r="R571" s="5"/>
      <c r="S571" s="5"/>
      <c r="T571" s="5"/>
      <c r="U571" s="5"/>
      <c r="V571" s="5"/>
      <c r="W571" s="5"/>
      <c r="X571" s="5"/>
      <c r="Y571" s="5"/>
    </row>
    <row r="572" spans="1:25" ht="15" thickBot="1" x14ac:dyDescent="0.35">
      <c r="A572" s="27">
        <v>570</v>
      </c>
      <c r="B572" s="21">
        <v>571</v>
      </c>
      <c r="C572" s="22">
        <v>0.2273</v>
      </c>
      <c r="D572" s="21">
        <v>0.64</v>
      </c>
      <c r="E572" s="21">
        <v>0.16420000000000001</v>
      </c>
      <c r="F572" s="21">
        <v>3</v>
      </c>
      <c r="G572" s="21">
        <v>37</v>
      </c>
      <c r="H572" s="23">
        <v>40</v>
      </c>
      <c r="I572" s="23">
        <v>0.2273</v>
      </c>
      <c r="J572" s="18"/>
      <c r="K572" s="5"/>
      <c r="L572" s="5"/>
      <c r="M572" s="5"/>
      <c r="N572" s="5"/>
      <c r="O572" s="5"/>
      <c r="P572" s="5"/>
      <c r="Q572" s="5"/>
      <c r="R572" s="5"/>
      <c r="S572" s="5"/>
      <c r="T572" s="5"/>
      <c r="U572" s="5"/>
      <c r="V572" s="5"/>
      <c r="W572" s="5"/>
      <c r="X572" s="5"/>
      <c r="Y572" s="5"/>
    </row>
    <row r="573" spans="1:25" ht="15" thickBot="1" x14ac:dyDescent="0.35">
      <c r="A573" s="27">
        <v>571</v>
      </c>
      <c r="B573" s="21">
        <v>572</v>
      </c>
      <c r="C573" s="22">
        <v>0.2273</v>
      </c>
      <c r="D573" s="21">
        <v>0.69</v>
      </c>
      <c r="E573" s="21">
        <v>0.1343</v>
      </c>
      <c r="F573" s="21">
        <v>3</v>
      </c>
      <c r="G573" s="21">
        <v>14</v>
      </c>
      <c r="H573" s="23">
        <v>17</v>
      </c>
      <c r="I573" s="23">
        <v>0.2273</v>
      </c>
      <c r="J573" s="18"/>
      <c r="K573" s="5"/>
      <c r="L573" s="5"/>
      <c r="M573" s="5"/>
      <c r="N573" s="5"/>
      <c r="O573" s="5"/>
      <c r="P573" s="5"/>
      <c r="Q573" s="5"/>
      <c r="R573" s="5"/>
      <c r="S573" s="5"/>
      <c r="T573" s="5"/>
      <c r="U573" s="5"/>
      <c r="V573" s="5"/>
      <c r="W573" s="5"/>
      <c r="X573" s="5"/>
      <c r="Y573" s="5"/>
    </row>
    <row r="574" spans="1:25" ht="15" thickBot="1" x14ac:dyDescent="0.35">
      <c r="A574" s="27">
        <v>572</v>
      </c>
      <c r="B574" s="21">
        <v>573</v>
      </c>
      <c r="C574" s="22">
        <v>0.2424</v>
      </c>
      <c r="D574" s="21">
        <v>0.65</v>
      </c>
      <c r="E574" s="21">
        <v>0.1343</v>
      </c>
      <c r="F574" s="21">
        <v>0</v>
      </c>
      <c r="G574" s="21">
        <v>5</v>
      </c>
      <c r="H574" s="23">
        <v>5</v>
      </c>
      <c r="I574" s="23">
        <v>0.2424</v>
      </c>
      <c r="J574" s="18"/>
      <c r="K574" s="5"/>
      <c r="L574" s="5"/>
      <c r="M574" s="5"/>
      <c r="N574" s="5"/>
      <c r="O574" s="5"/>
      <c r="P574" s="5"/>
      <c r="Q574" s="5"/>
      <c r="R574" s="5"/>
      <c r="S574" s="5"/>
      <c r="T574" s="5"/>
      <c r="U574" s="5"/>
      <c r="V574" s="5"/>
      <c r="W574" s="5"/>
      <c r="X574" s="5"/>
      <c r="Y574" s="5"/>
    </row>
    <row r="575" spans="1:25" ht="15" thickBot="1" x14ac:dyDescent="0.35">
      <c r="A575" s="27">
        <v>573</v>
      </c>
      <c r="B575" s="21">
        <v>574</v>
      </c>
      <c r="C575" s="22">
        <v>0.2273</v>
      </c>
      <c r="D575" s="21">
        <v>0.69</v>
      </c>
      <c r="E575" s="21">
        <v>0.19400000000000001</v>
      </c>
      <c r="F575" s="21">
        <v>3</v>
      </c>
      <c r="G575" s="21">
        <v>7</v>
      </c>
      <c r="H575" s="23">
        <v>10</v>
      </c>
      <c r="I575" s="23">
        <v>0.2273</v>
      </c>
      <c r="J575" s="18"/>
      <c r="K575" s="5"/>
      <c r="L575" s="5"/>
      <c r="M575" s="5"/>
      <c r="N575" s="5"/>
      <c r="O575" s="5"/>
      <c r="P575" s="5"/>
      <c r="Q575" s="5"/>
      <c r="R575" s="5"/>
      <c r="S575" s="5"/>
      <c r="T575" s="5"/>
      <c r="U575" s="5"/>
      <c r="V575" s="5"/>
      <c r="W575" s="5"/>
      <c r="X575" s="5"/>
      <c r="Y575" s="5"/>
    </row>
    <row r="576" spans="1:25" ht="15" thickBot="1" x14ac:dyDescent="0.35">
      <c r="A576" s="27">
        <v>574</v>
      </c>
      <c r="B576" s="21">
        <v>575</v>
      </c>
      <c r="C576" s="22">
        <v>0.18179999999999999</v>
      </c>
      <c r="D576" s="21">
        <v>0.86</v>
      </c>
      <c r="E576" s="21">
        <v>0.28360000000000002</v>
      </c>
      <c r="F576" s="21">
        <v>0</v>
      </c>
      <c r="G576" s="21">
        <v>1</v>
      </c>
      <c r="H576" s="23">
        <v>1</v>
      </c>
      <c r="I576" s="23">
        <v>0.18179999999999999</v>
      </c>
      <c r="J576" s="18"/>
      <c r="K576" s="5"/>
      <c r="L576" s="5"/>
      <c r="M576" s="5"/>
      <c r="N576" s="5"/>
      <c r="O576" s="5"/>
      <c r="P576" s="5"/>
      <c r="Q576" s="5"/>
      <c r="R576" s="5"/>
      <c r="S576" s="5"/>
      <c r="T576" s="5"/>
      <c r="U576" s="5"/>
      <c r="V576" s="5"/>
      <c r="W576" s="5"/>
      <c r="X576" s="5"/>
      <c r="Y576" s="5"/>
    </row>
    <row r="577" spans="1:25" ht="15" thickBot="1" x14ac:dyDescent="0.35">
      <c r="A577" s="27">
        <v>575</v>
      </c>
      <c r="B577" s="21">
        <v>576</v>
      </c>
      <c r="C577" s="22">
        <v>0.18179999999999999</v>
      </c>
      <c r="D577" s="21">
        <v>0.86</v>
      </c>
      <c r="E577" s="21">
        <v>0.28360000000000002</v>
      </c>
      <c r="F577" s="21">
        <v>0</v>
      </c>
      <c r="G577" s="21">
        <v>8</v>
      </c>
      <c r="H577" s="23">
        <v>8</v>
      </c>
      <c r="I577" s="23">
        <v>0.18179999999999999</v>
      </c>
      <c r="J577" s="18"/>
      <c r="K577" s="5"/>
      <c r="L577" s="5"/>
      <c r="M577" s="5"/>
      <c r="N577" s="5"/>
      <c r="O577" s="5"/>
      <c r="P577" s="5"/>
      <c r="Q577" s="5"/>
      <c r="R577" s="5"/>
      <c r="S577" s="5"/>
      <c r="T577" s="5"/>
      <c r="U577" s="5"/>
      <c r="V577" s="5"/>
      <c r="W577" s="5"/>
      <c r="X577" s="5"/>
      <c r="Y577" s="5"/>
    </row>
    <row r="578" spans="1:25" ht="15" thickBot="1" x14ac:dyDescent="0.35">
      <c r="A578" s="27">
        <v>576</v>
      </c>
      <c r="B578" s="21">
        <v>577</v>
      </c>
      <c r="C578" s="22">
        <v>0.21210000000000001</v>
      </c>
      <c r="D578" s="21">
        <v>0.87</v>
      </c>
      <c r="E578" s="21">
        <v>0.29849999999999999</v>
      </c>
      <c r="F578" s="21">
        <v>1</v>
      </c>
      <c r="G578" s="21">
        <v>29</v>
      </c>
      <c r="H578" s="23">
        <v>30</v>
      </c>
      <c r="I578" s="23">
        <v>0.21210000000000001</v>
      </c>
      <c r="J578" s="18"/>
      <c r="K578" s="5"/>
      <c r="L578" s="5"/>
      <c r="M578" s="5"/>
      <c r="N578" s="5"/>
      <c r="O578" s="5"/>
      <c r="P578" s="5"/>
      <c r="Q578" s="5"/>
      <c r="R578" s="5"/>
      <c r="S578" s="5"/>
      <c r="T578" s="5"/>
      <c r="U578" s="5"/>
      <c r="V578" s="5"/>
      <c r="W578" s="5"/>
      <c r="X578" s="5"/>
      <c r="Y578" s="5"/>
    </row>
    <row r="579" spans="1:25" ht="15" thickBot="1" x14ac:dyDescent="0.35">
      <c r="A579" s="27">
        <v>577</v>
      </c>
      <c r="B579" s="21">
        <v>578</v>
      </c>
      <c r="C579" s="22">
        <v>0.21210000000000001</v>
      </c>
      <c r="D579" s="21">
        <v>0.87</v>
      </c>
      <c r="E579" s="21">
        <v>0.29849999999999999</v>
      </c>
      <c r="F579" s="21">
        <v>3</v>
      </c>
      <c r="G579" s="21">
        <v>69</v>
      </c>
      <c r="H579" s="23">
        <v>72</v>
      </c>
      <c r="I579" s="23">
        <v>0.21210000000000001</v>
      </c>
      <c r="J579" s="18"/>
      <c r="K579" s="5"/>
      <c r="L579" s="5"/>
      <c r="M579" s="5"/>
      <c r="N579" s="5"/>
      <c r="O579" s="5"/>
      <c r="P579" s="5"/>
      <c r="Q579" s="5"/>
      <c r="R579" s="5"/>
      <c r="S579" s="5"/>
      <c r="T579" s="5"/>
      <c r="U579" s="5"/>
      <c r="V579" s="5"/>
      <c r="W579" s="5"/>
      <c r="X579" s="5"/>
      <c r="Y579" s="5"/>
    </row>
    <row r="580" spans="1:25" ht="15" thickBot="1" x14ac:dyDescent="0.35">
      <c r="A580" s="27">
        <v>578</v>
      </c>
      <c r="B580" s="21">
        <v>579</v>
      </c>
      <c r="C580" s="22">
        <v>0.21210000000000001</v>
      </c>
      <c r="D580" s="21">
        <v>0.87</v>
      </c>
      <c r="E580" s="21">
        <v>0.29849999999999999</v>
      </c>
      <c r="F580" s="21">
        <v>3</v>
      </c>
      <c r="G580" s="21">
        <v>55</v>
      </c>
      <c r="H580" s="23">
        <v>58</v>
      </c>
      <c r="I580" s="23">
        <v>0.21210000000000001</v>
      </c>
      <c r="J580" s="18"/>
      <c r="K580" s="5"/>
      <c r="L580" s="5"/>
      <c r="M580" s="5"/>
      <c r="N580" s="5"/>
      <c r="O580" s="5"/>
      <c r="P580" s="5"/>
      <c r="Q580" s="5"/>
      <c r="R580" s="5"/>
      <c r="S580" s="5"/>
      <c r="T580" s="5"/>
      <c r="U580" s="5"/>
      <c r="V580" s="5"/>
      <c r="W580" s="5"/>
      <c r="X580" s="5"/>
      <c r="Y580" s="5"/>
    </row>
    <row r="581" spans="1:25" ht="15" thickBot="1" x14ac:dyDescent="0.35">
      <c r="A581" s="27">
        <v>579</v>
      </c>
      <c r="B581" s="21">
        <v>580</v>
      </c>
      <c r="C581" s="22">
        <v>0.21210000000000001</v>
      </c>
      <c r="D581" s="21">
        <v>0.93</v>
      </c>
      <c r="E581" s="21">
        <v>0.28360000000000002</v>
      </c>
      <c r="F581" s="21">
        <v>2</v>
      </c>
      <c r="G581" s="21">
        <v>26</v>
      </c>
      <c r="H581" s="23">
        <v>28</v>
      </c>
      <c r="I581" s="23">
        <v>0.21210000000000001</v>
      </c>
      <c r="J581" s="18"/>
      <c r="K581" s="5"/>
      <c r="L581" s="5"/>
      <c r="M581" s="5"/>
      <c r="N581" s="5"/>
      <c r="O581" s="5"/>
      <c r="P581" s="5"/>
      <c r="Q581" s="5"/>
      <c r="R581" s="5"/>
      <c r="S581" s="5"/>
      <c r="T581" s="5"/>
      <c r="U581" s="5"/>
      <c r="V581" s="5"/>
      <c r="W581" s="5"/>
      <c r="X581" s="5"/>
      <c r="Y581" s="5"/>
    </row>
    <row r="582" spans="1:25" ht="15" thickBot="1" x14ac:dyDescent="0.35">
      <c r="A582" s="27">
        <v>580</v>
      </c>
      <c r="B582" s="21">
        <v>581</v>
      </c>
      <c r="C582" s="22">
        <v>0.19700000000000001</v>
      </c>
      <c r="D582" s="21">
        <v>0.93</v>
      </c>
      <c r="E582" s="21">
        <v>0.32840000000000003</v>
      </c>
      <c r="F582" s="21">
        <v>6</v>
      </c>
      <c r="G582" s="21">
        <v>35</v>
      </c>
      <c r="H582" s="23">
        <v>41</v>
      </c>
      <c r="I582" s="23">
        <v>0.19700000000000001</v>
      </c>
      <c r="J582" s="18"/>
      <c r="K582" s="5"/>
      <c r="L582" s="5"/>
      <c r="M582" s="5"/>
      <c r="N582" s="5"/>
      <c r="O582" s="5"/>
      <c r="P582" s="5"/>
      <c r="Q582" s="5"/>
      <c r="R582" s="5"/>
      <c r="S582" s="5"/>
      <c r="T582" s="5"/>
      <c r="U582" s="5"/>
      <c r="V582" s="5"/>
      <c r="W582" s="5"/>
      <c r="X582" s="5"/>
      <c r="Y582" s="5"/>
    </row>
    <row r="583" spans="1:25" ht="15" thickBot="1" x14ac:dyDescent="0.35">
      <c r="A583" s="27">
        <v>581</v>
      </c>
      <c r="B583" s="21">
        <v>582</v>
      </c>
      <c r="C583" s="22">
        <v>0.19700000000000001</v>
      </c>
      <c r="D583" s="21">
        <v>0.93</v>
      </c>
      <c r="E583" s="21">
        <v>0.32840000000000003</v>
      </c>
      <c r="F583" s="21">
        <v>7</v>
      </c>
      <c r="G583" s="21">
        <v>41</v>
      </c>
      <c r="H583" s="23">
        <v>48</v>
      </c>
      <c r="I583" s="23">
        <v>0.19700000000000001</v>
      </c>
      <c r="J583" s="18"/>
      <c r="K583" s="5"/>
      <c r="L583" s="5"/>
      <c r="M583" s="5"/>
      <c r="N583" s="5"/>
      <c r="O583" s="5"/>
      <c r="P583" s="5"/>
      <c r="Q583" s="5"/>
      <c r="R583" s="5"/>
      <c r="S583" s="5"/>
      <c r="T583" s="5"/>
      <c r="U583" s="5"/>
      <c r="V583" s="5"/>
      <c r="W583" s="5"/>
      <c r="X583" s="5"/>
      <c r="Y583" s="5"/>
    </row>
    <row r="584" spans="1:25" ht="15" thickBot="1" x14ac:dyDescent="0.35">
      <c r="A584" s="27">
        <v>582</v>
      </c>
      <c r="B584" s="21">
        <v>583</v>
      </c>
      <c r="C584" s="22">
        <v>0.19700000000000001</v>
      </c>
      <c r="D584" s="21">
        <v>0.93</v>
      </c>
      <c r="E584" s="21">
        <v>0.32840000000000003</v>
      </c>
      <c r="F584" s="21">
        <v>4</v>
      </c>
      <c r="G584" s="21">
        <v>43</v>
      </c>
      <c r="H584" s="23">
        <v>47</v>
      </c>
      <c r="I584" s="23">
        <v>0.19700000000000001</v>
      </c>
      <c r="J584" s="18"/>
      <c r="K584" s="5"/>
      <c r="L584" s="5"/>
      <c r="M584" s="5"/>
      <c r="N584" s="5"/>
      <c r="O584" s="5"/>
      <c r="P584" s="5"/>
      <c r="Q584" s="5"/>
      <c r="R584" s="5"/>
      <c r="S584" s="5"/>
      <c r="T584" s="5"/>
      <c r="U584" s="5"/>
      <c r="V584" s="5"/>
      <c r="W584" s="5"/>
      <c r="X584" s="5"/>
      <c r="Y584" s="5"/>
    </row>
    <row r="585" spans="1:25" ht="15" thickBot="1" x14ac:dyDescent="0.35">
      <c r="A585" s="27">
        <v>583</v>
      </c>
      <c r="B585" s="21">
        <v>584</v>
      </c>
      <c r="C585" s="22">
        <v>0.19700000000000001</v>
      </c>
      <c r="D585" s="21">
        <v>0.93</v>
      </c>
      <c r="E585" s="21">
        <v>0.35820000000000002</v>
      </c>
      <c r="F585" s="21">
        <v>0</v>
      </c>
      <c r="G585" s="21">
        <v>36</v>
      </c>
      <c r="H585" s="23">
        <v>36</v>
      </c>
      <c r="I585" s="23">
        <v>0.19700000000000001</v>
      </c>
      <c r="J585" s="18"/>
      <c r="K585" s="5"/>
      <c r="L585" s="5"/>
      <c r="M585" s="5"/>
      <c r="N585" s="5"/>
      <c r="O585" s="5"/>
      <c r="P585" s="5"/>
      <c r="Q585" s="5"/>
      <c r="R585" s="5"/>
      <c r="S585" s="5"/>
      <c r="T585" s="5"/>
      <c r="U585" s="5"/>
      <c r="V585" s="5"/>
      <c r="W585" s="5"/>
      <c r="X585" s="5"/>
      <c r="Y585" s="5"/>
    </row>
    <row r="586" spans="1:25" ht="15" thickBot="1" x14ac:dyDescent="0.35">
      <c r="A586" s="27">
        <v>584</v>
      </c>
      <c r="B586" s="21">
        <v>585</v>
      </c>
      <c r="C586" s="22">
        <v>0.18179999999999999</v>
      </c>
      <c r="D586" s="21">
        <v>0.93</v>
      </c>
      <c r="E586" s="21">
        <v>0.4627</v>
      </c>
      <c r="F586" s="21">
        <v>1</v>
      </c>
      <c r="G586" s="21">
        <v>42</v>
      </c>
      <c r="H586" s="23">
        <v>43</v>
      </c>
      <c r="I586" s="23">
        <v>0.18179999999999999</v>
      </c>
      <c r="J586" s="18"/>
      <c r="K586" s="5"/>
      <c r="L586" s="5"/>
      <c r="M586" s="5"/>
      <c r="N586" s="5"/>
      <c r="O586" s="5"/>
      <c r="P586" s="5"/>
      <c r="Q586" s="5"/>
      <c r="R586" s="5"/>
      <c r="S586" s="5"/>
      <c r="T586" s="5"/>
      <c r="U586" s="5"/>
      <c r="V586" s="5"/>
      <c r="W586" s="5"/>
      <c r="X586" s="5"/>
      <c r="Y586" s="5"/>
    </row>
    <row r="587" spans="1:25" ht="15" thickBot="1" x14ac:dyDescent="0.35">
      <c r="A587" s="27">
        <v>585</v>
      </c>
      <c r="B587" s="21">
        <v>586</v>
      </c>
      <c r="C587" s="22">
        <v>0.19700000000000001</v>
      </c>
      <c r="D587" s="21">
        <v>0.93</v>
      </c>
      <c r="E587" s="21">
        <v>0.32840000000000003</v>
      </c>
      <c r="F587" s="21">
        <v>1</v>
      </c>
      <c r="G587" s="21">
        <v>35</v>
      </c>
      <c r="H587" s="23">
        <v>36</v>
      </c>
      <c r="I587" s="23">
        <v>0.19700000000000001</v>
      </c>
      <c r="J587" s="18"/>
      <c r="K587" s="5"/>
      <c r="L587" s="5"/>
      <c r="M587" s="5"/>
      <c r="N587" s="5"/>
      <c r="O587" s="5"/>
      <c r="P587" s="5"/>
      <c r="Q587" s="5"/>
      <c r="R587" s="5"/>
      <c r="S587" s="5"/>
      <c r="T587" s="5"/>
      <c r="U587" s="5"/>
      <c r="V587" s="5"/>
      <c r="W587" s="5"/>
      <c r="X587" s="5"/>
      <c r="Y587" s="5"/>
    </row>
    <row r="588" spans="1:25" ht="15" thickBot="1" x14ac:dyDescent="0.35">
      <c r="A588" s="27">
        <v>586</v>
      </c>
      <c r="B588" s="21">
        <v>587</v>
      </c>
      <c r="C588" s="22">
        <v>0.18179999999999999</v>
      </c>
      <c r="D588" s="21">
        <v>0.93</v>
      </c>
      <c r="E588" s="21">
        <v>0.35820000000000002</v>
      </c>
      <c r="F588" s="21">
        <v>0</v>
      </c>
      <c r="G588" s="21">
        <v>26</v>
      </c>
      <c r="H588" s="23">
        <v>26</v>
      </c>
      <c r="I588" s="23">
        <v>0.18179999999999999</v>
      </c>
      <c r="J588" s="18"/>
      <c r="K588" s="5"/>
      <c r="L588" s="5"/>
      <c r="M588" s="5"/>
      <c r="N588" s="5"/>
      <c r="O588" s="5"/>
      <c r="P588" s="5"/>
      <c r="Q588" s="5"/>
      <c r="R588" s="5"/>
      <c r="S588" s="5"/>
      <c r="T588" s="5"/>
      <c r="U588" s="5"/>
      <c r="V588" s="5"/>
      <c r="W588" s="5"/>
      <c r="X588" s="5"/>
      <c r="Y588" s="5"/>
    </row>
    <row r="589" spans="1:25" ht="15" thickBot="1" x14ac:dyDescent="0.35">
      <c r="A589" s="27">
        <v>587</v>
      </c>
      <c r="B589" s="21">
        <v>588</v>
      </c>
      <c r="C589" s="22">
        <v>0.2273</v>
      </c>
      <c r="D589" s="21">
        <v>0.55000000000000004</v>
      </c>
      <c r="E589" s="21">
        <v>0.19400000000000001</v>
      </c>
      <c r="F589" s="21">
        <v>1</v>
      </c>
      <c r="G589" s="21">
        <v>23</v>
      </c>
      <c r="H589" s="23">
        <v>24</v>
      </c>
      <c r="I589" s="23">
        <v>0.2273</v>
      </c>
      <c r="J589" s="18"/>
      <c r="K589" s="5"/>
      <c r="L589" s="5"/>
      <c r="M589" s="5"/>
      <c r="N589" s="5"/>
      <c r="O589" s="5"/>
      <c r="P589" s="5"/>
      <c r="Q589" s="5"/>
      <c r="R589" s="5"/>
      <c r="S589" s="5"/>
      <c r="T589" s="5"/>
      <c r="U589" s="5"/>
      <c r="V589" s="5"/>
      <c r="W589" s="5"/>
      <c r="X589" s="5"/>
      <c r="Y589" s="5"/>
    </row>
    <row r="590" spans="1:25" ht="15" thickBot="1" x14ac:dyDescent="0.35">
      <c r="A590" s="27">
        <v>588</v>
      </c>
      <c r="B590" s="21">
        <v>589</v>
      </c>
      <c r="C590" s="22">
        <v>0.2424</v>
      </c>
      <c r="D590" s="21">
        <v>0.55000000000000004</v>
      </c>
      <c r="E590" s="21">
        <v>0.1045</v>
      </c>
      <c r="F590" s="21">
        <v>2</v>
      </c>
      <c r="G590" s="21">
        <v>82</v>
      </c>
      <c r="H590" s="23">
        <v>84</v>
      </c>
      <c r="I590" s="23">
        <v>0.2424</v>
      </c>
      <c r="J590" s="18"/>
      <c r="K590" s="5"/>
      <c r="L590" s="5"/>
      <c r="M590" s="5"/>
      <c r="N590" s="5"/>
      <c r="O590" s="5"/>
      <c r="P590" s="5"/>
      <c r="Q590" s="5"/>
      <c r="R590" s="5"/>
      <c r="S590" s="5"/>
      <c r="T590" s="5"/>
      <c r="U590" s="5"/>
      <c r="V590" s="5"/>
      <c r="W590" s="5"/>
      <c r="X590" s="5"/>
      <c r="Y590" s="5"/>
    </row>
    <row r="591" spans="1:25" ht="15" thickBot="1" x14ac:dyDescent="0.35">
      <c r="A591" s="27">
        <v>589</v>
      </c>
      <c r="B591" s="21">
        <v>590</v>
      </c>
      <c r="C591" s="22">
        <v>0.2273</v>
      </c>
      <c r="D591" s="21">
        <v>0.69</v>
      </c>
      <c r="E591" s="21">
        <v>8.9599999999999999E-2</v>
      </c>
      <c r="F591" s="21">
        <v>3</v>
      </c>
      <c r="G591" s="21">
        <v>101</v>
      </c>
      <c r="H591" s="23">
        <v>104</v>
      </c>
      <c r="I591" s="23">
        <v>0.2273</v>
      </c>
      <c r="J591" s="18"/>
      <c r="K591" s="5"/>
      <c r="L591" s="5"/>
      <c r="M591" s="5"/>
      <c r="N591" s="5"/>
      <c r="O591" s="5"/>
      <c r="P591" s="5"/>
      <c r="Q591" s="5"/>
      <c r="R591" s="5"/>
      <c r="S591" s="5"/>
      <c r="T591" s="5"/>
      <c r="U591" s="5"/>
      <c r="V591" s="5"/>
      <c r="W591" s="5"/>
      <c r="X591" s="5"/>
      <c r="Y591" s="5"/>
    </row>
    <row r="592" spans="1:25" ht="15" thickBot="1" x14ac:dyDescent="0.35">
      <c r="A592" s="27">
        <v>590</v>
      </c>
      <c r="B592" s="21">
        <v>591</v>
      </c>
      <c r="C592" s="22">
        <v>0.2273</v>
      </c>
      <c r="D592" s="21">
        <v>0.69</v>
      </c>
      <c r="E592" s="21">
        <v>8.9599999999999999E-2</v>
      </c>
      <c r="F592" s="21">
        <v>3</v>
      </c>
      <c r="G592" s="21">
        <v>76</v>
      </c>
      <c r="H592" s="23">
        <v>79</v>
      </c>
      <c r="I592" s="23">
        <v>0.2273</v>
      </c>
      <c r="J592" s="18"/>
      <c r="K592" s="5"/>
      <c r="L592" s="5"/>
      <c r="M592" s="5"/>
      <c r="N592" s="5"/>
      <c r="O592" s="5"/>
      <c r="P592" s="5"/>
      <c r="Q592" s="5"/>
      <c r="R592" s="5"/>
      <c r="S592" s="5"/>
      <c r="T592" s="5"/>
      <c r="U592" s="5"/>
      <c r="V592" s="5"/>
      <c r="W592" s="5"/>
      <c r="X592" s="5"/>
      <c r="Y592" s="5"/>
    </row>
    <row r="593" spans="1:25" ht="15" thickBot="1" x14ac:dyDescent="0.35">
      <c r="A593" s="27">
        <v>591</v>
      </c>
      <c r="B593" s="21">
        <v>592</v>
      </c>
      <c r="C593" s="22">
        <v>0.21210000000000001</v>
      </c>
      <c r="D593" s="21">
        <v>0.74</v>
      </c>
      <c r="E593" s="21">
        <v>8.9599999999999999E-2</v>
      </c>
      <c r="F593" s="21">
        <v>4</v>
      </c>
      <c r="G593" s="21">
        <v>55</v>
      </c>
      <c r="H593" s="23">
        <v>59</v>
      </c>
      <c r="I593" s="23">
        <v>0.21210000000000001</v>
      </c>
      <c r="J593" s="18"/>
      <c r="K593" s="5"/>
      <c r="L593" s="5"/>
      <c r="M593" s="5"/>
      <c r="N593" s="5"/>
      <c r="O593" s="5"/>
      <c r="P593" s="5"/>
      <c r="Q593" s="5"/>
      <c r="R593" s="5"/>
      <c r="S593" s="5"/>
      <c r="T593" s="5"/>
      <c r="U593" s="5"/>
      <c r="V593" s="5"/>
      <c r="W593" s="5"/>
      <c r="X593" s="5"/>
      <c r="Y593" s="5"/>
    </row>
    <row r="594" spans="1:25" ht="15" thickBot="1" x14ac:dyDescent="0.35">
      <c r="A594" s="27">
        <v>592</v>
      </c>
      <c r="B594" s="21">
        <v>593</v>
      </c>
      <c r="C594" s="22">
        <v>0.21210000000000001</v>
      </c>
      <c r="D594" s="21">
        <v>0.74</v>
      </c>
      <c r="E594" s="21">
        <v>8.9599999999999999E-2</v>
      </c>
      <c r="F594" s="21">
        <v>2</v>
      </c>
      <c r="G594" s="21">
        <v>36</v>
      </c>
      <c r="H594" s="23">
        <v>38</v>
      </c>
      <c r="I594" s="23">
        <v>0.21210000000000001</v>
      </c>
      <c r="J594" s="18"/>
      <c r="K594" s="5"/>
      <c r="L594" s="5"/>
      <c r="M594" s="5"/>
      <c r="N594" s="5"/>
      <c r="O594" s="5"/>
      <c r="P594" s="5"/>
      <c r="Q594" s="5"/>
      <c r="R594" s="5"/>
      <c r="S594" s="5"/>
      <c r="T594" s="5"/>
      <c r="U594" s="5"/>
      <c r="V594" s="5"/>
      <c r="W594" s="5"/>
      <c r="X594" s="5"/>
      <c r="Y594" s="5"/>
    </row>
    <row r="595" spans="1:25" ht="15" thickBot="1" x14ac:dyDescent="0.35">
      <c r="A595" s="27">
        <v>593</v>
      </c>
      <c r="B595" s="21">
        <v>594</v>
      </c>
      <c r="C595" s="22">
        <v>0.21210000000000001</v>
      </c>
      <c r="D595" s="21">
        <v>0.74</v>
      </c>
      <c r="E595" s="21">
        <v>8.9599999999999999E-2</v>
      </c>
      <c r="F595" s="21">
        <v>0</v>
      </c>
      <c r="G595" s="21">
        <v>27</v>
      </c>
      <c r="H595" s="23">
        <v>27</v>
      </c>
      <c r="I595" s="23">
        <v>0.21210000000000001</v>
      </c>
      <c r="J595" s="18"/>
      <c r="K595" s="5"/>
      <c r="L595" s="5"/>
      <c r="M595" s="5"/>
      <c r="N595" s="5"/>
      <c r="O595" s="5"/>
      <c r="P595" s="5"/>
      <c r="Q595" s="5"/>
      <c r="R595" s="5"/>
      <c r="S595" s="5"/>
      <c r="T595" s="5"/>
      <c r="U595" s="5"/>
      <c r="V595" s="5"/>
      <c r="W595" s="5"/>
      <c r="X595" s="5"/>
      <c r="Y595" s="5"/>
    </row>
    <row r="596" spans="1:25" ht="15" thickBot="1" x14ac:dyDescent="0.35">
      <c r="A596" s="27">
        <v>594</v>
      </c>
      <c r="B596" s="21">
        <v>595</v>
      </c>
      <c r="C596" s="22">
        <v>0.19700000000000001</v>
      </c>
      <c r="D596" s="21">
        <v>0.8</v>
      </c>
      <c r="E596" s="21">
        <v>0.16420000000000001</v>
      </c>
      <c r="F596" s="21">
        <v>0</v>
      </c>
      <c r="G596" s="21">
        <v>16</v>
      </c>
      <c r="H596" s="23">
        <v>16</v>
      </c>
      <c r="I596" s="23">
        <v>0.19700000000000001</v>
      </c>
      <c r="J596" s="18"/>
      <c r="K596" s="5"/>
      <c r="L596" s="5"/>
      <c r="M596" s="5"/>
      <c r="N596" s="5"/>
      <c r="O596" s="5"/>
      <c r="P596" s="5"/>
      <c r="Q596" s="5"/>
      <c r="R596" s="5"/>
      <c r="S596" s="5"/>
      <c r="T596" s="5"/>
      <c r="U596" s="5"/>
      <c r="V596" s="5"/>
      <c r="W596" s="5"/>
      <c r="X596" s="5"/>
      <c r="Y596" s="5"/>
    </row>
    <row r="597" spans="1:25" ht="15" thickBot="1" x14ac:dyDescent="0.35">
      <c r="A597" s="27">
        <v>595</v>
      </c>
      <c r="B597" s="21">
        <v>596</v>
      </c>
      <c r="C597" s="22">
        <v>0.21210000000000001</v>
      </c>
      <c r="D597" s="21">
        <v>0.75</v>
      </c>
      <c r="E597" s="21">
        <v>0.1343</v>
      </c>
      <c r="F597" s="21">
        <v>0</v>
      </c>
      <c r="G597" s="21">
        <v>9</v>
      </c>
      <c r="H597" s="23">
        <v>9</v>
      </c>
      <c r="I597" s="23">
        <v>0.21210000000000001</v>
      </c>
      <c r="J597" s="18"/>
      <c r="K597" s="5"/>
      <c r="L597" s="5"/>
      <c r="M597" s="5"/>
      <c r="N597" s="5"/>
      <c r="O597" s="5"/>
      <c r="P597" s="5"/>
      <c r="Q597" s="5"/>
      <c r="R597" s="5"/>
      <c r="S597" s="5"/>
      <c r="T597" s="5"/>
      <c r="U597" s="5"/>
      <c r="V597" s="5"/>
      <c r="W597" s="5"/>
      <c r="X597" s="5"/>
      <c r="Y597" s="5"/>
    </row>
    <row r="598" spans="1:25" ht="15" thickBot="1" x14ac:dyDescent="0.35">
      <c r="A598" s="27">
        <v>596</v>
      </c>
      <c r="B598" s="21">
        <v>597</v>
      </c>
      <c r="C598" s="22">
        <v>0.21210000000000001</v>
      </c>
      <c r="D598" s="21">
        <v>0.75</v>
      </c>
      <c r="E598" s="21">
        <v>0.1343</v>
      </c>
      <c r="F598" s="21">
        <v>1</v>
      </c>
      <c r="G598" s="21">
        <v>2</v>
      </c>
      <c r="H598" s="23">
        <v>3</v>
      </c>
      <c r="I598" s="23">
        <v>0.21210000000000001</v>
      </c>
      <c r="J598" s="18"/>
      <c r="K598" s="5"/>
      <c r="L598" s="5"/>
      <c r="M598" s="5"/>
      <c r="N598" s="5"/>
      <c r="O598" s="5"/>
      <c r="P598" s="5"/>
      <c r="Q598" s="5"/>
      <c r="R598" s="5"/>
      <c r="S598" s="5"/>
      <c r="T598" s="5"/>
      <c r="U598" s="5"/>
      <c r="V598" s="5"/>
      <c r="W598" s="5"/>
      <c r="X598" s="5"/>
      <c r="Y598" s="5"/>
    </row>
    <row r="599" spans="1:25" ht="15" thickBot="1" x14ac:dyDescent="0.35">
      <c r="A599" s="27">
        <v>597</v>
      </c>
      <c r="B599" s="21">
        <v>598</v>
      </c>
      <c r="C599" s="22">
        <v>0.21210000000000001</v>
      </c>
      <c r="D599" s="21">
        <v>0.75</v>
      </c>
      <c r="E599" s="21">
        <v>0.16420000000000001</v>
      </c>
      <c r="F599" s="21">
        <v>0</v>
      </c>
      <c r="G599" s="21">
        <v>2</v>
      </c>
      <c r="H599" s="23">
        <v>2</v>
      </c>
      <c r="I599" s="23">
        <v>0.21210000000000001</v>
      </c>
      <c r="J599" s="18"/>
      <c r="K599" s="5"/>
      <c r="L599" s="5"/>
      <c r="M599" s="5"/>
      <c r="N599" s="5"/>
      <c r="O599" s="5"/>
      <c r="P599" s="5"/>
      <c r="Q599" s="5"/>
      <c r="R599" s="5"/>
      <c r="S599" s="5"/>
      <c r="T599" s="5"/>
      <c r="U599" s="5"/>
      <c r="V599" s="5"/>
      <c r="W599" s="5"/>
      <c r="X599" s="5"/>
      <c r="Y599" s="5"/>
    </row>
    <row r="600" spans="1:25" ht="15" thickBot="1" x14ac:dyDescent="0.35">
      <c r="A600" s="27">
        <v>598</v>
      </c>
      <c r="B600" s="21">
        <v>599</v>
      </c>
      <c r="C600" s="22">
        <v>0.2273</v>
      </c>
      <c r="D600" s="21">
        <v>0.75</v>
      </c>
      <c r="E600" s="21">
        <v>0.1045</v>
      </c>
      <c r="F600" s="21">
        <v>1</v>
      </c>
      <c r="G600" s="21">
        <v>0</v>
      </c>
      <c r="H600" s="23">
        <v>1</v>
      </c>
      <c r="I600" s="23">
        <v>0.2273</v>
      </c>
      <c r="J600" s="18"/>
      <c r="K600" s="5"/>
      <c r="L600" s="5"/>
      <c r="M600" s="5"/>
      <c r="N600" s="5"/>
      <c r="O600" s="5"/>
      <c r="P600" s="5"/>
      <c r="Q600" s="5"/>
      <c r="R600" s="5"/>
      <c r="S600" s="5"/>
      <c r="T600" s="5"/>
      <c r="U600" s="5"/>
      <c r="V600" s="5"/>
      <c r="W600" s="5"/>
      <c r="X600" s="5"/>
      <c r="Y600" s="5"/>
    </row>
    <row r="601" spans="1:25" ht="15" thickBot="1" x14ac:dyDescent="0.35">
      <c r="A601" s="27">
        <v>599</v>
      </c>
      <c r="B601" s="21">
        <v>600</v>
      </c>
      <c r="C601" s="22">
        <v>0.21210000000000001</v>
      </c>
      <c r="D601" s="21">
        <v>0.8</v>
      </c>
      <c r="E601" s="21">
        <v>0.1045</v>
      </c>
      <c r="F601" s="21">
        <v>0</v>
      </c>
      <c r="G601" s="21">
        <v>4</v>
      </c>
      <c r="H601" s="23">
        <v>4</v>
      </c>
      <c r="I601" s="23">
        <v>0.21210000000000001</v>
      </c>
      <c r="J601" s="18"/>
      <c r="K601" s="5"/>
      <c r="L601" s="5"/>
      <c r="M601" s="5"/>
      <c r="N601" s="5"/>
      <c r="O601" s="5"/>
      <c r="P601" s="5"/>
      <c r="Q601" s="5"/>
      <c r="R601" s="5"/>
      <c r="S601" s="5"/>
      <c r="T601" s="5"/>
      <c r="U601" s="5"/>
      <c r="V601" s="5"/>
      <c r="W601" s="5"/>
      <c r="X601" s="5"/>
      <c r="Y601" s="5"/>
    </row>
    <row r="602" spans="1:25" ht="15" thickBot="1" x14ac:dyDescent="0.35">
      <c r="A602" s="27">
        <v>600</v>
      </c>
      <c r="B602" s="21">
        <v>601</v>
      </c>
      <c r="C602" s="22">
        <v>0.19700000000000001</v>
      </c>
      <c r="D602" s="21">
        <v>0.8</v>
      </c>
      <c r="E602" s="21">
        <v>0.1343</v>
      </c>
      <c r="F602" s="21">
        <v>0</v>
      </c>
      <c r="G602" s="21">
        <v>16</v>
      </c>
      <c r="H602" s="23">
        <v>16</v>
      </c>
      <c r="I602" s="23">
        <v>0.19700000000000001</v>
      </c>
      <c r="J602" s="18"/>
      <c r="K602" s="5"/>
      <c r="L602" s="5"/>
      <c r="M602" s="5"/>
      <c r="N602" s="5"/>
      <c r="O602" s="5"/>
      <c r="P602" s="5"/>
      <c r="Q602" s="5"/>
      <c r="R602" s="5"/>
      <c r="S602" s="5"/>
      <c r="T602" s="5"/>
      <c r="U602" s="5"/>
      <c r="V602" s="5"/>
      <c r="W602" s="5"/>
      <c r="X602" s="5"/>
      <c r="Y602" s="5"/>
    </row>
    <row r="603" spans="1:25" ht="15" thickBot="1" x14ac:dyDescent="0.35">
      <c r="A603" s="27">
        <v>601</v>
      </c>
      <c r="B603" s="21">
        <v>602</v>
      </c>
      <c r="C603" s="22">
        <v>0.19700000000000001</v>
      </c>
      <c r="D603" s="21">
        <v>0.86</v>
      </c>
      <c r="E603" s="21">
        <v>8.9599999999999999E-2</v>
      </c>
      <c r="F603" s="21">
        <v>2</v>
      </c>
      <c r="G603" s="21">
        <v>58</v>
      </c>
      <c r="H603" s="23">
        <v>60</v>
      </c>
      <c r="I603" s="23">
        <v>0.19700000000000001</v>
      </c>
      <c r="J603" s="18"/>
      <c r="K603" s="5"/>
      <c r="L603" s="5"/>
      <c r="M603" s="5"/>
      <c r="N603" s="5"/>
      <c r="O603" s="5"/>
      <c r="P603" s="5"/>
      <c r="Q603" s="5"/>
      <c r="R603" s="5"/>
      <c r="S603" s="5"/>
      <c r="T603" s="5"/>
      <c r="U603" s="5"/>
      <c r="V603" s="5"/>
      <c r="W603" s="5"/>
      <c r="X603" s="5"/>
      <c r="Y603" s="5"/>
    </row>
    <row r="604" spans="1:25" ht="15" thickBot="1" x14ac:dyDescent="0.35">
      <c r="A604" s="27">
        <v>602</v>
      </c>
      <c r="B604" s="21">
        <v>603</v>
      </c>
      <c r="C604" s="22">
        <v>0.19700000000000001</v>
      </c>
      <c r="D604" s="21">
        <v>0.86</v>
      </c>
      <c r="E604" s="21">
        <v>8.9599999999999999E-2</v>
      </c>
      <c r="F604" s="21">
        <v>2</v>
      </c>
      <c r="G604" s="21">
        <v>155</v>
      </c>
      <c r="H604" s="23">
        <v>157</v>
      </c>
      <c r="I604" s="23">
        <v>0.19700000000000001</v>
      </c>
      <c r="J604" s="18"/>
      <c r="K604" s="5"/>
      <c r="L604" s="5"/>
      <c r="M604" s="5"/>
      <c r="N604" s="5"/>
      <c r="O604" s="5"/>
      <c r="P604" s="5"/>
      <c r="Q604" s="5"/>
      <c r="R604" s="5"/>
      <c r="S604" s="5"/>
      <c r="T604" s="5"/>
      <c r="U604" s="5"/>
      <c r="V604" s="5"/>
      <c r="W604" s="5"/>
      <c r="X604" s="5"/>
      <c r="Y604" s="5"/>
    </row>
    <row r="605" spans="1:25" ht="15" thickBot="1" x14ac:dyDescent="0.35">
      <c r="A605" s="27">
        <v>603</v>
      </c>
      <c r="B605" s="21">
        <v>604</v>
      </c>
      <c r="C605" s="22">
        <v>0.21210000000000001</v>
      </c>
      <c r="D605" s="21">
        <v>0.86</v>
      </c>
      <c r="E605" s="21">
        <v>8.9599999999999999E-2</v>
      </c>
      <c r="F605" s="21">
        <v>6</v>
      </c>
      <c r="G605" s="21">
        <v>95</v>
      </c>
      <c r="H605" s="23">
        <v>101</v>
      </c>
      <c r="I605" s="23">
        <v>0.21210000000000001</v>
      </c>
      <c r="J605" s="18"/>
      <c r="K605" s="5"/>
      <c r="L605" s="5"/>
      <c r="M605" s="5"/>
      <c r="N605" s="5"/>
      <c r="O605" s="5"/>
      <c r="P605" s="5"/>
      <c r="Q605" s="5"/>
      <c r="R605" s="5"/>
      <c r="S605" s="5"/>
      <c r="T605" s="5"/>
      <c r="U605" s="5"/>
      <c r="V605" s="5"/>
      <c r="W605" s="5"/>
      <c r="X605" s="5"/>
      <c r="Y605" s="5"/>
    </row>
    <row r="606" spans="1:25" ht="15" thickBot="1" x14ac:dyDescent="0.35">
      <c r="A606" s="27">
        <v>604</v>
      </c>
      <c r="B606" s="21">
        <v>605</v>
      </c>
      <c r="C606" s="22">
        <v>0.21210000000000001</v>
      </c>
      <c r="D606" s="21">
        <v>0.86</v>
      </c>
      <c r="E606" s="21">
        <v>0.1045</v>
      </c>
      <c r="F606" s="21">
        <v>0</v>
      </c>
      <c r="G606" s="21">
        <v>49</v>
      </c>
      <c r="H606" s="23">
        <v>49</v>
      </c>
      <c r="I606" s="23">
        <v>0.21210000000000001</v>
      </c>
      <c r="J606" s="18"/>
      <c r="K606" s="5"/>
      <c r="L606" s="5"/>
      <c r="M606" s="5"/>
      <c r="N606" s="5"/>
      <c r="O606" s="5"/>
      <c r="P606" s="5"/>
      <c r="Q606" s="5"/>
      <c r="R606" s="5"/>
      <c r="S606" s="5"/>
      <c r="T606" s="5"/>
      <c r="U606" s="5"/>
      <c r="V606" s="5"/>
      <c r="W606" s="5"/>
      <c r="X606" s="5"/>
      <c r="Y606" s="5"/>
    </row>
    <row r="607" spans="1:25" ht="15" thickBot="1" x14ac:dyDescent="0.35">
      <c r="A607" s="27">
        <v>605</v>
      </c>
      <c r="B607" s="21">
        <v>606</v>
      </c>
      <c r="C607" s="22">
        <v>0.21210000000000001</v>
      </c>
      <c r="D607" s="21">
        <v>0.93</v>
      </c>
      <c r="E607" s="21">
        <v>0.1045</v>
      </c>
      <c r="F607" s="21">
        <v>0</v>
      </c>
      <c r="G607" s="21">
        <v>30</v>
      </c>
      <c r="H607" s="23">
        <v>30</v>
      </c>
      <c r="I607" s="23">
        <v>0.21210000000000001</v>
      </c>
      <c r="J607" s="18"/>
      <c r="K607" s="5"/>
      <c r="L607" s="5"/>
      <c r="M607" s="5"/>
      <c r="N607" s="5"/>
      <c r="O607" s="5"/>
      <c r="P607" s="5"/>
      <c r="Q607" s="5"/>
      <c r="R607" s="5"/>
      <c r="S607" s="5"/>
      <c r="T607" s="5"/>
      <c r="U607" s="5"/>
      <c r="V607" s="5"/>
      <c r="W607" s="5"/>
      <c r="X607" s="5"/>
      <c r="Y607" s="5"/>
    </row>
    <row r="608" spans="1:25" ht="15" thickBot="1" x14ac:dyDescent="0.35">
      <c r="A608" s="27">
        <v>606</v>
      </c>
      <c r="B608" s="21">
        <v>607</v>
      </c>
      <c r="C608" s="22">
        <v>0.21210000000000001</v>
      </c>
      <c r="D608" s="21">
        <v>0.93</v>
      </c>
      <c r="E608" s="21">
        <v>0.1045</v>
      </c>
      <c r="F608" s="21">
        <v>1</v>
      </c>
      <c r="G608" s="21">
        <v>28</v>
      </c>
      <c r="H608" s="23">
        <v>29</v>
      </c>
      <c r="I608" s="23">
        <v>0.21210000000000001</v>
      </c>
      <c r="J608" s="18"/>
      <c r="K608" s="5"/>
      <c r="L608" s="5"/>
      <c r="M608" s="5"/>
      <c r="N608" s="5"/>
      <c r="O608" s="5"/>
      <c r="P608" s="5"/>
      <c r="Q608" s="5"/>
      <c r="R608" s="5"/>
      <c r="S608" s="5"/>
      <c r="T608" s="5"/>
      <c r="U608" s="5"/>
      <c r="V608" s="5"/>
      <c r="W608" s="5"/>
      <c r="X608" s="5"/>
      <c r="Y608" s="5"/>
    </row>
    <row r="609" spans="1:25" ht="15" thickBot="1" x14ac:dyDescent="0.35">
      <c r="A609" s="27">
        <v>607</v>
      </c>
      <c r="B609" s="21">
        <v>608</v>
      </c>
      <c r="C609" s="22">
        <v>0.21210000000000001</v>
      </c>
      <c r="D609" s="21">
        <v>0.93</v>
      </c>
      <c r="E609" s="21">
        <v>0.1045</v>
      </c>
      <c r="F609" s="21">
        <v>0</v>
      </c>
      <c r="G609" s="21">
        <v>31</v>
      </c>
      <c r="H609" s="23">
        <v>31</v>
      </c>
      <c r="I609" s="23">
        <v>0.21210000000000001</v>
      </c>
      <c r="J609" s="18"/>
      <c r="K609" s="5"/>
      <c r="L609" s="5"/>
      <c r="M609" s="5"/>
      <c r="N609" s="5"/>
      <c r="O609" s="5"/>
      <c r="P609" s="5"/>
      <c r="Q609" s="5"/>
      <c r="R609" s="5"/>
      <c r="S609" s="5"/>
      <c r="T609" s="5"/>
      <c r="U609" s="5"/>
      <c r="V609" s="5"/>
      <c r="W609" s="5"/>
      <c r="X609" s="5"/>
      <c r="Y609" s="5"/>
    </row>
    <row r="610" spans="1:25" ht="15" thickBot="1" x14ac:dyDescent="0.35">
      <c r="A610" s="27">
        <v>608</v>
      </c>
      <c r="B610" s="21">
        <v>609</v>
      </c>
      <c r="C610" s="22">
        <v>0.2727</v>
      </c>
      <c r="D610" s="21">
        <v>0.8</v>
      </c>
      <c r="E610" s="22">
        <v>0.20485098360655737</v>
      </c>
      <c r="F610" s="21">
        <v>2</v>
      </c>
      <c r="G610" s="21">
        <v>36</v>
      </c>
      <c r="H610" s="23">
        <v>38</v>
      </c>
      <c r="I610" s="23">
        <v>0.2727</v>
      </c>
      <c r="J610" s="18"/>
      <c r="K610" s="5"/>
      <c r="L610" s="5"/>
      <c r="M610" s="5"/>
      <c r="N610" s="5"/>
      <c r="O610" s="5"/>
      <c r="P610" s="5"/>
      <c r="Q610" s="5"/>
      <c r="R610" s="5"/>
      <c r="S610" s="5"/>
      <c r="T610" s="5"/>
      <c r="U610" s="5"/>
      <c r="V610" s="5"/>
      <c r="W610" s="5"/>
      <c r="X610" s="5"/>
      <c r="Y610" s="5"/>
    </row>
    <row r="611" spans="1:25" ht="15" thickBot="1" x14ac:dyDescent="0.35">
      <c r="A611" s="31">
        <v>609</v>
      </c>
      <c r="B611" s="32">
        <v>610</v>
      </c>
      <c r="C611" s="33">
        <v>0.2576</v>
      </c>
      <c r="D611" s="32">
        <v>0.86</v>
      </c>
      <c r="E611" s="33">
        <v>0.20485098360655737</v>
      </c>
      <c r="F611" s="32">
        <v>1</v>
      </c>
      <c r="G611" s="32">
        <v>40</v>
      </c>
      <c r="H611" s="34">
        <v>41</v>
      </c>
      <c r="I611" s="34">
        <v>0.2576</v>
      </c>
      <c r="J611" s="18"/>
      <c r="K611" s="5"/>
      <c r="L611" s="5"/>
      <c r="M611" s="5"/>
      <c r="N611" s="5"/>
      <c r="O611" s="5"/>
      <c r="P611" s="5"/>
      <c r="Q611" s="5"/>
      <c r="R611" s="5"/>
      <c r="S611" s="5"/>
      <c r="T611" s="5"/>
      <c r="U611" s="5"/>
      <c r="V611" s="5"/>
      <c r="W611" s="5"/>
      <c r="X611" s="5"/>
      <c r="Y611" s="5"/>
    </row>
    <row r="612" spans="1:25" ht="15" thickBot="1" x14ac:dyDescent="0.35">
      <c r="A612" s="19"/>
      <c r="B612" s="19"/>
      <c r="C612" s="19"/>
      <c r="D612" s="19"/>
      <c r="E612" s="19"/>
      <c r="F612" s="19"/>
      <c r="G612" s="19"/>
      <c r="H612" s="24"/>
      <c r="I612" s="21"/>
      <c r="J612" s="18"/>
      <c r="K612" s="5"/>
      <c r="L612" s="5"/>
      <c r="M612" s="5"/>
      <c r="N612" s="5"/>
      <c r="O612" s="5"/>
      <c r="P612" s="5"/>
      <c r="Q612" s="5"/>
      <c r="R612" s="5"/>
      <c r="S612" s="5"/>
      <c r="T612" s="5"/>
      <c r="U612" s="5"/>
      <c r="V612" s="5"/>
      <c r="W612" s="5"/>
      <c r="X612" s="5"/>
      <c r="Y612" s="5"/>
    </row>
    <row r="613" spans="1:25" ht="15" thickBot="1" x14ac:dyDescent="0.35">
      <c r="A613" s="5"/>
      <c r="B613" s="5"/>
      <c r="C613" s="5"/>
      <c r="D613" s="5"/>
      <c r="E613" s="5"/>
      <c r="F613" s="5"/>
      <c r="G613" s="5"/>
      <c r="H613" s="25"/>
      <c r="I613" s="21"/>
      <c r="J613" s="18"/>
      <c r="K613" s="5"/>
      <c r="L613" s="5"/>
      <c r="M613" s="5"/>
      <c r="N613" s="5"/>
      <c r="O613" s="5"/>
      <c r="P613" s="5"/>
      <c r="Q613" s="5"/>
      <c r="R613" s="5"/>
      <c r="S613" s="5"/>
      <c r="T613" s="5"/>
      <c r="U613" s="5"/>
      <c r="V613" s="5"/>
      <c r="W613" s="5"/>
      <c r="X613" s="5"/>
      <c r="Y613" s="5"/>
    </row>
    <row r="614" spans="1:25" ht="15" thickBot="1" x14ac:dyDescent="0.35">
      <c r="A614" s="5"/>
      <c r="B614" s="5"/>
      <c r="C614" s="5"/>
      <c r="D614" s="5"/>
      <c r="E614" s="5"/>
      <c r="F614" s="5"/>
      <c r="G614" s="5"/>
      <c r="H614" s="25"/>
      <c r="I614" s="21"/>
      <c r="J614" s="18"/>
      <c r="K614" s="5"/>
      <c r="L614" s="5"/>
      <c r="M614" s="5"/>
      <c r="N614" s="5"/>
      <c r="O614" s="5"/>
      <c r="P614" s="5"/>
      <c r="Q614" s="5"/>
      <c r="R614" s="5"/>
      <c r="S614" s="5"/>
      <c r="T614" s="5"/>
      <c r="U614" s="5"/>
      <c r="V614" s="5"/>
      <c r="W614" s="5"/>
      <c r="X614" s="5"/>
      <c r="Y614" s="5"/>
    </row>
    <row r="615" spans="1:25" ht="15" thickBot="1" x14ac:dyDescent="0.35">
      <c r="A615" s="5"/>
      <c r="B615" s="5"/>
      <c r="C615" s="5"/>
      <c r="D615" s="5"/>
      <c r="E615" s="5"/>
      <c r="F615" s="5"/>
      <c r="G615" s="5"/>
      <c r="H615" s="25"/>
      <c r="I615" s="21"/>
      <c r="J615" s="18"/>
      <c r="K615" s="5"/>
      <c r="L615" s="5"/>
      <c r="M615" s="5"/>
      <c r="N615" s="5"/>
      <c r="O615" s="5"/>
      <c r="P615" s="5"/>
      <c r="Q615" s="5"/>
      <c r="R615" s="5"/>
      <c r="S615" s="5"/>
      <c r="T615" s="5"/>
      <c r="U615" s="5"/>
      <c r="V615" s="5"/>
      <c r="W615" s="5"/>
      <c r="X615" s="5"/>
      <c r="Y615" s="5"/>
    </row>
    <row r="616" spans="1:25" ht="15" thickBot="1" x14ac:dyDescent="0.35">
      <c r="A616" s="5"/>
      <c r="B616" s="5"/>
      <c r="C616" s="5"/>
      <c r="D616" s="5"/>
      <c r="E616" s="5"/>
      <c r="F616" s="5"/>
      <c r="G616" s="5"/>
      <c r="H616" s="25"/>
      <c r="I616" s="21"/>
      <c r="J616" s="18"/>
      <c r="K616" s="5"/>
      <c r="L616" s="5"/>
      <c r="M616" s="5"/>
      <c r="N616" s="5"/>
      <c r="O616" s="5"/>
      <c r="P616" s="5"/>
      <c r="Q616" s="5"/>
      <c r="R616" s="5"/>
      <c r="S616" s="5"/>
      <c r="T616" s="5"/>
      <c r="U616" s="5"/>
      <c r="V616" s="5"/>
      <c r="W616" s="5"/>
      <c r="X616" s="5"/>
      <c r="Y616" s="5"/>
    </row>
    <row r="617" spans="1:25" ht="15" thickBot="1" x14ac:dyDescent="0.35">
      <c r="A617" s="5"/>
      <c r="B617" s="5"/>
      <c r="C617" s="5"/>
      <c r="D617" s="5"/>
      <c r="E617" s="5"/>
      <c r="F617" s="5"/>
      <c r="G617" s="5"/>
      <c r="H617" s="25"/>
      <c r="I617" s="21"/>
      <c r="J617" s="18"/>
      <c r="K617" s="5"/>
      <c r="L617" s="5"/>
      <c r="M617" s="5"/>
      <c r="N617" s="5"/>
      <c r="O617" s="5"/>
      <c r="P617" s="5"/>
      <c r="Q617" s="5"/>
      <c r="R617" s="5"/>
      <c r="S617" s="5"/>
      <c r="T617" s="5"/>
      <c r="U617" s="5"/>
      <c r="V617" s="5"/>
      <c r="W617" s="5"/>
      <c r="X617" s="5"/>
      <c r="Y617" s="5"/>
    </row>
    <row r="618" spans="1:25" ht="15" thickBot="1" x14ac:dyDescent="0.35">
      <c r="A618" s="5"/>
      <c r="B618" s="5"/>
      <c r="C618" s="5"/>
      <c r="D618" s="5"/>
      <c r="E618" s="5"/>
      <c r="F618" s="5"/>
      <c r="G618" s="5"/>
      <c r="H618" s="25"/>
      <c r="I618" s="21"/>
      <c r="J618" s="18"/>
      <c r="K618" s="5"/>
      <c r="L618" s="5"/>
      <c r="M618" s="5"/>
      <c r="N618" s="5"/>
      <c r="O618" s="5"/>
      <c r="P618" s="5"/>
      <c r="Q618" s="5"/>
      <c r="R618" s="5"/>
      <c r="S618" s="5"/>
      <c r="T618" s="5"/>
      <c r="U618" s="5"/>
      <c r="V618" s="5"/>
      <c r="W618" s="5"/>
      <c r="X618" s="5"/>
      <c r="Y618" s="5"/>
    </row>
    <row r="619" spans="1:25" ht="15" thickBot="1" x14ac:dyDescent="0.35">
      <c r="A619" s="5"/>
      <c r="B619" s="5"/>
      <c r="C619" s="5"/>
      <c r="D619" s="5"/>
      <c r="E619" s="5"/>
      <c r="F619" s="5"/>
      <c r="G619" s="5"/>
      <c r="H619" s="25"/>
      <c r="I619" s="21"/>
      <c r="J619" s="18"/>
      <c r="K619" s="5"/>
      <c r="L619" s="5"/>
      <c r="M619" s="5"/>
      <c r="N619" s="5"/>
      <c r="O619" s="5"/>
      <c r="P619" s="5"/>
      <c r="Q619" s="5"/>
      <c r="R619" s="5"/>
      <c r="S619" s="5"/>
      <c r="T619" s="5"/>
      <c r="U619" s="5"/>
      <c r="V619" s="5"/>
      <c r="W619" s="5"/>
      <c r="X619" s="5"/>
      <c r="Y619" s="5"/>
    </row>
    <row r="620" spans="1:25" ht="15" thickBot="1" x14ac:dyDescent="0.35">
      <c r="A620" s="5"/>
      <c r="B620" s="5"/>
      <c r="C620" s="5"/>
      <c r="D620" s="5"/>
      <c r="E620" s="5"/>
      <c r="F620" s="5"/>
      <c r="G620" s="5"/>
      <c r="H620" s="25"/>
      <c r="I620" s="21"/>
      <c r="J620" s="18"/>
      <c r="K620" s="5"/>
      <c r="L620" s="5"/>
      <c r="M620" s="5"/>
      <c r="N620" s="5"/>
      <c r="O620" s="5"/>
      <c r="P620" s="5"/>
      <c r="Q620" s="5"/>
      <c r="R620" s="5"/>
      <c r="S620" s="5"/>
      <c r="T620" s="5"/>
      <c r="U620" s="5"/>
      <c r="V620" s="5"/>
      <c r="W620" s="5"/>
      <c r="X620" s="5"/>
      <c r="Y620" s="5"/>
    </row>
    <row r="621" spans="1:25" ht="15" thickBot="1" x14ac:dyDescent="0.35">
      <c r="A621" s="5"/>
      <c r="B621" s="5"/>
      <c r="C621" s="5"/>
      <c r="D621" s="5"/>
      <c r="E621" s="5"/>
      <c r="F621" s="5"/>
      <c r="G621" s="5"/>
      <c r="H621" s="25"/>
      <c r="I621" s="21"/>
      <c r="J621" s="18"/>
      <c r="K621" s="5"/>
      <c r="L621" s="5"/>
      <c r="M621" s="5"/>
      <c r="N621" s="5"/>
      <c r="O621" s="5"/>
      <c r="P621" s="5"/>
      <c r="Q621" s="5"/>
      <c r="R621" s="5"/>
      <c r="S621" s="5"/>
      <c r="T621" s="5"/>
      <c r="U621" s="5"/>
      <c r="V621" s="5"/>
      <c r="W621" s="5"/>
      <c r="X621" s="5"/>
      <c r="Y621" s="5"/>
    </row>
    <row r="622" spans="1:25" ht="15" thickBot="1" x14ac:dyDescent="0.35">
      <c r="A622" s="5"/>
      <c r="B622" s="5"/>
      <c r="C622" s="5"/>
      <c r="D622" s="5"/>
      <c r="E622" s="5"/>
      <c r="F622" s="5"/>
      <c r="G622" s="5"/>
      <c r="H622" s="25"/>
      <c r="I622" s="21"/>
      <c r="J622" s="18"/>
      <c r="K622" s="5"/>
      <c r="L622" s="5"/>
      <c r="M622" s="5"/>
      <c r="N622" s="5"/>
      <c r="O622" s="5"/>
      <c r="P622" s="5"/>
      <c r="Q622" s="5"/>
      <c r="R622" s="5"/>
      <c r="S622" s="5"/>
      <c r="T622" s="5"/>
      <c r="U622" s="5"/>
      <c r="V622" s="5"/>
      <c r="W622" s="5"/>
      <c r="X622" s="5"/>
      <c r="Y622" s="5"/>
    </row>
    <row r="623" spans="1:25" ht="15" thickBot="1" x14ac:dyDescent="0.35">
      <c r="A623" s="5"/>
      <c r="B623" s="5"/>
      <c r="C623" s="5"/>
      <c r="D623" s="5"/>
      <c r="E623" s="5"/>
      <c r="F623" s="5"/>
      <c r="G623" s="5"/>
      <c r="H623" s="25"/>
      <c r="I623" s="21"/>
      <c r="J623" s="18"/>
      <c r="K623" s="5"/>
      <c r="L623" s="5"/>
      <c r="M623" s="5"/>
      <c r="N623" s="5"/>
      <c r="O623" s="5"/>
      <c r="P623" s="5"/>
      <c r="Q623" s="5"/>
      <c r="R623" s="5"/>
      <c r="S623" s="5"/>
      <c r="T623" s="5"/>
      <c r="U623" s="5"/>
      <c r="V623" s="5"/>
      <c r="W623" s="5"/>
      <c r="X623" s="5"/>
      <c r="Y623" s="5"/>
    </row>
    <row r="624" spans="1:25" ht="15" thickBot="1" x14ac:dyDescent="0.35">
      <c r="A624" s="5"/>
      <c r="B624" s="5"/>
      <c r="C624" s="5"/>
      <c r="D624" s="5"/>
      <c r="E624" s="5"/>
      <c r="F624" s="5"/>
      <c r="G624" s="5"/>
      <c r="H624" s="25"/>
      <c r="I624" s="21"/>
      <c r="J624" s="18"/>
      <c r="K624" s="5"/>
      <c r="L624" s="5"/>
      <c r="M624" s="5"/>
      <c r="N624" s="5"/>
      <c r="O624" s="5"/>
      <c r="P624" s="5"/>
      <c r="Q624" s="5"/>
      <c r="R624" s="5"/>
      <c r="S624" s="5"/>
      <c r="T624" s="5"/>
      <c r="U624" s="5"/>
      <c r="V624" s="5"/>
      <c r="W624" s="5"/>
      <c r="X624" s="5"/>
      <c r="Y624" s="5"/>
    </row>
    <row r="625" spans="1:25" ht="15" thickBot="1" x14ac:dyDescent="0.35">
      <c r="A625" s="5"/>
      <c r="B625" s="5"/>
      <c r="C625" s="5"/>
      <c r="D625" s="5"/>
      <c r="E625" s="5"/>
      <c r="F625" s="5"/>
      <c r="G625" s="5"/>
      <c r="H625" s="25"/>
      <c r="I625" s="21"/>
      <c r="J625" s="18"/>
      <c r="K625" s="5"/>
      <c r="L625" s="5"/>
      <c r="M625" s="5"/>
      <c r="N625" s="5"/>
      <c r="O625" s="5"/>
      <c r="P625" s="5"/>
      <c r="Q625" s="5"/>
      <c r="R625" s="5"/>
      <c r="S625" s="5"/>
      <c r="T625" s="5"/>
      <c r="U625" s="5"/>
      <c r="V625" s="5"/>
      <c r="W625" s="5"/>
      <c r="X625" s="5"/>
      <c r="Y625" s="5"/>
    </row>
    <row r="626" spans="1:25" ht="15" thickBot="1" x14ac:dyDescent="0.35">
      <c r="A626" s="5"/>
      <c r="B626" s="5"/>
      <c r="C626" s="5"/>
      <c r="D626" s="5"/>
      <c r="E626" s="5"/>
      <c r="F626" s="5"/>
      <c r="G626" s="5"/>
      <c r="H626" s="25"/>
      <c r="I626" s="21"/>
      <c r="J626" s="18"/>
      <c r="K626" s="5"/>
      <c r="L626" s="5"/>
      <c r="M626" s="5"/>
      <c r="N626" s="5"/>
      <c r="O626" s="5"/>
      <c r="P626" s="5"/>
      <c r="Q626" s="5"/>
      <c r="R626" s="5"/>
      <c r="S626" s="5"/>
      <c r="T626" s="5"/>
      <c r="U626" s="5"/>
      <c r="V626" s="5"/>
      <c r="W626" s="5"/>
      <c r="X626" s="5"/>
      <c r="Y626" s="5"/>
    </row>
    <row r="627" spans="1:25" ht="15" thickBot="1" x14ac:dyDescent="0.35">
      <c r="A627" s="5"/>
      <c r="B627" s="5"/>
      <c r="C627" s="5"/>
      <c r="D627" s="5"/>
      <c r="E627" s="5"/>
      <c r="F627" s="5"/>
      <c r="G627" s="5"/>
      <c r="H627" s="25"/>
      <c r="I627" s="21"/>
      <c r="J627" s="18"/>
      <c r="K627" s="5"/>
      <c r="L627" s="5"/>
      <c r="M627" s="5"/>
      <c r="N627" s="5"/>
      <c r="O627" s="5"/>
      <c r="P627" s="5"/>
      <c r="Q627" s="5"/>
      <c r="R627" s="5"/>
      <c r="S627" s="5"/>
      <c r="T627" s="5"/>
      <c r="U627" s="5"/>
      <c r="V627" s="5"/>
      <c r="W627" s="5"/>
      <c r="X627" s="5"/>
      <c r="Y627" s="5"/>
    </row>
    <row r="628" spans="1:25" ht="15" thickBot="1" x14ac:dyDescent="0.35">
      <c r="A628" s="5"/>
      <c r="B628" s="5"/>
      <c r="C628" s="5"/>
      <c r="D628" s="5"/>
      <c r="E628" s="5"/>
      <c r="F628" s="5"/>
      <c r="G628" s="5"/>
      <c r="H628" s="25"/>
      <c r="I628" s="21"/>
      <c r="J628" s="18"/>
      <c r="K628" s="5"/>
      <c r="L628" s="5"/>
      <c r="M628" s="5"/>
      <c r="N628" s="5"/>
      <c r="O628" s="5"/>
      <c r="P628" s="5"/>
      <c r="Q628" s="5"/>
      <c r="R628" s="5"/>
      <c r="S628" s="5"/>
      <c r="T628" s="5"/>
      <c r="U628" s="5"/>
      <c r="V628" s="5"/>
      <c r="W628" s="5"/>
      <c r="X628" s="5"/>
      <c r="Y628" s="5"/>
    </row>
    <row r="629" spans="1:25" ht="15" thickBot="1" x14ac:dyDescent="0.35">
      <c r="A629" s="5"/>
      <c r="B629" s="5"/>
      <c r="C629" s="5"/>
      <c r="D629" s="5"/>
      <c r="E629" s="5"/>
      <c r="F629" s="5"/>
      <c r="G629" s="5"/>
      <c r="H629" s="25"/>
      <c r="I629" s="21"/>
      <c r="J629" s="18"/>
      <c r="K629" s="5"/>
      <c r="L629" s="5"/>
      <c r="M629" s="5"/>
      <c r="N629" s="5"/>
      <c r="O629" s="5"/>
      <c r="P629" s="5"/>
      <c r="Q629" s="5"/>
      <c r="R629" s="5"/>
      <c r="S629" s="5"/>
      <c r="T629" s="5"/>
      <c r="U629" s="5"/>
      <c r="V629" s="5"/>
      <c r="W629" s="5"/>
      <c r="X629" s="5"/>
      <c r="Y629" s="5"/>
    </row>
    <row r="630" spans="1:25" ht="15" thickBot="1" x14ac:dyDescent="0.35">
      <c r="A630" s="5"/>
      <c r="B630" s="5"/>
      <c r="C630" s="5"/>
      <c r="D630" s="5"/>
      <c r="E630" s="5"/>
      <c r="F630" s="5"/>
      <c r="G630" s="5"/>
      <c r="H630" s="25"/>
      <c r="I630" s="21"/>
      <c r="J630" s="18"/>
      <c r="K630" s="5"/>
      <c r="L630" s="5"/>
      <c r="M630" s="5"/>
      <c r="N630" s="5"/>
      <c r="O630" s="5"/>
      <c r="P630" s="5"/>
      <c r="Q630" s="5"/>
      <c r="R630" s="5"/>
      <c r="S630" s="5"/>
      <c r="T630" s="5"/>
      <c r="U630" s="5"/>
      <c r="V630" s="5"/>
      <c r="W630" s="5"/>
      <c r="X630" s="5"/>
      <c r="Y630" s="5"/>
    </row>
    <row r="631" spans="1:25" ht="15" thickBot="1" x14ac:dyDescent="0.35">
      <c r="A631" s="5"/>
      <c r="B631" s="5"/>
      <c r="C631" s="5"/>
      <c r="D631" s="5"/>
      <c r="E631" s="5"/>
      <c r="F631" s="5"/>
      <c r="G631" s="5"/>
      <c r="H631" s="25"/>
      <c r="I631" s="21"/>
      <c r="J631" s="18"/>
      <c r="K631" s="5"/>
      <c r="L631" s="5"/>
      <c r="M631" s="5"/>
      <c r="N631" s="5"/>
      <c r="O631" s="5"/>
      <c r="P631" s="5"/>
      <c r="Q631" s="5"/>
      <c r="R631" s="5"/>
      <c r="S631" s="5"/>
      <c r="T631" s="5"/>
      <c r="U631" s="5"/>
      <c r="V631" s="5"/>
      <c r="W631" s="5"/>
      <c r="X631" s="5"/>
      <c r="Y631" s="5"/>
    </row>
    <row r="632" spans="1:25" ht="15" thickBot="1" x14ac:dyDescent="0.35">
      <c r="A632" s="5"/>
      <c r="B632" s="5"/>
      <c r="C632" s="5"/>
      <c r="D632" s="5"/>
      <c r="E632" s="5"/>
      <c r="F632" s="5"/>
      <c r="G632" s="5"/>
      <c r="H632" s="25"/>
      <c r="I632" s="21"/>
      <c r="J632" s="18"/>
      <c r="K632" s="5"/>
      <c r="L632" s="5"/>
      <c r="M632" s="5"/>
      <c r="N632" s="5"/>
      <c r="O632" s="5"/>
      <c r="P632" s="5"/>
      <c r="Q632" s="5"/>
      <c r="R632" s="5"/>
      <c r="S632" s="5"/>
      <c r="T632" s="5"/>
      <c r="U632" s="5"/>
      <c r="V632" s="5"/>
      <c r="W632" s="5"/>
      <c r="X632" s="5"/>
      <c r="Y632" s="5"/>
    </row>
    <row r="633" spans="1:25" ht="15" thickBot="1" x14ac:dyDescent="0.35">
      <c r="A633" s="5"/>
      <c r="B633" s="5"/>
      <c r="C633" s="5"/>
      <c r="D633" s="5"/>
      <c r="E633" s="5"/>
      <c r="F633" s="5"/>
      <c r="G633" s="5"/>
      <c r="H633" s="25"/>
      <c r="I633" s="21"/>
      <c r="J633" s="18"/>
      <c r="K633" s="5"/>
      <c r="L633" s="5"/>
      <c r="M633" s="5"/>
      <c r="N633" s="5"/>
      <c r="O633" s="5"/>
      <c r="P633" s="5"/>
      <c r="Q633" s="5"/>
      <c r="R633" s="5"/>
      <c r="S633" s="5"/>
      <c r="T633" s="5"/>
      <c r="U633" s="5"/>
      <c r="V633" s="5"/>
      <c r="W633" s="5"/>
      <c r="X633" s="5"/>
      <c r="Y633" s="5"/>
    </row>
    <row r="634" spans="1:25" ht="15" thickBot="1" x14ac:dyDescent="0.35">
      <c r="A634" s="5"/>
      <c r="B634" s="5"/>
      <c r="C634" s="5"/>
      <c r="D634" s="5"/>
      <c r="E634" s="5"/>
      <c r="F634" s="5"/>
      <c r="G634" s="5"/>
      <c r="H634" s="25"/>
      <c r="I634" s="21"/>
      <c r="J634" s="18"/>
      <c r="K634" s="5"/>
      <c r="L634" s="5"/>
      <c r="M634" s="5"/>
      <c r="N634" s="5"/>
      <c r="O634" s="5"/>
      <c r="P634" s="5"/>
      <c r="Q634" s="5"/>
      <c r="R634" s="5"/>
      <c r="S634" s="5"/>
      <c r="T634" s="5"/>
      <c r="U634" s="5"/>
      <c r="V634" s="5"/>
      <c r="W634" s="5"/>
      <c r="X634" s="5"/>
      <c r="Y634" s="5"/>
    </row>
    <row r="635" spans="1:25" ht="15" thickBot="1" x14ac:dyDescent="0.35">
      <c r="A635" s="5"/>
      <c r="B635" s="5"/>
      <c r="C635" s="5"/>
      <c r="D635" s="5"/>
      <c r="E635" s="5"/>
      <c r="F635" s="5"/>
      <c r="G635" s="5"/>
      <c r="H635" s="25"/>
      <c r="I635" s="21"/>
      <c r="J635" s="18"/>
      <c r="K635" s="5"/>
      <c r="L635" s="5"/>
      <c r="M635" s="5"/>
      <c r="N635" s="5"/>
      <c r="O635" s="5"/>
      <c r="P635" s="5"/>
      <c r="Q635" s="5"/>
      <c r="R635" s="5"/>
      <c r="S635" s="5"/>
      <c r="T635" s="5"/>
      <c r="U635" s="5"/>
      <c r="V635" s="5"/>
      <c r="W635" s="5"/>
      <c r="X635" s="5"/>
      <c r="Y635" s="5"/>
    </row>
    <row r="636" spans="1:25" ht="15" thickBot="1" x14ac:dyDescent="0.35">
      <c r="A636" s="5"/>
      <c r="B636" s="5"/>
      <c r="C636" s="5"/>
      <c r="D636" s="5"/>
      <c r="E636" s="5"/>
      <c r="F636" s="5"/>
      <c r="G636" s="5"/>
      <c r="H636" s="25"/>
      <c r="I636" s="21"/>
      <c r="J636" s="18"/>
      <c r="K636" s="5"/>
      <c r="L636" s="5"/>
      <c r="M636" s="5"/>
      <c r="N636" s="5"/>
      <c r="O636" s="5"/>
      <c r="P636" s="5"/>
      <c r="Q636" s="5"/>
      <c r="R636" s="5"/>
      <c r="S636" s="5"/>
      <c r="T636" s="5"/>
      <c r="U636" s="5"/>
      <c r="V636" s="5"/>
      <c r="W636" s="5"/>
      <c r="X636" s="5"/>
      <c r="Y636" s="5"/>
    </row>
    <row r="637" spans="1:25" ht="15" thickBot="1" x14ac:dyDescent="0.35">
      <c r="A637" s="5"/>
      <c r="B637" s="5"/>
      <c r="C637" s="5"/>
      <c r="D637" s="5"/>
      <c r="E637" s="5"/>
      <c r="F637" s="5"/>
      <c r="G637" s="5"/>
      <c r="H637" s="25"/>
      <c r="I637" s="21"/>
      <c r="J637" s="18"/>
      <c r="K637" s="5"/>
      <c r="L637" s="5"/>
      <c r="M637" s="5"/>
      <c r="N637" s="5"/>
      <c r="O637" s="5"/>
      <c r="P637" s="5"/>
      <c r="Q637" s="5"/>
      <c r="R637" s="5"/>
      <c r="S637" s="5"/>
      <c r="T637" s="5"/>
      <c r="U637" s="5"/>
      <c r="V637" s="5"/>
      <c r="W637" s="5"/>
      <c r="X637" s="5"/>
      <c r="Y637" s="5"/>
    </row>
    <row r="638" spans="1:25" ht="15" thickBot="1" x14ac:dyDescent="0.35">
      <c r="A638" s="5"/>
      <c r="B638" s="5"/>
      <c r="C638" s="5"/>
      <c r="D638" s="5"/>
      <c r="E638" s="5"/>
      <c r="F638" s="5"/>
      <c r="G638" s="5"/>
      <c r="H638" s="25"/>
      <c r="I638" s="21"/>
      <c r="J638" s="18"/>
      <c r="K638" s="5"/>
      <c r="L638" s="5"/>
      <c r="M638" s="5"/>
      <c r="N638" s="5"/>
      <c r="O638" s="5"/>
      <c r="P638" s="5"/>
      <c r="Q638" s="5"/>
      <c r="R638" s="5"/>
      <c r="S638" s="5"/>
      <c r="T638" s="5"/>
      <c r="U638" s="5"/>
      <c r="V638" s="5"/>
      <c r="W638" s="5"/>
      <c r="X638" s="5"/>
      <c r="Y638" s="5"/>
    </row>
    <row r="639" spans="1:25" ht="15" thickBot="1" x14ac:dyDescent="0.35">
      <c r="A639" s="5"/>
      <c r="B639" s="5"/>
      <c r="C639" s="5"/>
      <c r="D639" s="5"/>
      <c r="E639" s="5"/>
      <c r="F639" s="5"/>
      <c r="G639" s="5"/>
      <c r="H639" s="25"/>
      <c r="I639" s="21"/>
      <c r="J639" s="18"/>
      <c r="K639" s="5"/>
      <c r="L639" s="5"/>
      <c r="M639" s="5"/>
      <c r="N639" s="5"/>
      <c r="O639" s="5"/>
      <c r="P639" s="5"/>
      <c r="Q639" s="5"/>
      <c r="R639" s="5"/>
      <c r="S639" s="5"/>
      <c r="T639" s="5"/>
      <c r="U639" s="5"/>
      <c r="V639" s="5"/>
      <c r="W639" s="5"/>
      <c r="X639" s="5"/>
      <c r="Y639" s="5"/>
    </row>
    <row r="640" spans="1:25" ht="15" thickBot="1" x14ac:dyDescent="0.35">
      <c r="A640" s="5"/>
      <c r="B640" s="5"/>
      <c r="C640" s="5"/>
      <c r="D640" s="5"/>
      <c r="E640" s="5"/>
      <c r="F640" s="5"/>
      <c r="G640" s="5"/>
      <c r="H640" s="25"/>
      <c r="I640" s="21"/>
      <c r="J640" s="18"/>
      <c r="K640" s="5"/>
      <c r="L640" s="5"/>
      <c r="M640" s="5"/>
      <c r="N640" s="5"/>
      <c r="O640" s="5"/>
      <c r="P640" s="5"/>
      <c r="Q640" s="5"/>
      <c r="R640" s="5"/>
      <c r="S640" s="5"/>
      <c r="T640" s="5"/>
      <c r="U640" s="5"/>
      <c r="V640" s="5"/>
      <c r="W640" s="5"/>
      <c r="X640" s="5"/>
      <c r="Y640" s="5"/>
    </row>
    <row r="641" spans="1:25" ht="15" thickBot="1" x14ac:dyDescent="0.35">
      <c r="A641" s="5"/>
      <c r="B641" s="5"/>
      <c r="C641" s="5"/>
      <c r="D641" s="5"/>
      <c r="E641" s="5"/>
      <c r="F641" s="5"/>
      <c r="G641" s="5"/>
      <c r="H641" s="25"/>
      <c r="I641" s="21"/>
      <c r="J641" s="18"/>
      <c r="K641" s="5"/>
      <c r="L641" s="5"/>
      <c r="M641" s="5"/>
      <c r="N641" s="5"/>
      <c r="O641" s="5"/>
      <c r="P641" s="5"/>
      <c r="Q641" s="5"/>
      <c r="R641" s="5"/>
      <c r="S641" s="5"/>
      <c r="T641" s="5"/>
      <c r="U641" s="5"/>
      <c r="V641" s="5"/>
      <c r="W641" s="5"/>
      <c r="X641" s="5"/>
      <c r="Y641" s="5"/>
    </row>
    <row r="642" spans="1:25" ht="15" thickBot="1" x14ac:dyDescent="0.35">
      <c r="A642" s="5"/>
      <c r="B642" s="5"/>
      <c r="C642" s="5"/>
      <c r="D642" s="5"/>
      <c r="E642" s="5"/>
      <c r="F642" s="5"/>
      <c r="G642" s="5"/>
      <c r="H642" s="25"/>
      <c r="I642" s="21"/>
      <c r="J642" s="18"/>
      <c r="K642" s="5"/>
      <c r="L642" s="5"/>
      <c r="M642" s="5"/>
      <c r="N642" s="5"/>
      <c r="O642" s="5"/>
      <c r="P642" s="5"/>
      <c r="Q642" s="5"/>
      <c r="R642" s="5"/>
      <c r="S642" s="5"/>
      <c r="T642" s="5"/>
      <c r="U642" s="5"/>
      <c r="V642" s="5"/>
      <c r="W642" s="5"/>
      <c r="X642" s="5"/>
      <c r="Y642" s="5"/>
    </row>
    <row r="643" spans="1:25" ht="15" thickBot="1" x14ac:dyDescent="0.35">
      <c r="A643" s="5"/>
      <c r="B643" s="5"/>
      <c r="C643" s="5"/>
      <c r="D643" s="5"/>
      <c r="E643" s="5"/>
      <c r="F643" s="5"/>
      <c r="G643" s="5"/>
      <c r="H643" s="25"/>
      <c r="I643" s="21"/>
      <c r="J643" s="18"/>
      <c r="K643" s="5"/>
      <c r="L643" s="5"/>
      <c r="M643" s="5"/>
      <c r="N643" s="5"/>
      <c r="O643" s="5"/>
      <c r="P643" s="5"/>
      <c r="Q643" s="5"/>
      <c r="R643" s="5"/>
      <c r="S643" s="5"/>
      <c r="T643" s="5"/>
      <c r="U643" s="5"/>
      <c r="V643" s="5"/>
      <c r="W643" s="5"/>
      <c r="X643" s="5"/>
      <c r="Y643" s="5"/>
    </row>
    <row r="644" spans="1:25" ht="15" thickBot="1" x14ac:dyDescent="0.35">
      <c r="A644" s="5"/>
      <c r="B644" s="5"/>
      <c r="C644" s="5"/>
      <c r="D644" s="5"/>
      <c r="E644" s="5"/>
      <c r="F644" s="5"/>
      <c r="G644" s="5"/>
      <c r="H644" s="25"/>
      <c r="I644" s="21"/>
      <c r="J644" s="18"/>
      <c r="K644" s="5"/>
      <c r="L644" s="5"/>
      <c r="M644" s="5"/>
      <c r="N644" s="5"/>
      <c r="O644" s="5"/>
      <c r="P644" s="5"/>
      <c r="Q644" s="5"/>
      <c r="R644" s="5"/>
      <c r="S644" s="5"/>
      <c r="T644" s="5"/>
      <c r="U644" s="5"/>
      <c r="V644" s="5"/>
      <c r="W644" s="5"/>
      <c r="X644" s="5"/>
      <c r="Y644" s="5"/>
    </row>
    <row r="645" spans="1:25" ht="15" thickBot="1" x14ac:dyDescent="0.35">
      <c r="A645" s="5"/>
      <c r="B645" s="5"/>
      <c r="C645" s="5"/>
      <c r="D645" s="5"/>
      <c r="E645" s="5"/>
      <c r="F645" s="5"/>
      <c r="G645" s="5"/>
      <c r="H645" s="25"/>
      <c r="I645" s="21"/>
      <c r="J645" s="18"/>
      <c r="K645" s="5"/>
      <c r="L645" s="5"/>
      <c r="M645" s="5"/>
      <c r="N645" s="5"/>
      <c r="O645" s="5"/>
      <c r="P645" s="5"/>
      <c r="Q645" s="5"/>
      <c r="R645" s="5"/>
      <c r="S645" s="5"/>
      <c r="T645" s="5"/>
      <c r="U645" s="5"/>
      <c r="V645" s="5"/>
      <c r="W645" s="5"/>
      <c r="X645" s="5"/>
      <c r="Y645" s="5"/>
    </row>
    <row r="646" spans="1:25" ht="15" thickBot="1" x14ac:dyDescent="0.35">
      <c r="A646" s="5"/>
      <c r="B646" s="5"/>
      <c r="C646" s="5"/>
      <c r="D646" s="5"/>
      <c r="E646" s="5"/>
      <c r="F646" s="5"/>
      <c r="G646" s="5"/>
      <c r="H646" s="25"/>
      <c r="I646" s="21"/>
      <c r="J646" s="18"/>
      <c r="K646" s="5"/>
      <c r="L646" s="5"/>
      <c r="M646" s="5"/>
      <c r="N646" s="5"/>
      <c r="O646" s="5"/>
      <c r="P646" s="5"/>
      <c r="Q646" s="5"/>
      <c r="R646" s="5"/>
      <c r="S646" s="5"/>
      <c r="T646" s="5"/>
      <c r="U646" s="5"/>
      <c r="V646" s="5"/>
      <c r="W646" s="5"/>
      <c r="X646" s="5"/>
      <c r="Y646" s="5"/>
    </row>
    <row r="647" spans="1:25" ht="15" thickBot="1" x14ac:dyDescent="0.35">
      <c r="A647" s="5"/>
      <c r="B647" s="5"/>
      <c r="C647" s="5"/>
      <c r="D647" s="5"/>
      <c r="E647" s="5"/>
      <c r="F647" s="5"/>
      <c r="G647" s="5"/>
      <c r="H647" s="25"/>
      <c r="I647" s="21"/>
      <c r="J647" s="18"/>
      <c r="K647" s="5"/>
      <c r="L647" s="5"/>
      <c r="M647" s="5"/>
      <c r="N647" s="5"/>
      <c r="O647" s="5"/>
      <c r="P647" s="5"/>
      <c r="Q647" s="5"/>
      <c r="R647" s="5"/>
      <c r="S647" s="5"/>
      <c r="T647" s="5"/>
      <c r="U647" s="5"/>
      <c r="V647" s="5"/>
      <c r="W647" s="5"/>
      <c r="X647" s="5"/>
      <c r="Y647" s="5"/>
    </row>
    <row r="648" spans="1:25" ht="15" thickBot="1" x14ac:dyDescent="0.35">
      <c r="A648" s="5"/>
      <c r="B648" s="5"/>
      <c r="C648" s="5"/>
      <c r="D648" s="5"/>
      <c r="E648" s="5"/>
      <c r="F648" s="5"/>
      <c r="G648" s="5"/>
      <c r="H648" s="25"/>
      <c r="I648" s="21"/>
      <c r="J648" s="18"/>
      <c r="K648" s="5"/>
      <c r="L648" s="5"/>
      <c r="M648" s="5"/>
      <c r="N648" s="5"/>
      <c r="O648" s="5"/>
      <c r="P648" s="5"/>
      <c r="Q648" s="5"/>
      <c r="R648" s="5"/>
      <c r="S648" s="5"/>
      <c r="T648" s="5"/>
      <c r="U648" s="5"/>
      <c r="V648" s="5"/>
      <c r="W648" s="5"/>
      <c r="X648" s="5"/>
      <c r="Y648" s="5"/>
    </row>
    <row r="649" spans="1:25" ht="15" thickBot="1" x14ac:dyDescent="0.35">
      <c r="A649" s="5"/>
      <c r="B649" s="5"/>
      <c r="C649" s="5"/>
      <c r="D649" s="5"/>
      <c r="E649" s="5"/>
      <c r="F649" s="5"/>
      <c r="G649" s="5"/>
      <c r="H649" s="25"/>
      <c r="I649" s="21"/>
      <c r="J649" s="18"/>
      <c r="K649" s="5"/>
      <c r="L649" s="5"/>
      <c r="M649" s="5"/>
      <c r="N649" s="5"/>
      <c r="O649" s="5"/>
      <c r="P649" s="5"/>
      <c r="Q649" s="5"/>
      <c r="R649" s="5"/>
      <c r="S649" s="5"/>
      <c r="T649" s="5"/>
      <c r="U649" s="5"/>
      <c r="V649" s="5"/>
      <c r="W649" s="5"/>
      <c r="X649" s="5"/>
      <c r="Y649" s="5"/>
    </row>
    <row r="650" spans="1:25" ht="15" thickBot="1" x14ac:dyDescent="0.35">
      <c r="A650" s="5"/>
      <c r="B650" s="5"/>
      <c r="C650" s="5"/>
      <c r="D650" s="5"/>
      <c r="E650" s="5"/>
      <c r="F650" s="5"/>
      <c r="G650" s="5"/>
      <c r="H650" s="25"/>
      <c r="I650" s="21"/>
      <c r="J650" s="18"/>
      <c r="K650" s="5"/>
      <c r="L650" s="5"/>
      <c r="M650" s="5"/>
      <c r="N650" s="5"/>
      <c r="O650" s="5"/>
      <c r="P650" s="5"/>
      <c r="Q650" s="5"/>
      <c r="R650" s="5"/>
      <c r="S650" s="5"/>
      <c r="T650" s="5"/>
      <c r="U650" s="5"/>
      <c r="V650" s="5"/>
      <c r="W650" s="5"/>
      <c r="X650" s="5"/>
      <c r="Y650" s="5"/>
    </row>
    <row r="651" spans="1:25" ht="15" thickBot="1" x14ac:dyDescent="0.35">
      <c r="A651" s="5"/>
      <c r="B651" s="5"/>
      <c r="C651" s="5"/>
      <c r="D651" s="5"/>
      <c r="E651" s="5"/>
      <c r="F651" s="5"/>
      <c r="G651" s="5"/>
      <c r="H651" s="25"/>
      <c r="I651" s="21"/>
      <c r="J651" s="18"/>
      <c r="K651" s="5"/>
      <c r="L651" s="5"/>
      <c r="M651" s="5"/>
      <c r="N651" s="5"/>
      <c r="O651" s="5"/>
      <c r="P651" s="5"/>
      <c r="Q651" s="5"/>
      <c r="R651" s="5"/>
      <c r="S651" s="5"/>
      <c r="T651" s="5"/>
      <c r="U651" s="5"/>
      <c r="V651" s="5"/>
      <c r="W651" s="5"/>
      <c r="X651" s="5"/>
      <c r="Y651" s="5"/>
    </row>
    <row r="652" spans="1:25" ht="15" thickBot="1" x14ac:dyDescent="0.35">
      <c r="A652" s="5"/>
      <c r="B652" s="5"/>
      <c r="C652" s="5"/>
      <c r="D652" s="5"/>
      <c r="E652" s="5"/>
      <c r="F652" s="5"/>
      <c r="G652" s="5"/>
      <c r="H652" s="25"/>
      <c r="I652" s="21"/>
      <c r="J652" s="18"/>
      <c r="K652" s="5"/>
      <c r="L652" s="5"/>
      <c r="M652" s="5"/>
      <c r="N652" s="5"/>
      <c r="O652" s="5"/>
      <c r="P652" s="5"/>
      <c r="Q652" s="5"/>
      <c r="R652" s="5"/>
      <c r="S652" s="5"/>
      <c r="T652" s="5"/>
      <c r="U652" s="5"/>
      <c r="V652" s="5"/>
      <c r="W652" s="5"/>
      <c r="X652" s="5"/>
      <c r="Y652" s="5"/>
    </row>
    <row r="653" spans="1:25" ht="15" thickBot="1" x14ac:dyDescent="0.35">
      <c r="A653" s="5"/>
      <c r="B653" s="5"/>
      <c r="C653" s="5"/>
      <c r="D653" s="5"/>
      <c r="E653" s="5"/>
      <c r="F653" s="5"/>
      <c r="G653" s="5"/>
      <c r="H653" s="25"/>
      <c r="I653" s="21"/>
      <c r="J653" s="18"/>
      <c r="K653" s="5"/>
      <c r="L653" s="5"/>
      <c r="M653" s="5"/>
      <c r="N653" s="5"/>
      <c r="O653" s="5"/>
      <c r="P653" s="5"/>
      <c r="Q653" s="5"/>
      <c r="R653" s="5"/>
      <c r="S653" s="5"/>
      <c r="T653" s="5"/>
      <c r="U653" s="5"/>
      <c r="V653" s="5"/>
      <c r="W653" s="5"/>
      <c r="X653" s="5"/>
      <c r="Y653" s="5"/>
    </row>
    <row r="654" spans="1:25" ht="15" thickBot="1" x14ac:dyDescent="0.35">
      <c r="A654" s="5"/>
      <c r="B654" s="5"/>
      <c r="C654" s="5"/>
      <c r="D654" s="5"/>
      <c r="E654" s="5"/>
      <c r="F654" s="5"/>
      <c r="G654" s="5"/>
      <c r="H654" s="25"/>
      <c r="I654" s="21"/>
      <c r="J654" s="18"/>
      <c r="K654" s="5"/>
      <c r="L654" s="5"/>
      <c r="M654" s="5"/>
      <c r="N654" s="5"/>
      <c r="O654" s="5"/>
      <c r="P654" s="5"/>
      <c r="Q654" s="5"/>
      <c r="R654" s="5"/>
      <c r="S654" s="5"/>
      <c r="T654" s="5"/>
      <c r="U654" s="5"/>
      <c r="V654" s="5"/>
      <c r="W654" s="5"/>
      <c r="X654" s="5"/>
      <c r="Y654" s="5"/>
    </row>
    <row r="655" spans="1:25" ht="15" thickBot="1" x14ac:dyDescent="0.35">
      <c r="A655" s="5"/>
      <c r="B655" s="5"/>
      <c r="C655" s="5"/>
      <c r="D655" s="5"/>
      <c r="E655" s="5"/>
      <c r="F655" s="5"/>
      <c r="G655" s="5"/>
      <c r="H655" s="25"/>
      <c r="I655" s="21"/>
      <c r="J655" s="18"/>
      <c r="K655" s="5"/>
      <c r="L655" s="5"/>
      <c r="M655" s="5"/>
      <c r="N655" s="5"/>
      <c r="O655" s="5"/>
      <c r="P655" s="5"/>
      <c r="Q655" s="5"/>
      <c r="R655" s="5"/>
      <c r="S655" s="5"/>
      <c r="T655" s="5"/>
      <c r="U655" s="5"/>
      <c r="V655" s="5"/>
      <c r="W655" s="5"/>
      <c r="X655" s="5"/>
      <c r="Y655" s="5"/>
    </row>
    <row r="656" spans="1:25" ht="15" thickBot="1" x14ac:dyDescent="0.35">
      <c r="A656" s="5"/>
      <c r="B656" s="5"/>
      <c r="C656" s="5"/>
      <c r="D656" s="5"/>
      <c r="E656" s="5"/>
      <c r="F656" s="5"/>
      <c r="G656" s="5"/>
      <c r="H656" s="25"/>
      <c r="I656" s="21"/>
      <c r="J656" s="18"/>
      <c r="K656" s="5"/>
      <c r="L656" s="5"/>
      <c r="M656" s="5"/>
      <c r="N656" s="5"/>
      <c r="O656" s="5"/>
      <c r="P656" s="5"/>
      <c r="Q656" s="5"/>
      <c r="R656" s="5"/>
      <c r="S656" s="5"/>
      <c r="T656" s="5"/>
      <c r="U656" s="5"/>
      <c r="V656" s="5"/>
      <c r="W656" s="5"/>
      <c r="X656" s="5"/>
      <c r="Y656" s="5"/>
    </row>
    <row r="657" spans="1:25" ht="15" thickBot="1" x14ac:dyDescent="0.35">
      <c r="A657" s="5"/>
      <c r="B657" s="5"/>
      <c r="C657" s="5"/>
      <c r="D657" s="5"/>
      <c r="E657" s="5"/>
      <c r="F657" s="5"/>
      <c r="G657" s="5"/>
      <c r="H657" s="25"/>
      <c r="I657" s="21"/>
      <c r="J657" s="18"/>
      <c r="K657" s="5"/>
      <c r="L657" s="5"/>
      <c r="M657" s="5"/>
      <c r="N657" s="5"/>
      <c r="O657" s="5"/>
      <c r="P657" s="5"/>
      <c r="Q657" s="5"/>
      <c r="R657" s="5"/>
      <c r="S657" s="5"/>
      <c r="T657" s="5"/>
      <c r="U657" s="5"/>
      <c r="V657" s="5"/>
      <c r="W657" s="5"/>
      <c r="X657" s="5"/>
      <c r="Y657" s="5"/>
    </row>
    <row r="658" spans="1:25" ht="15" thickBot="1" x14ac:dyDescent="0.35">
      <c r="A658" s="5"/>
      <c r="B658" s="5"/>
      <c r="C658" s="5"/>
      <c r="D658" s="5"/>
      <c r="E658" s="5"/>
      <c r="F658" s="5"/>
      <c r="G658" s="5"/>
      <c r="H658" s="25"/>
      <c r="I658" s="21"/>
      <c r="J658" s="18"/>
      <c r="K658" s="5"/>
      <c r="L658" s="5"/>
      <c r="M658" s="5"/>
      <c r="N658" s="5"/>
      <c r="O658" s="5"/>
      <c r="P658" s="5"/>
      <c r="Q658" s="5"/>
      <c r="R658" s="5"/>
      <c r="S658" s="5"/>
      <c r="T658" s="5"/>
      <c r="U658" s="5"/>
      <c r="V658" s="5"/>
      <c r="W658" s="5"/>
      <c r="X658" s="5"/>
      <c r="Y658" s="5"/>
    </row>
    <row r="659" spans="1:25" ht="15" thickBot="1" x14ac:dyDescent="0.35">
      <c r="A659" s="5"/>
      <c r="B659" s="5"/>
      <c r="C659" s="5"/>
      <c r="D659" s="5"/>
      <c r="E659" s="5"/>
      <c r="F659" s="5"/>
      <c r="G659" s="5"/>
      <c r="H659" s="25"/>
      <c r="I659" s="21"/>
      <c r="J659" s="18"/>
      <c r="K659" s="5"/>
      <c r="L659" s="5"/>
      <c r="M659" s="5"/>
      <c r="N659" s="5"/>
      <c r="O659" s="5"/>
      <c r="P659" s="5"/>
      <c r="Q659" s="5"/>
      <c r="R659" s="5"/>
      <c r="S659" s="5"/>
      <c r="T659" s="5"/>
      <c r="U659" s="5"/>
      <c r="V659" s="5"/>
      <c r="W659" s="5"/>
      <c r="X659" s="5"/>
      <c r="Y659" s="5"/>
    </row>
    <row r="660" spans="1:25" ht="15" thickBot="1" x14ac:dyDescent="0.35">
      <c r="A660" s="5"/>
      <c r="B660" s="5"/>
      <c r="C660" s="5"/>
      <c r="D660" s="5"/>
      <c r="E660" s="5"/>
      <c r="F660" s="5"/>
      <c r="G660" s="5"/>
      <c r="H660" s="25"/>
      <c r="I660" s="21"/>
      <c r="J660" s="18"/>
      <c r="K660" s="5"/>
      <c r="L660" s="5"/>
      <c r="M660" s="5"/>
      <c r="N660" s="5"/>
      <c r="O660" s="5"/>
      <c r="P660" s="5"/>
      <c r="Q660" s="5"/>
      <c r="R660" s="5"/>
      <c r="S660" s="5"/>
      <c r="T660" s="5"/>
      <c r="U660" s="5"/>
      <c r="V660" s="5"/>
      <c r="W660" s="5"/>
      <c r="X660" s="5"/>
      <c r="Y660" s="5"/>
    </row>
    <row r="661" spans="1:25" ht="15" thickBot="1" x14ac:dyDescent="0.35">
      <c r="A661" s="5"/>
      <c r="B661" s="5"/>
      <c r="C661" s="5"/>
      <c r="D661" s="5"/>
      <c r="E661" s="5"/>
      <c r="F661" s="5"/>
      <c r="G661" s="5"/>
      <c r="H661" s="25"/>
      <c r="I661" s="21"/>
      <c r="J661" s="18"/>
      <c r="K661" s="5"/>
      <c r="L661" s="5"/>
      <c r="M661" s="5"/>
      <c r="N661" s="5"/>
      <c r="O661" s="5"/>
      <c r="P661" s="5"/>
      <c r="Q661" s="5"/>
      <c r="R661" s="5"/>
      <c r="S661" s="5"/>
      <c r="T661" s="5"/>
      <c r="U661" s="5"/>
      <c r="V661" s="5"/>
      <c r="W661" s="5"/>
      <c r="X661" s="5"/>
      <c r="Y661" s="5"/>
    </row>
    <row r="662" spans="1:25" ht="15" thickBot="1" x14ac:dyDescent="0.35">
      <c r="A662" s="5"/>
      <c r="B662" s="5"/>
      <c r="C662" s="5"/>
      <c r="D662" s="5"/>
      <c r="E662" s="5"/>
      <c r="F662" s="5"/>
      <c r="G662" s="5"/>
      <c r="H662" s="25"/>
      <c r="I662" s="21"/>
      <c r="J662" s="18"/>
      <c r="K662" s="5"/>
      <c r="L662" s="5"/>
      <c r="M662" s="5"/>
      <c r="N662" s="5"/>
      <c r="O662" s="5"/>
      <c r="P662" s="5"/>
      <c r="Q662" s="5"/>
      <c r="R662" s="5"/>
      <c r="S662" s="5"/>
      <c r="T662" s="5"/>
      <c r="U662" s="5"/>
      <c r="V662" s="5"/>
      <c r="W662" s="5"/>
      <c r="X662" s="5"/>
      <c r="Y662" s="5"/>
    </row>
    <row r="663" spans="1:25" ht="15" thickBot="1" x14ac:dyDescent="0.35">
      <c r="A663" s="5"/>
      <c r="B663" s="5"/>
      <c r="C663" s="5"/>
      <c r="D663" s="5"/>
      <c r="E663" s="5"/>
      <c r="F663" s="5"/>
      <c r="G663" s="5"/>
      <c r="H663" s="25"/>
      <c r="I663" s="21"/>
      <c r="J663" s="18"/>
      <c r="K663" s="5"/>
      <c r="L663" s="5"/>
      <c r="M663" s="5"/>
      <c r="N663" s="5"/>
      <c r="O663" s="5"/>
      <c r="P663" s="5"/>
      <c r="Q663" s="5"/>
      <c r="R663" s="5"/>
      <c r="S663" s="5"/>
      <c r="T663" s="5"/>
      <c r="U663" s="5"/>
      <c r="V663" s="5"/>
      <c r="W663" s="5"/>
      <c r="X663" s="5"/>
      <c r="Y663" s="5"/>
    </row>
    <row r="664" spans="1:25" ht="15" thickBot="1" x14ac:dyDescent="0.35">
      <c r="A664" s="5"/>
      <c r="B664" s="5"/>
      <c r="C664" s="5"/>
      <c r="D664" s="5"/>
      <c r="E664" s="5"/>
      <c r="F664" s="5"/>
      <c r="G664" s="5"/>
      <c r="H664" s="25"/>
      <c r="I664" s="21"/>
      <c r="J664" s="18"/>
      <c r="K664" s="5"/>
      <c r="L664" s="5"/>
      <c r="M664" s="5"/>
      <c r="N664" s="5"/>
      <c r="O664" s="5"/>
      <c r="P664" s="5"/>
      <c r="Q664" s="5"/>
      <c r="R664" s="5"/>
      <c r="S664" s="5"/>
      <c r="T664" s="5"/>
      <c r="U664" s="5"/>
      <c r="V664" s="5"/>
      <c r="W664" s="5"/>
      <c r="X664" s="5"/>
      <c r="Y664" s="5"/>
    </row>
    <row r="665" spans="1:25" ht="15" thickBot="1" x14ac:dyDescent="0.35">
      <c r="A665" s="5"/>
      <c r="B665" s="5"/>
      <c r="C665" s="5"/>
      <c r="D665" s="5"/>
      <c r="E665" s="5"/>
      <c r="F665" s="5"/>
      <c r="G665" s="5"/>
      <c r="H665" s="25"/>
      <c r="I665" s="21"/>
      <c r="J665" s="18"/>
      <c r="K665" s="5"/>
      <c r="L665" s="5"/>
      <c r="M665" s="5"/>
      <c r="N665" s="5"/>
      <c r="O665" s="5"/>
      <c r="P665" s="5"/>
      <c r="Q665" s="5"/>
      <c r="R665" s="5"/>
      <c r="S665" s="5"/>
      <c r="T665" s="5"/>
      <c r="U665" s="5"/>
      <c r="V665" s="5"/>
      <c r="W665" s="5"/>
      <c r="X665" s="5"/>
      <c r="Y665" s="5"/>
    </row>
    <row r="666" spans="1:25" ht="15" thickBot="1" x14ac:dyDescent="0.35">
      <c r="A666" s="5"/>
      <c r="B666" s="5"/>
      <c r="C666" s="5"/>
      <c r="D666" s="5"/>
      <c r="E666" s="5"/>
      <c r="F666" s="5"/>
      <c r="G666" s="5"/>
      <c r="H666" s="25"/>
      <c r="I666" s="21"/>
      <c r="J666" s="18"/>
      <c r="K666" s="5"/>
      <c r="L666" s="5"/>
      <c r="M666" s="5"/>
      <c r="N666" s="5"/>
      <c r="O666" s="5"/>
      <c r="P666" s="5"/>
      <c r="Q666" s="5"/>
      <c r="R666" s="5"/>
      <c r="S666" s="5"/>
      <c r="T666" s="5"/>
      <c r="U666" s="5"/>
      <c r="V666" s="5"/>
      <c r="W666" s="5"/>
      <c r="X666" s="5"/>
      <c r="Y666" s="5"/>
    </row>
    <row r="667" spans="1:25" ht="15" thickBot="1" x14ac:dyDescent="0.35">
      <c r="A667" s="5"/>
      <c r="B667" s="5"/>
      <c r="C667" s="5"/>
      <c r="D667" s="5"/>
      <c r="E667" s="5"/>
      <c r="F667" s="5"/>
      <c r="G667" s="5"/>
      <c r="H667" s="25"/>
      <c r="I667" s="21"/>
      <c r="J667" s="18"/>
      <c r="K667" s="5"/>
      <c r="L667" s="5"/>
      <c r="M667" s="5"/>
      <c r="N667" s="5"/>
      <c r="O667" s="5"/>
      <c r="P667" s="5"/>
      <c r="Q667" s="5"/>
      <c r="R667" s="5"/>
      <c r="S667" s="5"/>
      <c r="T667" s="5"/>
      <c r="U667" s="5"/>
      <c r="V667" s="5"/>
      <c r="W667" s="5"/>
      <c r="X667" s="5"/>
      <c r="Y667" s="5"/>
    </row>
    <row r="668" spans="1:25" ht="15" thickBot="1" x14ac:dyDescent="0.35">
      <c r="A668" s="5"/>
      <c r="B668" s="5"/>
      <c r="C668" s="5"/>
      <c r="D668" s="5"/>
      <c r="E668" s="5"/>
      <c r="F668" s="5"/>
      <c r="G668" s="5"/>
      <c r="H668" s="25"/>
      <c r="I668" s="21"/>
      <c r="J668" s="18"/>
      <c r="K668" s="5"/>
      <c r="L668" s="5"/>
      <c r="M668" s="5"/>
      <c r="N668" s="5"/>
      <c r="O668" s="5"/>
      <c r="P668" s="5"/>
      <c r="Q668" s="5"/>
      <c r="R668" s="5"/>
      <c r="S668" s="5"/>
      <c r="T668" s="5"/>
      <c r="U668" s="5"/>
      <c r="V668" s="5"/>
      <c r="W668" s="5"/>
      <c r="X668" s="5"/>
      <c r="Y668" s="5"/>
    </row>
    <row r="669" spans="1:25" ht="15" thickBot="1" x14ac:dyDescent="0.35">
      <c r="A669" s="5"/>
      <c r="B669" s="5"/>
      <c r="C669" s="5"/>
      <c r="D669" s="5"/>
      <c r="E669" s="5"/>
      <c r="F669" s="5"/>
      <c r="G669" s="5"/>
      <c r="H669" s="25"/>
      <c r="I669" s="21"/>
      <c r="J669" s="18"/>
      <c r="K669" s="5"/>
      <c r="L669" s="5"/>
      <c r="M669" s="5"/>
      <c r="N669" s="5"/>
      <c r="O669" s="5"/>
      <c r="P669" s="5"/>
      <c r="Q669" s="5"/>
      <c r="R669" s="5"/>
      <c r="S669" s="5"/>
      <c r="T669" s="5"/>
      <c r="U669" s="5"/>
      <c r="V669" s="5"/>
      <c r="W669" s="5"/>
      <c r="X669" s="5"/>
      <c r="Y669" s="5"/>
    </row>
    <row r="670" spans="1:25" ht="15" thickBot="1" x14ac:dyDescent="0.35">
      <c r="A670" s="5"/>
      <c r="B670" s="5"/>
      <c r="C670" s="5"/>
      <c r="D670" s="5"/>
      <c r="E670" s="5"/>
      <c r="F670" s="5"/>
      <c r="G670" s="5"/>
      <c r="H670" s="25"/>
      <c r="I670" s="21"/>
      <c r="J670" s="18"/>
      <c r="K670" s="5"/>
      <c r="L670" s="5"/>
      <c r="M670" s="5"/>
      <c r="N670" s="5"/>
      <c r="O670" s="5"/>
      <c r="P670" s="5"/>
      <c r="Q670" s="5"/>
      <c r="R670" s="5"/>
      <c r="S670" s="5"/>
      <c r="T670" s="5"/>
      <c r="U670" s="5"/>
      <c r="V670" s="5"/>
      <c r="W670" s="5"/>
      <c r="X670" s="5"/>
      <c r="Y670" s="5"/>
    </row>
    <row r="671" spans="1:25" ht="15" thickBot="1" x14ac:dyDescent="0.35">
      <c r="A671" s="5"/>
      <c r="B671" s="5"/>
      <c r="C671" s="5"/>
      <c r="D671" s="5"/>
      <c r="E671" s="5"/>
      <c r="F671" s="5"/>
      <c r="G671" s="5"/>
      <c r="H671" s="25"/>
      <c r="I671" s="21"/>
      <c r="J671" s="18"/>
      <c r="K671" s="5"/>
      <c r="L671" s="5"/>
      <c r="M671" s="5"/>
      <c r="N671" s="5"/>
      <c r="O671" s="5"/>
      <c r="P671" s="5"/>
      <c r="Q671" s="5"/>
      <c r="R671" s="5"/>
      <c r="S671" s="5"/>
      <c r="T671" s="5"/>
      <c r="U671" s="5"/>
      <c r="V671" s="5"/>
      <c r="W671" s="5"/>
      <c r="X671" s="5"/>
      <c r="Y671" s="5"/>
    </row>
    <row r="672" spans="1:25" ht="15" thickBot="1" x14ac:dyDescent="0.35">
      <c r="A672" s="5"/>
      <c r="B672" s="5"/>
      <c r="C672" s="5"/>
      <c r="D672" s="5"/>
      <c r="E672" s="5"/>
      <c r="F672" s="5"/>
      <c r="G672" s="5"/>
      <c r="H672" s="25"/>
      <c r="I672" s="21"/>
      <c r="J672" s="18"/>
      <c r="K672" s="5"/>
      <c r="L672" s="5"/>
      <c r="M672" s="5"/>
      <c r="N672" s="5"/>
      <c r="O672" s="5"/>
      <c r="P672" s="5"/>
      <c r="Q672" s="5"/>
      <c r="R672" s="5"/>
      <c r="S672" s="5"/>
      <c r="T672" s="5"/>
      <c r="U672" s="5"/>
      <c r="V672" s="5"/>
      <c r="W672" s="5"/>
      <c r="X672" s="5"/>
      <c r="Y672" s="5"/>
    </row>
    <row r="673" spans="1:25" ht="15" thickBot="1" x14ac:dyDescent="0.35">
      <c r="A673" s="5"/>
      <c r="B673" s="5"/>
      <c r="C673" s="5"/>
      <c r="D673" s="5"/>
      <c r="E673" s="5"/>
      <c r="F673" s="5"/>
      <c r="G673" s="5"/>
      <c r="H673" s="25"/>
      <c r="I673" s="21"/>
      <c r="J673" s="18"/>
      <c r="K673" s="5"/>
      <c r="L673" s="5"/>
      <c r="M673" s="5"/>
      <c r="N673" s="5"/>
      <c r="O673" s="5"/>
      <c r="P673" s="5"/>
      <c r="Q673" s="5"/>
      <c r="R673" s="5"/>
      <c r="S673" s="5"/>
      <c r="T673" s="5"/>
      <c r="U673" s="5"/>
      <c r="V673" s="5"/>
      <c r="W673" s="5"/>
      <c r="X673" s="5"/>
      <c r="Y673" s="5"/>
    </row>
    <row r="674" spans="1:25" ht="15" thickBot="1" x14ac:dyDescent="0.35">
      <c r="A674" s="5"/>
      <c r="B674" s="5"/>
      <c r="C674" s="5"/>
      <c r="D674" s="5"/>
      <c r="E674" s="5"/>
      <c r="F674" s="5"/>
      <c r="G674" s="5"/>
      <c r="H674" s="25"/>
      <c r="I674" s="21"/>
      <c r="J674" s="18"/>
      <c r="K674" s="5"/>
      <c r="L674" s="5"/>
      <c r="M674" s="5"/>
      <c r="N674" s="5"/>
      <c r="O674" s="5"/>
      <c r="P674" s="5"/>
      <c r="Q674" s="5"/>
      <c r="R674" s="5"/>
      <c r="S674" s="5"/>
      <c r="T674" s="5"/>
      <c r="U674" s="5"/>
      <c r="V674" s="5"/>
      <c r="W674" s="5"/>
      <c r="X674" s="5"/>
      <c r="Y674" s="5"/>
    </row>
    <row r="675" spans="1:25" ht="15" thickBot="1" x14ac:dyDescent="0.35">
      <c r="A675" s="5"/>
      <c r="B675" s="5"/>
      <c r="C675" s="5"/>
      <c r="D675" s="5"/>
      <c r="E675" s="5"/>
      <c r="F675" s="5"/>
      <c r="G675" s="5"/>
      <c r="H675" s="25"/>
      <c r="I675" s="21"/>
      <c r="J675" s="18"/>
      <c r="K675" s="5"/>
      <c r="L675" s="5"/>
      <c r="M675" s="5"/>
      <c r="N675" s="5"/>
      <c r="O675" s="5"/>
      <c r="P675" s="5"/>
      <c r="Q675" s="5"/>
      <c r="R675" s="5"/>
      <c r="S675" s="5"/>
      <c r="T675" s="5"/>
      <c r="U675" s="5"/>
      <c r="V675" s="5"/>
      <c r="W675" s="5"/>
      <c r="X675" s="5"/>
      <c r="Y675" s="5"/>
    </row>
    <row r="676" spans="1:25" ht="15" thickBot="1" x14ac:dyDescent="0.35">
      <c r="A676" s="5"/>
      <c r="B676" s="5"/>
      <c r="C676" s="5"/>
      <c r="D676" s="5"/>
      <c r="E676" s="5"/>
      <c r="F676" s="5"/>
      <c r="G676" s="5"/>
      <c r="H676" s="25"/>
      <c r="I676" s="21"/>
      <c r="J676" s="18"/>
      <c r="K676" s="5"/>
      <c r="L676" s="5"/>
      <c r="M676" s="5"/>
      <c r="N676" s="5"/>
      <c r="O676" s="5"/>
      <c r="P676" s="5"/>
      <c r="Q676" s="5"/>
      <c r="R676" s="5"/>
      <c r="S676" s="5"/>
      <c r="T676" s="5"/>
      <c r="U676" s="5"/>
      <c r="V676" s="5"/>
      <c r="W676" s="5"/>
      <c r="X676" s="5"/>
      <c r="Y676" s="5"/>
    </row>
    <row r="677" spans="1:25" ht="15" thickBot="1" x14ac:dyDescent="0.35">
      <c r="A677" s="5"/>
      <c r="B677" s="5"/>
      <c r="C677" s="5"/>
      <c r="D677" s="5"/>
      <c r="E677" s="5"/>
      <c r="F677" s="5"/>
      <c r="G677" s="5"/>
      <c r="H677" s="25"/>
      <c r="I677" s="21"/>
      <c r="J677" s="18"/>
      <c r="K677" s="5"/>
      <c r="L677" s="5"/>
      <c r="M677" s="5"/>
      <c r="N677" s="5"/>
      <c r="O677" s="5"/>
      <c r="P677" s="5"/>
      <c r="Q677" s="5"/>
      <c r="R677" s="5"/>
      <c r="S677" s="5"/>
      <c r="T677" s="5"/>
      <c r="U677" s="5"/>
      <c r="V677" s="5"/>
      <c r="W677" s="5"/>
      <c r="X677" s="5"/>
      <c r="Y677" s="5"/>
    </row>
    <row r="678" spans="1:25" ht="15" thickBot="1" x14ac:dyDescent="0.35">
      <c r="A678" s="5"/>
      <c r="B678" s="5"/>
      <c r="C678" s="5"/>
      <c r="D678" s="5"/>
      <c r="E678" s="5"/>
      <c r="F678" s="5"/>
      <c r="G678" s="5"/>
      <c r="H678" s="25"/>
      <c r="I678" s="21"/>
      <c r="J678" s="18"/>
      <c r="K678" s="5"/>
      <c r="L678" s="5"/>
      <c r="M678" s="5"/>
      <c r="N678" s="5"/>
      <c r="O678" s="5"/>
      <c r="P678" s="5"/>
      <c r="Q678" s="5"/>
      <c r="R678" s="5"/>
      <c r="S678" s="5"/>
      <c r="T678" s="5"/>
      <c r="U678" s="5"/>
      <c r="V678" s="5"/>
      <c r="W678" s="5"/>
      <c r="X678" s="5"/>
      <c r="Y678" s="5"/>
    </row>
    <row r="679" spans="1:25" ht="15" thickBot="1" x14ac:dyDescent="0.35">
      <c r="A679" s="5"/>
      <c r="B679" s="5"/>
      <c r="C679" s="5"/>
      <c r="D679" s="5"/>
      <c r="E679" s="5"/>
      <c r="F679" s="5"/>
      <c r="G679" s="5"/>
      <c r="H679" s="25"/>
      <c r="I679" s="21"/>
      <c r="J679" s="18"/>
      <c r="K679" s="5"/>
      <c r="L679" s="5"/>
      <c r="M679" s="5"/>
      <c r="N679" s="5"/>
      <c r="O679" s="5"/>
      <c r="P679" s="5"/>
      <c r="Q679" s="5"/>
      <c r="R679" s="5"/>
      <c r="S679" s="5"/>
      <c r="T679" s="5"/>
      <c r="U679" s="5"/>
      <c r="V679" s="5"/>
      <c r="W679" s="5"/>
      <c r="X679" s="5"/>
      <c r="Y679" s="5"/>
    </row>
    <row r="680" spans="1:25" ht="15" thickBot="1" x14ac:dyDescent="0.35">
      <c r="A680" s="5"/>
      <c r="B680" s="5"/>
      <c r="C680" s="5"/>
      <c r="D680" s="5"/>
      <c r="E680" s="5"/>
      <c r="F680" s="5"/>
      <c r="G680" s="5"/>
      <c r="H680" s="25"/>
      <c r="I680" s="21"/>
      <c r="J680" s="18"/>
      <c r="K680" s="5"/>
      <c r="L680" s="5"/>
      <c r="M680" s="5"/>
      <c r="N680" s="5"/>
      <c r="O680" s="5"/>
      <c r="P680" s="5"/>
      <c r="Q680" s="5"/>
      <c r="R680" s="5"/>
      <c r="S680" s="5"/>
      <c r="T680" s="5"/>
      <c r="U680" s="5"/>
      <c r="V680" s="5"/>
      <c r="W680" s="5"/>
      <c r="X680" s="5"/>
      <c r="Y680" s="5"/>
    </row>
    <row r="681" spans="1:25" ht="15" thickBot="1" x14ac:dyDescent="0.35">
      <c r="A681" s="5"/>
      <c r="B681" s="5"/>
      <c r="C681" s="5"/>
      <c r="D681" s="5"/>
      <c r="E681" s="5"/>
      <c r="F681" s="5"/>
      <c r="G681" s="5"/>
      <c r="H681" s="25"/>
      <c r="I681" s="21"/>
      <c r="J681" s="18"/>
      <c r="K681" s="5"/>
      <c r="L681" s="5"/>
      <c r="M681" s="5"/>
      <c r="N681" s="5"/>
      <c r="O681" s="5"/>
      <c r="P681" s="5"/>
      <c r="Q681" s="5"/>
      <c r="R681" s="5"/>
      <c r="S681" s="5"/>
      <c r="T681" s="5"/>
      <c r="U681" s="5"/>
      <c r="V681" s="5"/>
      <c r="W681" s="5"/>
      <c r="X681" s="5"/>
      <c r="Y681" s="5"/>
    </row>
    <row r="682" spans="1:25" ht="15" thickBot="1" x14ac:dyDescent="0.35">
      <c r="A682" s="5"/>
      <c r="B682" s="5"/>
      <c r="C682" s="5"/>
      <c r="D682" s="5"/>
      <c r="E682" s="5"/>
      <c r="F682" s="5"/>
      <c r="G682" s="5"/>
      <c r="H682" s="25"/>
      <c r="I682" s="21"/>
      <c r="J682" s="18"/>
      <c r="K682" s="5"/>
      <c r="L682" s="5"/>
      <c r="M682" s="5"/>
      <c r="N682" s="5"/>
      <c r="O682" s="5"/>
      <c r="P682" s="5"/>
      <c r="Q682" s="5"/>
      <c r="R682" s="5"/>
      <c r="S682" s="5"/>
      <c r="T682" s="5"/>
      <c r="U682" s="5"/>
      <c r="V682" s="5"/>
      <c r="W682" s="5"/>
      <c r="X682" s="5"/>
      <c r="Y682" s="5"/>
    </row>
    <row r="683" spans="1:25" ht="15" thickBot="1" x14ac:dyDescent="0.35">
      <c r="A683" s="5"/>
      <c r="B683" s="5"/>
      <c r="C683" s="5"/>
      <c r="D683" s="5"/>
      <c r="E683" s="5"/>
      <c r="F683" s="5"/>
      <c r="G683" s="5"/>
      <c r="H683" s="25"/>
      <c r="I683" s="21"/>
      <c r="J683" s="18"/>
      <c r="K683" s="5"/>
      <c r="L683" s="5"/>
      <c r="M683" s="5"/>
      <c r="N683" s="5"/>
      <c r="O683" s="5"/>
      <c r="P683" s="5"/>
      <c r="Q683" s="5"/>
      <c r="R683" s="5"/>
      <c r="S683" s="5"/>
      <c r="T683" s="5"/>
      <c r="U683" s="5"/>
      <c r="V683" s="5"/>
      <c r="W683" s="5"/>
      <c r="X683" s="5"/>
      <c r="Y683" s="5"/>
    </row>
    <row r="684" spans="1:25" ht="15" thickBot="1" x14ac:dyDescent="0.35">
      <c r="A684" s="5"/>
      <c r="B684" s="5"/>
      <c r="C684" s="5"/>
      <c r="D684" s="5"/>
      <c r="E684" s="5"/>
      <c r="F684" s="5"/>
      <c r="G684" s="5"/>
      <c r="H684" s="25"/>
      <c r="I684" s="21"/>
      <c r="J684" s="18"/>
      <c r="K684" s="5"/>
      <c r="L684" s="5"/>
      <c r="M684" s="5"/>
      <c r="N684" s="5"/>
      <c r="O684" s="5"/>
      <c r="P684" s="5"/>
      <c r="Q684" s="5"/>
      <c r="R684" s="5"/>
      <c r="S684" s="5"/>
      <c r="T684" s="5"/>
      <c r="U684" s="5"/>
      <c r="V684" s="5"/>
      <c r="W684" s="5"/>
      <c r="X684" s="5"/>
      <c r="Y684" s="5"/>
    </row>
    <row r="685" spans="1:25" ht="15" thickBot="1" x14ac:dyDescent="0.35">
      <c r="A685" s="5"/>
      <c r="B685" s="5"/>
      <c r="C685" s="5"/>
      <c r="D685" s="5"/>
      <c r="E685" s="5"/>
      <c r="F685" s="5"/>
      <c r="G685" s="5"/>
      <c r="H685" s="25"/>
      <c r="I685" s="21"/>
      <c r="J685" s="18"/>
      <c r="K685" s="5"/>
      <c r="L685" s="5"/>
      <c r="M685" s="5"/>
      <c r="N685" s="5"/>
      <c r="O685" s="5"/>
      <c r="P685" s="5"/>
      <c r="Q685" s="5"/>
      <c r="R685" s="5"/>
      <c r="S685" s="5"/>
      <c r="T685" s="5"/>
      <c r="U685" s="5"/>
      <c r="V685" s="5"/>
      <c r="W685" s="5"/>
      <c r="X685" s="5"/>
      <c r="Y685" s="5"/>
    </row>
    <row r="686" spans="1:25" ht="15" thickBot="1" x14ac:dyDescent="0.35">
      <c r="A686" s="5"/>
      <c r="B686" s="5"/>
      <c r="C686" s="5"/>
      <c r="D686" s="5"/>
      <c r="E686" s="5"/>
      <c r="F686" s="5"/>
      <c r="G686" s="5"/>
      <c r="H686" s="25"/>
      <c r="I686" s="21"/>
      <c r="J686" s="18"/>
      <c r="K686" s="5"/>
      <c r="L686" s="5"/>
      <c r="M686" s="5"/>
      <c r="N686" s="5"/>
      <c r="O686" s="5"/>
      <c r="P686" s="5"/>
      <c r="Q686" s="5"/>
      <c r="R686" s="5"/>
      <c r="S686" s="5"/>
      <c r="T686" s="5"/>
      <c r="U686" s="5"/>
      <c r="V686" s="5"/>
      <c r="W686" s="5"/>
      <c r="X686" s="5"/>
      <c r="Y686" s="5"/>
    </row>
    <row r="687" spans="1:25" ht="15" thickBot="1" x14ac:dyDescent="0.35">
      <c r="A687" s="5"/>
      <c r="B687" s="5"/>
      <c r="C687" s="5"/>
      <c r="D687" s="5"/>
      <c r="E687" s="5"/>
      <c r="F687" s="5"/>
      <c r="G687" s="5"/>
      <c r="H687" s="25"/>
      <c r="I687" s="21"/>
      <c r="J687" s="18"/>
      <c r="K687" s="5"/>
      <c r="L687" s="5"/>
      <c r="M687" s="5"/>
      <c r="N687" s="5"/>
      <c r="O687" s="5"/>
      <c r="P687" s="5"/>
      <c r="Q687" s="5"/>
      <c r="R687" s="5"/>
      <c r="S687" s="5"/>
      <c r="T687" s="5"/>
      <c r="U687" s="5"/>
      <c r="V687" s="5"/>
      <c r="W687" s="5"/>
      <c r="X687" s="5"/>
      <c r="Y687" s="5"/>
    </row>
    <row r="688" spans="1:25" ht="15" thickBot="1" x14ac:dyDescent="0.35">
      <c r="A688" s="5"/>
      <c r="B688" s="5"/>
      <c r="C688" s="5"/>
      <c r="D688" s="5"/>
      <c r="E688" s="5"/>
      <c r="F688" s="5"/>
      <c r="G688" s="5"/>
      <c r="H688" s="25"/>
      <c r="I688" s="21"/>
      <c r="J688" s="18"/>
      <c r="K688" s="5"/>
      <c r="L688" s="5"/>
      <c r="M688" s="5"/>
      <c r="N688" s="5"/>
      <c r="O688" s="5"/>
      <c r="P688" s="5"/>
      <c r="Q688" s="5"/>
      <c r="R688" s="5"/>
      <c r="S688" s="5"/>
      <c r="T688" s="5"/>
      <c r="U688" s="5"/>
      <c r="V688" s="5"/>
      <c r="W688" s="5"/>
      <c r="X688" s="5"/>
      <c r="Y688" s="5"/>
    </row>
    <row r="689" spans="1:25" ht="15" thickBot="1" x14ac:dyDescent="0.35">
      <c r="A689" s="5"/>
      <c r="B689" s="5"/>
      <c r="C689" s="5"/>
      <c r="D689" s="5"/>
      <c r="E689" s="5"/>
      <c r="F689" s="5"/>
      <c r="G689" s="5"/>
      <c r="H689" s="25"/>
      <c r="I689" s="21"/>
      <c r="J689" s="18"/>
      <c r="K689" s="5"/>
      <c r="L689" s="5"/>
      <c r="M689" s="5"/>
      <c r="N689" s="5"/>
      <c r="O689" s="5"/>
      <c r="P689" s="5"/>
      <c r="Q689" s="5"/>
      <c r="R689" s="5"/>
      <c r="S689" s="5"/>
      <c r="T689" s="5"/>
      <c r="U689" s="5"/>
      <c r="V689" s="5"/>
      <c r="W689" s="5"/>
      <c r="X689" s="5"/>
      <c r="Y689" s="5"/>
    </row>
    <row r="690" spans="1:25" ht="15" thickBot="1" x14ac:dyDescent="0.35">
      <c r="A690" s="5"/>
      <c r="B690" s="5"/>
      <c r="C690" s="5"/>
      <c r="D690" s="5"/>
      <c r="E690" s="5"/>
      <c r="F690" s="5"/>
      <c r="G690" s="5"/>
      <c r="H690" s="25"/>
      <c r="I690" s="21"/>
      <c r="J690" s="18"/>
      <c r="K690" s="5"/>
      <c r="L690" s="5"/>
      <c r="M690" s="5"/>
      <c r="N690" s="5"/>
      <c r="O690" s="5"/>
      <c r="P690" s="5"/>
      <c r="Q690" s="5"/>
      <c r="R690" s="5"/>
      <c r="S690" s="5"/>
      <c r="T690" s="5"/>
      <c r="U690" s="5"/>
      <c r="V690" s="5"/>
      <c r="W690" s="5"/>
      <c r="X690" s="5"/>
      <c r="Y690" s="5"/>
    </row>
    <row r="691" spans="1:25" ht="15" thickBot="1" x14ac:dyDescent="0.35">
      <c r="A691" s="5"/>
      <c r="B691" s="5"/>
      <c r="C691" s="5"/>
      <c r="D691" s="5"/>
      <c r="E691" s="5"/>
      <c r="F691" s="5"/>
      <c r="G691" s="5"/>
      <c r="H691" s="25"/>
      <c r="I691" s="21"/>
      <c r="J691" s="18"/>
      <c r="K691" s="5"/>
      <c r="L691" s="5"/>
      <c r="M691" s="5"/>
      <c r="N691" s="5"/>
      <c r="O691" s="5"/>
      <c r="P691" s="5"/>
      <c r="Q691" s="5"/>
      <c r="R691" s="5"/>
      <c r="S691" s="5"/>
      <c r="T691" s="5"/>
      <c r="U691" s="5"/>
      <c r="V691" s="5"/>
      <c r="W691" s="5"/>
      <c r="X691" s="5"/>
      <c r="Y691" s="5"/>
    </row>
    <row r="692" spans="1:25" ht="15" thickBot="1" x14ac:dyDescent="0.35">
      <c r="A692" s="5"/>
      <c r="B692" s="5"/>
      <c r="C692" s="5"/>
      <c r="D692" s="5"/>
      <c r="E692" s="5"/>
      <c r="F692" s="5"/>
      <c r="G692" s="5"/>
      <c r="H692" s="25"/>
      <c r="I692" s="21"/>
      <c r="J692" s="18"/>
      <c r="K692" s="5"/>
      <c r="L692" s="5"/>
      <c r="M692" s="5"/>
      <c r="N692" s="5"/>
      <c r="O692" s="5"/>
      <c r="P692" s="5"/>
      <c r="Q692" s="5"/>
      <c r="R692" s="5"/>
      <c r="S692" s="5"/>
      <c r="T692" s="5"/>
      <c r="U692" s="5"/>
      <c r="V692" s="5"/>
      <c r="W692" s="5"/>
      <c r="X692" s="5"/>
      <c r="Y692" s="5"/>
    </row>
    <row r="693" spans="1:25" ht="15" thickBot="1" x14ac:dyDescent="0.35">
      <c r="A693" s="5"/>
      <c r="B693" s="5"/>
      <c r="C693" s="5"/>
      <c r="D693" s="5"/>
      <c r="E693" s="5"/>
      <c r="F693" s="5"/>
      <c r="G693" s="5"/>
      <c r="H693" s="25"/>
      <c r="I693" s="21"/>
      <c r="J693" s="18"/>
      <c r="K693" s="5"/>
      <c r="L693" s="5"/>
      <c r="M693" s="5"/>
      <c r="N693" s="5"/>
      <c r="O693" s="5"/>
      <c r="P693" s="5"/>
      <c r="Q693" s="5"/>
      <c r="R693" s="5"/>
      <c r="S693" s="5"/>
      <c r="T693" s="5"/>
      <c r="U693" s="5"/>
      <c r="V693" s="5"/>
      <c r="W693" s="5"/>
      <c r="X693" s="5"/>
      <c r="Y693" s="5"/>
    </row>
    <row r="694" spans="1:25" ht="15" thickBot="1" x14ac:dyDescent="0.35">
      <c r="A694" s="5"/>
      <c r="B694" s="5"/>
      <c r="C694" s="5"/>
      <c r="D694" s="5"/>
      <c r="E694" s="5"/>
      <c r="F694" s="5"/>
      <c r="G694" s="5"/>
      <c r="H694" s="25"/>
      <c r="I694" s="21"/>
      <c r="J694" s="18"/>
      <c r="K694" s="5"/>
      <c r="L694" s="5"/>
      <c r="M694" s="5"/>
      <c r="N694" s="5"/>
      <c r="O694" s="5"/>
      <c r="P694" s="5"/>
      <c r="Q694" s="5"/>
      <c r="R694" s="5"/>
      <c r="S694" s="5"/>
      <c r="T694" s="5"/>
      <c r="U694" s="5"/>
      <c r="V694" s="5"/>
      <c r="W694" s="5"/>
      <c r="X694" s="5"/>
      <c r="Y694" s="5"/>
    </row>
    <row r="695" spans="1:25" ht="15" thickBot="1" x14ac:dyDescent="0.35">
      <c r="A695" s="5"/>
      <c r="B695" s="5"/>
      <c r="C695" s="5"/>
      <c r="D695" s="5"/>
      <c r="E695" s="5"/>
      <c r="F695" s="5"/>
      <c r="G695" s="5"/>
      <c r="H695" s="25"/>
      <c r="I695" s="21"/>
      <c r="J695" s="18"/>
      <c r="K695" s="5"/>
      <c r="L695" s="5"/>
      <c r="M695" s="5"/>
      <c r="N695" s="5"/>
      <c r="O695" s="5"/>
      <c r="P695" s="5"/>
      <c r="Q695" s="5"/>
      <c r="R695" s="5"/>
      <c r="S695" s="5"/>
      <c r="T695" s="5"/>
      <c r="U695" s="5"/>
      <c r="V695" s="5"/>
      <c r="W695" s="5"/>
      <c r="X695" s="5"/>
      <c r="Y695" s="5"/>
    </row>
    <row r="696" spans="1:25" ht="15" thickBot="1" x14ac:dyDescent="0.35">
      <c r="A696" s="5"/>
      <c r="B696" s="5"/>
      <c r="C696" s="5"/>
      <c r="D696" s="5"/>
      <c r="E696" s="5"/>
      <c r="F696" s="5"/>
      <c r="G696" s="5"/>
      <c r="H696" s="25"/>
      <c r="I696" s="21"/>
      <c r="J696" s="18"/>
      <c r="K696" s="5"/>
      <c r="L696" s="5"/>
      <c r="M696" s="5"/>
      <c r="N696" s="5"/>
      <c r="O696" s="5"/>
      <c r="P696" s="5"/>
      <c r="Q696" s="5"/>
      <c r="R696" s="5"/>
      <c r="S696" s="5"/>
      <c r="T696" s="5"/>
      <c r="U696" s="5"/>
      <c r="V696" s="5"/>
      <c r="W696" s="5"/>
      <c r="X696" s="5"/>
      <c r="Y696" s="5"/>
    </row>
    <row r="697" spans="1:25" ht="15" thickBot="1" x14ac:dyDescent="0.35">
      <c r="A697" s="5"/>
      <c r="B697" s="5"/>
      <c r="C697" s="5"/>
      <c r="D697" s="5"/>
      <c r="E697" s="5"/>
      <c r="F697" s="5"/>
      <c r="G697" s="5"/>
      <c r="H697" s="25"/>
      <c r="I697" s="21"/>
      <c r="J697" s="18"/>
      <c r="K697" s="5"/>
      <c r="L697" s="5"/>
      <c r="M697" s="5"/>
      <c r="N697" s="5"/>
      <c r="O697" s="5"/>
      <c r="P697" s="5"/>
      <c r="Q697" s="5"/>
      <c r="R697" s="5"/>
      <c r="S697" s="5"/>
      <c r="T697" s="5"/>
      <c r="U697" s="5"/>
      <c r="V697" s="5"/>
      <c r="W697" s="5"/>
      <c r="X697" s="5"/>
      <c r="Y697" s="5"/>
    </row>
    <row r="698" spans="1:25" ht="15" thickBot="1" x14ac:dyDescent="0.35">
      <c r="A698" s="5"/>
      <c r="B698" s="5"/>
      <c r="C698" s="5"/>
      <c r="D698" s="5"/>
      <c r="E698" s="5"/>
      <c r="F698" s="5"/>
      <c r="G698" s="5"/>
      <c r="H698" s="25"/>
      <c r="I698" s="21"/>
      <c r="J698" s="18"/>
      <c r="K698" s="5"/>
      <c r="L698" s="5"/>
      <c r="M698" s="5"/>
      <c r="N698" s="5"/>
      <c r="O698" s="5"/>
      <c r="P698" s="5"/>
      <c r="Q698" s="5"/>
      <c r="R698" s="5"/>
      <c r="S698" s="5"/>
      <c r="T698" s="5"/>
      <c r="U698" s="5"/>
      <c r="V698" s="5"/>
      <c r="W698" s="5"/>
      <c r="X698" s="5"/>
      <c r="Y698" s="5"/>
    </row>
    <row r="699" spans="1:25" ht="15" thickBot="1" x14ac:dyDescent="0.35">
      <c r="A699" s="5"/>
      <c r="B699" s="5"/>
      <c r="C699" s="5"/>
      <c r="D699" s="5"/>
      <c r="E699" s="5"/>
      <c r="F699" s="5"/>
      <c r="G699" s="5"/>
      <c r="H699" s="25"/>
      <c r="I699" s="21"/>
      <c r="J699" s="18"/>
      <c r="K699" s="5"/>
      <c r="L699" s="5"/>
      <c r="M699" s="5"/>
      <c r="N699" s="5"/>
      <c r="O699" s="5"/>
      <c r="P699" s="5"/>
      <c r="Q699" s="5"/>
      <c r="R699" s="5"/>
      <c r="S699" s="5"/>
      <c r="T699" s="5"/>
      <c r="U699" s="5"/>
      <c r="V699" s="5"/>
      <c r="W699" s="5"/>
      <c r="X699" s="5"/>
      <c r="Y699" s="5"/>
    </row>
    <row r="700" spans="1:25" ht="15" thickBot="1" x14ac:dyDescent="0.35">
      <c r="A700" s="5"/>
      <c r="B700" s="5"/>
      <c r="C700" s="5"/>
      <c r="D700" s="5"/>
      <c r="E700" s="5"/>
      <c r="F700" s="5"/>
      <c r="G700" s="5"/>
      <c r="H700" s="25"/>
      <c r="I700" s="21"/>
      <c r="J700" s="18"/>
      <c r="K700" s="5"/>
      <c r="L700" s="5"/>
      <c r="M700" s="5"/>
      <c r="N700" s="5"/>
      <c r="O700" s="5"/>
      <c r="P700" s="5"/>
      <c r="Q700" s="5"/>
      <c r="R700" s="5"/>
      <c r="S700" s="5"/>
      <c r="T700" s="5"/>
      <c r="U700" s="5"/>
      <c r="V700" s="5"/>
      <c r="W700" s="5"/>
      <c r="X700" s="5"/>
      <c r="Y700" s="5"/>
    </row>
    <row r="701" spans="1:25" ht="15" thickBot="1" x14ac:dyDescent="0.35">
      <c r="A701" s="5"/>
      <c r="B701" s="5"/>
      <c r="C701" s="5"/>
      <c r="D701" s="5"/>
      <c r="E701" s="5"/>
      <c r="F701" s="5"/>
      <c r="G701" s="5"/>
      <c r="H701" s="25"/>
      <c r="I701" s="21"/>
      <c r="J701" s="18"/>
      <c r="K701" s="5"/>
      <c r="L701" s="5"/>
      <c r="M701" s="5"/>
      <c r="N701" s="5"/>
      <c r="O701" s="5"/>
      <c r="P701" s="5"/>
      <c r="Q701" s="5"/>
      <c r="R701" s="5"/>
      <c r="S701" s="5"/>
      <c r="T701" s="5"/>
      <c r="U701" s="5"/>
      <c r="V701" s="5"/>
      <c r="W701" s="5"/>
      <c r="X701" s="5"/>
      <c r="Y701" s="5"/>
    </row>
    <row r="702" spans="1:25" ht="15" thickBot="1" x14ac:dyDescent="0.35">
      <c r="A702" s="5"/>
      <c r="B702" s="5"/>
      <c r="C702" s="5"/>
      <c r="D702" s="5"/>
      <c r="E702" s="5"/>
      <c r="F702" s="5"/>
      <c r="G702" s="5"/>
      <c r="H702" s="25"/>
      <c r="I702" s="21"/>
      <c r="J702" s="18"/>
      <c r="K702" s="5"/>
      <c r="L702" s="5"/>
      <c r="M702" s="5"/>
      <c r="N702" s="5"/>
      <c r="O702" s="5"/>
      <c r="P702" s="5"/>
      <c r="Q702" s="5"/>
      <c r="R702" s="5"/>
      <c r="S702" s="5"/>
      <c r="T702" s="5"/>
      <c r="U702" s="5"/>
      <c r="V702" s="5"/>
      <c r="W702" s="5"/>
      <c r="X702" s="5"/>
      <c r="Y702" s="5"/>
    </row>
    <row r="703" spans="1:25" ht="15" thickBot="1" x14ac:dyDescent="0.35">
      <c r="A703" s="5"/>
      <c r="B703" s="5"/>
      <c r="C703" s="5"/>
      <c r="D703" s="5"/>
      <c r="E703" s="5"/>
      <c r="F703" s="5"/>
      <c r="G703" s="5"/>
      <c r="H703" s="25"/>
      <c r="I703" s="21"/>
      <c r="J703" s="18"/>
      <c r="K703" s="5"/>
      <c r="L703" s="5"/>
      <c r="M703" s="5"/>
      <c r="N703" s="5"/>
      <c r="O703" s="5"/>
      <c r="P703" s="5"/>
      <c r="Q703" s="5"/>
      <c r="R703" s="5"/>
      <c r="S703" s="5"/>
      <c r="T703" s="5"/>
      <c r="U703" s="5"/>
      <c r="V703" s="5"/>
      <c r="W703" s="5"/>
      <c r="X703" s="5"/>
      <c r="Y703" s="5"/>
    </row>
    <row r="704" spans="1:25" ht="15" thickBot="1" x14ac:dyDescent="0.35">
      <c r="A704" s="5"/>
      <c r="B704" s="5"/>
      <c r="C704" s="5"/>
      <c r="D704" s="5"/>
      <c r="E704" s="5"/>
      <c r="F704" s="5"/>
      <c r="G704" s="5"/>
      <c r="H704" s="25"/>
      <c r="I704" s="21"/>
      <c r="J704" s="18"/>
      <c r="K704" s="5"/>
      <c r="L704" s="5"/>
      <c r="M704" s="5"/>
      <c r="N704" s="5"/>
      <c r="O704" s="5"/>
      <c r="P704" s="5"/>
      <c r="Q704" s="5"/>
      <c r="R704" s="5"/>
      <c r="S704" s="5"/>
      <c r="T704" s="5"/>
      <c r="U704" s="5"/>
      <c r="V704" s="5"/>
      <c r="W704" s="5"/>
      <c r="X704" s="5"/>
      <c r="Y704" s="5"/>
    </row>
    <row r="705" spans="1:25" ht="15" thickBot="1" x14ac:dyDescent="0.35">
      <c r="A705" s="5"/>
      <c r="B705" s="5"/>
      <c r="C705" s="5"/>
      <c r="D705" s="5"/>
      <c r="E705" s="5"/>
      <c r="F705" s="5"/>
      <c r="G705" s="5"/>
      <c r="H705" s="25"/>
      <c r="I705" s="21"/>
      <c r="J705" s="18"/>
      <c r="K705" s="5"/>
      <c r="L705" s="5"/>
      <c r="M705" s="5"/>
      <c r="N705" s="5"/>
      <c r="O705" s="5"/>
      <c r="P705" s="5"/>
      <c r="Q705" s="5"/>
      <c r="R705" s="5"/>
      <c r="S705" s="5"/>
      <c r="T705" s="5"/>
      <c r="U705" s="5"/>
      <c r="V705" s="5"/>
      <c r="W705" s="5"/>
      <c r="X705" s="5"/>
      <c r="Y705" s="5"/>
    </row>
    <row r="706" spans="1:25" ht="15" thickBot="1" x14ac:dyDescent="0.35">
      <c r="A706" s="5"/>
      <c r="B706" s="5"/>
      <c r="C706" s="5"/>
      <c r="D706" s="5"/>
      <c r="E706" s="5"/>
      <c r="F706" s="5"/>
      <c r="G706" s="5"/>
      <c r="H706" s="25"/>
      <c r="I706" s="21"/>
      <c r="J706" s="18"/>
      <c r="K706" s="5"/>
      <c r="L706" s="5"/>
      <c r="M706" s="5"/>
      <c r="N706" s="5"/>
      <c r="O706" s="5"/>
      <c r="P706" s="5"/>
      <c r="Q706" s="5"/>
      <c r="R706" s="5"/>
      <c r="S706" s="5"/>
      <c r="T706" s="5"/>
      <c r="U706" s="5"/>
      <c r="V706" s="5"/>
      <c r="W706" s="5"/>
      <c r="X706" s="5"/>
      <c r="Y706" s="5"/>
    </row>
    <row r="707" spans="1:25" ht="15" thickBot="1" x14ac:dyDescent="0.35">
      <c r="A707" s="5"/>
      <c r="B707" s="5"/>
      <c r="C707" s="5"/>
      <c r="D707" s="5"/>
      <c r="E707" s="5"/>
      <c r="F707" s="5"/>
      <c r="G707" s="5"/>
      <c r="H707" s="25"/>
      <c r="I707" s="21"/>
      <c r="J707" s="18"/>
      <c r="K707" s="5"/>
      <c r="L707" s="5"/>
      <c r="M707" s="5"/>
      <c r="N707" s="5"/>
      <c r="O707" s="5"/>
      <c r="P707" s="5"/>
      <c r="Q707" s="5"/>
      <c r="R707" s="5"/>
      <c r="S707" s="5"/>
      <c r="T707" s="5"/>
      <c r="U707" s="5"/>
      <c r="V707" s="5"/>
      <c r="W707" s="5"/>
      <c r="X707" s="5"/>
      <c r="Y707" s="5"/>
    </row>
    <row r="708" spans="1:25" ht="15" thickBot="1" x14ac:dyDescent="0.35">
      <c r="A708" s="5"/>
      <c r="B708" s="5"/>
      <c r="C708" s="5"/>
      <c r="D708" s="5"/>
      <c r="E708" s="5"/>
      <c r="F708" s="5"/>
      <c r="G708" s="5"/>
      <c r="H708" s="25"/>
      <c r="I708" s="21"/>
      <c r="J708" s="18"/>
      <c r="K708" s="5"/>
      <c r="L708" s="5"/>
      <c r="M708" s="5"/>
      <c r="N708" s="5"/>
      <c r="O708" s="5"/>
      <c r="P708" s="5"/>
      <c r="Q708" s="5"/>
      <c r="R708" s="5"/>
      <c r="S708" s="5"/>
      <c r="T708" s="5"/>
      <c r="U708" s="5"/>
      <c r="V708" s="5"/>
      <c r="W708" s="5"/>
      <c r="X708" s="5"/>
      <c r="Y708" s="5"/>
    </row>
    <row r="709" spans="1:25" ht="15" thickBot="1" x14ac:dyDescent="0.35">
      <c r="A709" s="5"/>
      <c r="B709" s="5"/>
      <c r="C709" s="5"/>
      <c r="D709" s="5"/>
      <c r="E709" s="5"/>
      <c r="F709" s="5"/>
      <c r="G709" s="5"/>
      <c r="H709" s="25"/>
      <c r="I709" s="21"/>
      <c r="J709" s="18"/>
      <c r="K709" s="5"/>
      <c r="L709" s="5"/>
      <c r="M709" s="5"/>
      <c r="N709" s="5"/>
      <c r="O709" s="5"/>
      <c r="P709" s="5"/>
      <c r="Q709" s="5"/>
      <c r="R709" s="5"/>
      <c r="S709" s="5"/>
      <c r="T709" s="5"/>
      <c r="U709" s="5"/>
      <c r="V709" s="5"/>
      <c r="W709" s="5"/>
      <c r="X709" s="5"/>
      <c r="Y709" s="5"/>
    </row>
    <row r="710" spans="1:25" ht="15" thickBot="1" x14ac:dyDescent="0.35">
      <c r="A710" s="5"/>
      <c r="B710" s="5"/>
      <c r="C710" s="5"/>
      <c r="D710" s="5"/>
      <c r="E710" s="5"/>
      <c r="F710" s="5"/>
      <c r="G710" s="5"/>
      <c r="H710" s="25"/>
      <c r="I710" s="21"/>
      <c r="J710" s="18"/>
      <c r="K710" s="5"/>
      <c r="L710" s="5"/>
      <c r="M710" s="5"/>
      <c r="N710" s="5"/>
      <c r="O710" s="5"/>
      <c r="P710" s="5"/>
      <c r="Q710" s="5"/>
      <c r="R710" s="5"/>
      <c r="S710" s="5"/>
      <c r="T710" s="5"/>
      <c r="U710" s="5"/>
      <c r="V710" s="5"/>
      <c r="W710" s="5"/>
      <c r="X710" s="5"/>
      <c r="Y710" s="5"/>
    </row>
    <row r="711" spans="1:25" ht="15" thickBot="1" x14ac:dyDescent="0.35">
      <c r="A711" s="5"/>
      <c r="B711" s="5"/>
      <c r="C711" s="5"/>
      <c r="D711" s="5"/>
      <c r="E711" s="5"/>
      <c r="F711" s="5"/>
      <c r="G711" s="5"/>
      <c r="H711" s="25"/>
      <c r="I711" s="21"/>
      <c r="J711" s="18"/>
      <c r="K711" s="5"/>
      <c r="L711" s="5"/>
      <c r="M711" s="5"/>
      <c r="N711" s="5"/>
      <c r="O711" s="5"/>
      <c r="P711" s="5"/>
      <c r="Q711" s="5"/>
      <c r="R711" s="5"/>
      <c r="S711" s="5"/>
      <c r="T711" s="5"/>
      <c r="U711" s="5"/>
      <c r="V711" s="5"/>
      <c r="W711" s="5"/>
      <c r="X711" s="5"/>
      <c r="Y711" s="5"/>
    </row>
    <row r="712" spans="1:25" ht="15" thickBot="1" x14ac:dyDescent="0.35">
      <c r="A712" s="5"/>
      <c r="B712" s="5"/>
      <c r="C712" s="5"/>
      <c r="D712" s="5"/>
      <c r="E712" s="5"/>
      <c r="F712" s="5"/>
      <c r="G712" s="5"/>
      <c r="H712" s="25"/>
      <c r="I712" s="21"/>
      <c r="J712" s="18"/>
      <c r="K712" s="5"/>
      <c r="L712" s="5"/>
      <c r="M712" s="5"/>
      <c r="N712" s="5"/>
      <c r="O712" s="5"/>
      <c r="P712" s="5"/>
      <c r="Q712" s="5"/>
      <c r="R712" s="5"/>
      <c r="S712" s="5"/>
      <c r="T712" s="5"/>
      <c r="U712" s="5"/>
      <c r="V712" s="5"/>
      <c r="W712" s="5"/>
      <c r="X712" s="5"/>
      <c r="Y712" s="5"/>
    </row>
    <row r="713" spans="1:25" ht="15" thickBot="1" x14ac:dyDescent="0.35">
      <c r="A713" s="5"/>
      <c r="B713" s="5"/>
      <c r="C713" s="5"/>
      <c r="D713" s="5"/>
      <c r="E713" s="5"/>
      <c r="F713" s="5"/>
      <c r="G713" s="5"/>
      <c r="H713" s="25"/>
      <c r="I713" s="21"/>
      <c r="J713" s="18"/>
      <c r="K713" s="5"/>
      <c r="L713" s="5"/>
      <c r="M713" s="5"/>
      <c r="N713" s="5"/>
      <c r="O713" s="5"/>
      <c r="P713" s="5"/>
      <c r="Q713" s="5"/>
      <c r="R713" s="5"/>
      <c r="S713" s="5"/>
      <c r="T713" s="5"/>
      <c r="U713" s="5"/>
      <c r="V713" s="5"/>
      <c r="W713" s="5"/>
      <c r="X713" s="5"/>
      <c r="Y713" s="5"/>
    </row>
    <row r="714" spans="1:25" ht="15" thickBot="1" x14ac:dyDescent="0.35">
      <c r="A714" s="5"/>
      <c r="B714" s="5"/>
      <c r="C714" s="5"/>
      <c r="D714" s="5"/>
      <c r="E714" s="5"/>
      <c r="F714" s="5"/>
      <c r="G714" s="5"/>
      <c r="H714" s="25"/>
      <c r="I714" s="21"/>
      <c r="J714" s="18"/>
      <c r="K714" s="5"/>
      <c r="L714" s="5"/>
      <c r="M714" s="5"/>
      <c r="N714" s="5"/>
      <c r="O714" s="5"/>
      <c r="P714" s="5"/>
      <c r="Q714" s="5"/>
      <c r="R714" s="5"/>
      <c r="S714" s="5"/>
      <c r="T714" s="5"/>
      <c r="U714" s="5"/>
      <c r="V714" s="5"/>
      <c r="W714" s="5"/>
      <c r="X714" s="5"/>
      <c r="Y714" s="5"/>
    </row>
    <row r="715" spans="1:25" ht="15" thickBot="1" x14ac:dyDescent="0.35">
      <c r="A715" s="5"/>
      <c r="B715" s="5"/>
      <c r="C715" s="5"/>
      <c r="D715" s="5"/>
      <c r="E715" s="5"/>
      <c r="F715" s="5"/>
      <c r="G715" s="5"/>
      <c r="H715" s="25"/>
      <c r="I715" s="21"/>
      <c r="J715" s="18"/>
      <c r="K715" s="5"/>
      <c r="L715" s="5"/>
      <c r="M715" s="5"/>
      <c r="N715" s="5"/>
      <c r="O715" s="5"/>
      <c r="P715" s="5"/>
      <c r="Q715" s="5"/>
      <c r="R715" s="5"/>
      <c r="S715" s="5"/>
      <c r="T715" s="5"/>
      <c r="U715" s="5"/>
      <c r="V715" s="5"/>
      <c r="W715" s="5"/>
      <c r="X715" s="5"/>
      <c r="Y715" s="5"/>
    </row>
    <row r="716" spans="1:25" ht="15" thickBot="1" x14ac:dyDescent="0.35">
      <c r="A716" s="5"/>
      <c r="B716" s="5"/>
      <c r="C716" s="5"/>
      <c r="D716" s="5"/>
      <c r="E716" s="5"/>
      <c r="F716" s="5"/>
      <c r="G716" s="5"/>
      <c r="H716" s="25"/>
      <c r="I716" s="21"/>
      <c r="J716" s="18"/>
      <c r="K716" s="5"/>
      <c r="L716" s="5"/>
      <c r="M716" s="5"/>
      <c r="N716" s="5"/>
      <c r="O716" s="5"/>
      <c r="P716" s="5"/>
      <c r="Q716" s="5"/>
      <c r="R716" s="5"/>
      <c r="S716" s="5"/>
      <c r="T716" s="5"/>
      <c r="U716" s="5"/>
      <c r="V716" s="5"/>
      <c r="W716" s="5"/>
      <c r="X716" s="5"/>
      <c r="Y716" s="5"/>
    </row>
    <row r="717" spans="1:25" ht="15" thickBot="1" x14ac:dyDescent="0.35">
      <c r="A717" s="5"/>
      <c r="B717" s="5"/>
      <c r="C717" s="5"/>
      <c r="D717" s="5"/>
      <c r="E717" s="5"/>
      <c r="F717" s="5"/>
      <c r="G717" s="5"/>
      <c r="H717" s="25"/>
      <c r="I717" s="21"/>
      <c r="J717" s="18"/>
      <c r="K717" s="5"/>
      <c r="L717" s="5"/>
      <c r="M717" s="5"/>
      <c r="N717" s="5"/>
      <c r="O717" s="5"/>
      <c r="P717" s="5"/>
      <c r="Q717" s="5"/>
      <c r="R717" s="5"/>
      <c r="S717" s="5"/>
      <c r="T717" s="5"/>
      <c r="U717" s="5"/>
      <c r="V717" s="5"/>
      <c r="W717" s="5"/>
      <c r="X717" s="5"/>
      <c r="Y717" s="5"/>
    </row>
    <row r="718" spans="1:25" ht="15" thickBot="1" x14ac:dyDescent="0.35">
      <c r="A718" s="5"/>
      <c r="B718" s="5"/>
      <c r="C718" s="5"/>
      <c r="D718" s="5"/>
      <c r="E718" s="5"/>
      <c r="F718" s="5"/>
      <c r="G718" s="5"/>
      <c r="H718" s="25"/>
      <c r="I718" s="21"/>
      <c r="J718" s="18"/>
      <c r="K718" s="5"/>
      <c r="L718" s="5"/>
      <c r="M718" s="5"/>
      <c r="N718" s="5"/>
      <c r="O718" s="5"/>
      <c r="P718" s="5"/>
      <c r="Q718" s="5"/>
      <c r="R718" s="5"/>
      <c r="S718" s="5"/>
      <c r="T718" s="5"/>
      <c r="U718" s="5"/>
      <c r="V718" s="5"/>
      <c r="W718" s="5"/>
      <c r="X718" s="5"/>
      <c r="Y718" s="5"/>
    </row>
    <row r="719" spans="1:25" ht="15" thickBot="1" x14ac:dyDescent="0.35">
      <c r="A719" s="5"/>
      <c r="B719" s="5"/>
      <c r="C719" s="5"/>
      <c r="D719" s="5"/>
      <c r="E719" s="5"/>
      <c r="F719" s="5"/>
      <c r="G719" s="5"/>
      <c r="H719" s="25"/>
      <c r="I719" s="21"/>
      <c r="J719" s="18"/>
      <c r="K719" s="5"/>
      <c r="L719" s="5"/>
      <c r="M719" s="5"/>
      <c r="N719" s="5"/>
      <c r="O719" s="5"/>
      <c r="P719" s="5"/>
      <c r="Q719" s="5"/>
      <c r="R719" s="5"/>
      <c r="S719" s="5"/>
      <c r="T719" s="5"/>
      <c r="U719" s="5"/>
      <c r="V719" s="5"/>
      <c r="W719" s="5"/>
      <c r="X719" s="5"/>
      <c r="Y719" s="5"/>
    </row>
    <row r="720" spans="1:25" ht="15" thickBot="1" x14ac:dyDescent="0.35">
      <c r="A720" s="5"/>
      <c r="B720" s="5"/>
      <c r="C720" s="5"/>
      <c r="D720" s="5"/>
      <c r="E720" s="5"/>
      <c r="F720" s="5"/>
      <c r="G720" s="5"/>
      <c r="H720" s="25"/>
      <c r="I720" s="21"/>
      <c r="J720" s="18"/>
      <c r="K720" s="5"/>
      <c r="L720" s="5"/>
      <c r="M720" s="5"/>
      <c r="N720" s="5"/>
      <c r="O720" s="5"/>
      <c r="P720" s="5"/>
      <c r="Q720" s="5"/>
      <c r="R720" s="5"/>
      <c r="S720" s="5"/>
      <c r="T720" s="5"/>
      <c r="U720" s="5"/>
      <c r="V720" s="5"/>
      <c r="W720" s="5"/>
      <c r="X720" s="5"/>
      <c r="Y720" s="5"/>
    </row>
    <row r="721" spans="1:25" ht="15" thickBot="1" x14ac:dyDescent="0.35">
      <c r="A721" s="5"/>
      <c r="B721" s="5"/>
      <c r="C721" s="5"/>
      <c r="D721" s="5"/>
      <c r="E721" s="5"/>
      <c r="F721" s="5"/>
      <c r="G721" s="5"/>
      <c r="H721" s="25"/>
      <c r="I721" s="21"/>
      <c r="J721" s="18"/>
      <c r="K721" s="5"/>
      <c r="L721" s="5"/>
      <c r="M721" s="5"/>
      <c r="N721" s="5"/>
      <c r="O721" s="5"/>
      <c r="P721" s="5"/>
      <c r="Q721" s="5"/>
      <c r="R721" s="5"/>
      <c r="S721" s="5"/>
      <c r="T721" s="5"/>
      <c r="U721" s="5"/>
      <c r="V721" s="5"/>
      <c r="W721" s="5"/>
      <c r="X721" s="5"/>
      <c r="Y721" s="5"/>
    </row>
    <row r="722" spans="1:25" ht="15" thickBot="1" x14ac:dyDescent="0.35">
      <c r="A722" s="5"/>
      <c r="B722" s="5"/>
      <c r="C722" s="5"/>
      <c r="D722" s="5"/>
      <c r="E722" s="5"/>
      <c r="F722" s="5"/>
      <c r="G722" s="5"/>
      <c r="H722" s="25"/>
      <c r="I722" s="21"/>
      <c r="J722" s="18"/>
      <c r="K722" s="5"/>
      <c r="L722" s="5"/>
      <c r="M722" s="5"/>
      <c r="N722" s="5"/>
      <c r="O722" s="5"/>
      <c r="P722" s="5"/>
      <c r="Q722" s="5"/>
      <c r="R722" s="5"/>
      <c r="S722" s="5"/>
      <c r="T722" s="5"/>
      <c r="U722" s="5"/>
      <c r="V722" s="5"/>
      <c r="W722" s="5"/>
      <c r="X722" s="5"/>
      <c r="Y722" s="5"/>
    </row>
    <row r="723" spans="1:25" ht="15" thickBot="1" x14ac:dyDescent="0.35">
      <c r="A723" s="5"/>
      <c r="B723" s="5"/>
      <c r="C723" s="5"/>
      <c r="D723" s="5"/>
      <c r="E723" s="5"/>
      <c r="F723" s="5"/>
      <c r="G723" s="5"/>
      <c r="H723" s="25"/>
      <c r="I723" s="21"/>
      <c r="J723" s="18"/>
      <c r="K723" s="5"/>
      <c r="L723" s="5"/>
      <c r="M723" s="5"/>
      <c r="N723" s="5"/>
      <c r="O723" s="5"/>
      <c r="P723" s="5"/>
      <c r="Q723" s="5"/>
      <c r="R723" s="5"/>
      <c r="S723" s="5"/>
      <c r="T723" s="5"/>
      <c r="U723" s="5"/>
      <c r="V723" s="5"/>
      <c r="W723" s="5"/>
      <c r="X723" s="5"/>
      <c r="Y723" s="5"/>
    </row>
    <row r="724" spans="1:25" ht="15" thickBot="1" x14ac:dyDescent="0.35">
      <c r="A724" s="5"/>
      <c r="B724" s="5"/>
      <c r="C724" s="5"/>
      <c r="D724" s="5"/>
      <c r="E724" s="5"/>
      <c r="F724" s="5"/>
      <c r="G724" s="5"/>
      <c r="H724" s="25"/>
      <c r="I724" s="21"/>
      <c r="J724" s="18"/>
      <c r="K724" s="5"/>
      <c r="L724" s="5"/>
      <c r="M724" s="5"/>
      <c r="N724" s="5"/>
      <c r="O724" s="5"/>
      <c r="P724" s="5"/>
      <c r="Q724" s="5"/>
      <c r="R724" s="5"/>
      <c r="S724" s="5"/>
      <c r="T724" s="5"/>
      <c r="U724" s="5"/>
      <c r="V724" s="5"/>
      <c r="W724" s="5"/>
      <c r="X724" s="5"/>
      <c r="Y724" s="5"/>
    </row>
    <row r="725" spans="1:25" ht="15" thickBot="1" x14ac:dyDescent="0.35">
      <c r="A725" s="5"/>
      <c r="B725" s="5"/>
      <c r="C725" s="5"/>
      <c r="D725" s="5"/>
      <c r="E725" s="5"/>
      <c r="F725" s="5"/>
      <c r="G725" s="5"/>
      <c r="H725" s="25"/>
      <c r="I725" s="21"/>
      <c r="J725" s="18"/>
      <c r="K725" s="5"/>
      <c r="L725" s="5"/>
      <c r="M725" s="5"/>
      <c r="N725" s="5"/>
      <c r="O725" s="5"/>
      <c r="P725" s="5"/>
      <c r="Q725" s="5"/>
      <c r="R725" s="5"/>
      <c r="S725" s="5"/>
      <c r="T725" s="5"/>
      <c r="U725" s="5"/>
      <c r="V725" s="5"/>
      <c r="W725" s="5"/>
      <c r="X725" s="5"/>
      <c r="Y725" s="5"/>
    </row>
    <row r="726" spans="1:25" ht="15" thickBot="1" x14ac:dyDescent="0.35">
      <c r="A726" s="5"/>
      <c r="B726" s="5"/>
      <c r="C726" s="5"/>
      <c r="D726" s="5"/>
      <c r="E726" s="5"/>
      <c r="F726" s="5"/>
      <c r="G726" s="5"/>
      <c r="H726" s="25"/>
      <c r="I726" s="21"/>
      <c r="J726" s="18"/>
      <c r="K726" s="5"/>
      <c r="L726" s="5"/>
      <c r="M726" s="5"/>
      <c r="N726" s="5"/>
      <c r="O726" s="5"/>
      <c r="P726" s="5"/>
      <c r="Q726" s="5"/>
      <c r="R726" s="5"/>
      <c r="S726" s="5"/>
      <c r="T726" s="5"/>
      <c r="U726" s="5"/>
      <c r="V726" s="5"/>
      <c r="W726" s="5"/>
      <c r="X726" s="5"/>
      <c r="Y726" s="5"/>
    </row>
    <row r="727" spans="1:25" ht="15" thickBot="1" x14ac:dyDescent="0.35">
      <c r="A727" s="5"/>
      <c r="B727" s="5"/>
      <c r="C727" s="5"/>
      <c r="D727" s="5"/>
      <c r="E727" s="5"/>
      <c r="F727" s="5"/>
      <c r="G727" s="5"/>
      <c r="H727" s="25"/>
      <c r="I727" s="21"/>
      <c r="J727" s="18"/>
      <c r="K727" s="5"/>
      <c r="L727" s="5"/>
      <c r="M727" s="5"/>
      <c r="N727" s="5"/>
      <c r="O727" s="5"/>
      <c r="P727" s="5"/>
      <c r="Q727" s="5"/>
      <c r="R727" s="5"/>
      <c r="S727" s="5"/>
      <c r="T727" s="5"/>
      <c r="U727" s="5"/>
      <c r="V727" s="5"/>
      <c r="W727" s="5"/>
      <c r="X727" s="5"/>
      <c r="Y727" s="5"/>
    </row>
    <row r="728" spans="1:25" ht="15" thickBot="1" x14ac:dyDescent="0.35">
      <c r="A728" s="5"/>
      <c r="B728" s="5"/>
      <c r="C728" s="5"/>
      <c r="D728" s="5"/>
      <c r="E728" s="5"/>
      <c r="F728" s="5"/>
      <c r="G728" s="5"/>
      <c r="H728" s="25"/>
      <c r="I728" s="21"/>
      <c r="J728" s="18"/>
      <c r="K728" s="5"/>
      <c r="L728" s="5"/>
      <c r="M728" s="5"/>
      <c r="N728" s="5"/>
      <c r="O728" s="5"/>
      <c r="P728" s="5"/>
      <c r="Q728" s="5"/>
      <c r="R728" s="5"/>
      <c r="S728" s="5"/>
      <c r="T728" s="5"/>
      <c r="U728" s="5"/>
      <c r="V728" s="5"/>
      <c r="W728" s="5"/>
      <c r="X728" s="5"/>
      <c r="Y728" s="5"/>
    </row>
    <row r="729" spans="1:25" ht="15" thickBot="1" x14ac:dyDescent="0.35">
      <c r="A729" s="5"/>
      <c r="B729" s="5"/>
      <c r="C729" s="5"/>
      <c r="D729" s="5"/>
      <c r="E729" s="5"/>
      <c r="F729" s="5"/>
      <c r="G729" s="5"/>
      <c r="H729" s="25"/>
      <c r="I729" s="21"/>
      <c r="J729" s="18"/>
      <c r="K729" s="5"/>
      <c r="L729" s="5"/>
      <c r="M729" s="5"/>
      <c r="N729" s="5"/>
      <c r="O729" s="5"/>
      <c r="P729" s="5"/>
      <c r="Q729" s="5"/>
      <c r="R729" s="5"/>
      <c r="S729" s="5"/>
      <c r="T729" s="5"/>
      <c r="U729" s="5"/>
      <c r="V729" s="5"/>
      <c r="W729" s="5"/>
      <c r="X729" s="5"/>
      <c r="Y729" s="5"/>
    </row>
    <row r="730" spans="1:25" ht="15" thickBot="1" x14ac:dyDescent="0.35">
      <c r="A730" s="5"/>
      <c r="B730" s="5"/>
      <c r="C730" s="5"/>
      <c r="D730" s="5"/>
      <c r="E730" s="5"/>
      <c r="F730" s="5"/>
      <c r="G730" s="5"/>
      <c r="H730" s="25"/>
      <c r="I730" s="21"/>
      <c r="J730" s="18"/>
      <c r="K730" s="5"/>
      <c r="L730" s="5"/>
      <c r="M730" s="5"/>
      <c r="N730" s="5"/>
      <c r="O730" s="5"/>
      <c r="P730" s="5"/>
      <c r="Q730" s="5"/>
      <c r="R730" s="5"/>
      <c r="S730" s="5"/>
      <c r="T730" s="5"/>
      <c r="U730" s="5"/>
      <c r="V730" s="5"/>
      <c r="W730" s="5"/>
      <c r="X730" s="5"/>
      <c r="Y730" s="5"/>
    </row>
    <row r="731" spans="1:25" ht="15" thickBot="1" x14ac:dyDescent="0.35">
      <c r="A731" s="5"/>
      <c r="B731" s="5"/>
      <c r="C731" s="5"/>
      <c r="D731" s="5"/>
      <c r="E731" s="5"/>
      <c r="F731" s="5"/>
      <c r="G731" s="5"/>
      <c r="H731" s="25"/>
      <c r="I731" s="21"/>
      <c r="J731" s="18"/>
      <c r="K731" s="5"/>
      <c r="L731" s="5"/>
      <c r="M731" s="5"/>
      <c r="N731" s="5"/>
      <c r="O731" s="5"/>
      <c r="P731" s="5"/>
      <c r="Q731" s="5"/>
      <c r="R731" s="5"/>
      <c r="S731" s="5"/>
      <c r="T731" s="5"/>
      <c r="U731" s="5"/>
      <c r="V731" s="5"/>
      <c r="W731" s="5"/>
      <c r="X731" s="5"/>
      <c r="Y731" s="5"/>
    </row>
    <row r="732" spans="1:25" ht="15" thickBot="1" x14ac:dyDescent="0.35">
      <c r="A732" s="5"/>
      <c r="B732" s="5"/>
      <c r="C732" s="5"/>
      <c r="D732" s="5"/>
      <c r="E732" s="5"/>
      <c r="F732" s="5"/>
      <c r="G732" s="5"/>
      <c r="H732" s="25"/>
      <c r="I732" s="21"/>
      <c r="J732" s="18"/>
      <c r="K732" s="5"/>
      <c r="L732" s="5"/>
      <c r="M732" s="5"/>
      <c r="N732" s="5"/>
      <c r="O732" s="5"/>
      <c r="P732" s="5"/>
      <c r="Q732" s="5"/>
      <c r="R732" s="5"/>
      <c r="S732" s="5"/>
      <c r="T732" s="5"/>
      <c r="U732" s="5"/>
      <c r="V732" s="5"/>
      <c r="W732" s="5"/>
      <c r="X732" s="5"/>
      <c r="Y732" s="5"/>
    </row>
    <row r="733" spans="1:25" ht="15" thickBot="1" x14ac:dyDescent="0.35">
      <c r="A733" s="5"/>
      <c r="B733" s="5"/>
      <c r="C733" s="5"/>
      <c r="D733" s="5"/>
      <c r="E733" s="5"/>
      <c r="F733" s="5"/>
      <c r="G733" s="5"/>
      <c r="H733" s="25"/>
      <c r="I733" s="21"/>
      <c r="J733" s="18"/>
      <c r="K733" s="5"/>
      <c r="L733" s="5"/>
      <c r="M733" s="5"/>
      <c r="N733" s="5"/>
      <c r="O733" s="5"/>
      <c r="P733" s="5"/>
      <c r="Q733" s="5"/>
      <c r="R733" s="5"/>
      <c r="S733" s="5"/>
      <c r="T733" s="5"/>
      <c r="U733" s="5"/>
      <c r="V733" s="5"/>
      <c r="W733" s="5"/>
      <c r="X733" s="5"/>
      <c r="Y733" s="5"/>
    </row>
    <row r="734" spans="1:25" ht="15" thickBot="1" x14ac:dyDescent="0.35">
      <c r="A734" s="5"/>
      <c r="B734" s="5"/>
      <c r="C734" s="5"/>
      <c r="D734" s="5"/>
      <c r="E734" s="5"/>
      <c r="F734" s="5"/>
      <c r="G734" s="5"/>
      <c r="H734" s="25"/>
      <c r="I734" s="21"/>
      <c r="J734" s="18"/>
      <c r="K734" s="5"/>
      <c r="L734" s="5"/>
      <c r="M734" s="5"/>
      <c r="N734" s="5"/>
      <c r="O734" s="5"/>
      <c r="P734" s="5"/>
      <c r="Q734" s="5"/>
      <c r="R734" s="5"/>
      <c r="S734" s="5"/>
      <c r="T734" s="5"/>
      <c r="U734" s="5"/>
      <c r="V734" s="5"/>
      <c r="W734" s="5"/>
      <c r="X734" s="5"/>
      <c r="Y734" s="5"/>
    </row>
    <row r="735" spans="1:25" ht="15" thickBot="1" x14ac:dyDescent="0.35">
      <c r="A735" s="5"/>
      <c r="B735" s="5"/>
      <c r="C735" s="5"/>
      <c r="D735" s="5"/>
      <c r="E735" s="5"/>
      <c r="F735" s="5"/>
      <c r="G735" s="5"/>
      <c r="H735" s="25"/>
      <c r="I735" s="21"/>
      <c r="J735" s="18"/>
      <c r="K735" s="5"/>
      <c r="L735" s="5"/>
      <c r="M735" s="5"/>
      <c r="N735" s="5"/>
      <c r="O735" s="5"/>
      <c r="P735" s="5"/>
      <c r="Q735" s="5"/>
      <c r="R735" s="5"/>
      <c r="S735" s="5"/>
      <c r="T735" s="5"/>
      <c r="U735" s="5"/>
      <c r="V735" s="5"/>
      <c r="W735" s="5"/>
      <c r="X735" s="5"/>
      <c r="Y735" s="5"/>
    </row>
    <row r="736" spans="1:25" ht="15" thickBot="1" x14ac:dyDescent="0.35">
      <c r="A736" s="5"/>
      <c r="B736" s="5"/>
      <c r="C736" s="5"/>
      <c r="D736" s="5"/>
      <c r="E736" s="5"/>
      <c r="F736" s="5"/>
      <c r="G736" s="5"/>
      <c r="H736" s="25"/>
      <c r="I736" s="21"/>
      <c r="J736" s="18"/>
      <c r="K736" s="5"/>
      <c r="L736" s="5"/>
      <c r="M736" s="5"/>
      <c r="N736" s="5"/>
      <c r="O736" s="5"/>
      <c r="P736" s="5"/>
      <c r="Q736" s="5"/>
      <c r="R736" s="5"/>
      <c r="S736" s="5"/>
      <c r="T736" s="5"/>
      <c r="U736" s="5"/>
      <c r="V736" s="5"/>
      <c r="W736" s="5"/>
      <c r="X736" s="5"/>
      <c r="Y736" s="5"/>
    </row>
    <row r="737" spans="1:25" ht="15" thickBot="1" x14ac:dyDescent="0.35">
      <c r="A737" s="5"/>
      <c r="B737" s="5"/>
      <c r="C737" s="5"/>
      <c r="D737" s="5"/>
      <c r="E737" s="5"/>
      <c r="F737" s="5"/>
      <c r="G737" s="5"/>
      <c r="H737" s="25"/>
      <c r="I737" s="21"/>
      <c r="J737" s="18"/>
      <c r="K737" s="5"/>
      <c r="L737" s="5"/>
      <c r="M737" s="5"/>
      <c r="N737" s="5"/>
      <c r="O737" s="5"/>
      <c r="P737" s="5"/>
      <c r="Q737" s="5"/>
      <c r="R737" s="5"/>
      <c r="S737" s="5"/>
      <c r="T737" s="5"/>
      <c r="U737" s="5"/>
      <c r="V737" s="5"/>
      <c r="W737" s="5"/>
      <c r="X737" s="5"/>
      <c r="Y737" s="5"/>
    </row>
    <row r="738" spans="1:25" ht="15" thickBot="1" x14ac:dyDescent="0.35">
      <c r="A738" s="5"/>
      <c r="B738" s="5"/>
      <c r="C738" s="5"/>
      <c r="D738" s="5"/>
      <c r="E738" s="5"/>
      <c r="F738" s="5"/>
      <c r="G738" s="5"/>
      <c r="H738" s="25"/>
      <c r="I738" s="21"/>
      <c r="J738" s="18"/>
      <c r="K738" s="5"/>
      <c r="L738" s="5"/>
      <c r="M738" s="5"/>
      <c r="N738" s="5"/>
      <c r="O738" s="5"/>
      <c r="P738" s="5"/>
      <c r="Q738" s="5"/>
      <c r="R738" s="5"/>
      <c r="S738" s="5"/>
      <c r="T738" s="5"/>
      <c r="U738" s="5"/>
      <c r="V738" s="5"/>
      <c r="W738" s="5"/>
      <c r="X738" s="5"/>
      <c r="Y738" s="5"/>
    </row>
    <row r="739" spans="1:25" ht="15" thickBot="1" x14ac:dyDescent="0.35">
      <c r="A739" s="5"/>
      <c r="B739" s="5"/>
      <c r="C739" s="5"/>
      <c r="D739" s="5"/>
      <c r="E739" s="5"/>
      <c r="F739" s="5"/>
      <c r="G739" s="5"/>
      <c r="H739" s="25"/>
      <c r="I739" s="21"/>
      <c r="J739" s="18"/>
      <c r="K739" s="5"/>
      <c r="L739" s="5"/>
      <c r="M739" s="5"/>
      <c r="N739" s="5"/>
      <c r="O739" s="5"/>
      <c r="P739" s="5"/>
      <c r="Q739" s="5"/>
      <c r="R739" s="5"/>
      <c r="S739" s="5"/>
      <c r="T739" s="5"/>
      <c r="U739" s="5"/>
      <c r="V739" s="5"/>
      <c r="W739" s="5"/>
      <c r="X739" s="5"/>
      <c r="Y739" s="5"/>
    </row>
    <row r="740" spans="1:25" ht="15" thickBot="1" x14ac:dyDescent="0.35">
      <c r="A740" s="5"/>
      <c r="B740" s="5"/>
      <c r="C740" s="5"/>
      <c r="D740" s="5"/>
      <c r="E740" s="5"/>
      <c r="F740" s="5"/>
      <c r="G740" s="5"/>
      <c r="H740" s="25"/>
      <c r="I740" s="21"/>
      <c r="J740" s="18"/>
      <c r="K740" s="5"/>
      <c r="L740" s="5"/>
      <c r="M740" s="5"/>
      <c r="N740" s="5"/>
      <c r="O740" s="5"/>
      <c r="P740" s="5"/>
      <c r="Q740" s="5"/>
      <c r="R740" s="5"/>
      <c r="S740" s="5"/>
      <c r="T740" s="5"/>
      <c r="U740" s="5"/>
      <c r="V740" s="5"/>
      <c r="W740" s="5"/>
      <c r="X740" s="5"/>
      <c r="Y740" s="5"/>
    </row>
    <row r="741" spans="1:25" ht="15" thickBot="1" x14ac:dyDescent="0.35">
      <c r="A741" s="5"/>
      <c r="B741" s="5"/>
      <c r="C741" s="5"/>
      <c r="D741" s="5"/>
      <c r="E741" s="5"/>
      <c r="F741" s="5"/>
      <c r="G741" s="5"/>
      <c r="H741" s="25"/>
      <c r="I741" s="21"/>
      <c r="J741" s="18"/>
      <c r="K741" s="5"/>
      <c r="L741" s="5"/>
      <c r="M741" s="5"/>
      <c r="N741" s="5"/>
      <c r="O741" s="5"/>
      <c r="P741" s="5"/>
      <c r="Q741" s="5"/>
      <c r="R741" s="5"/>
      <c r="S741" s="5"/>
      <c r="T741" s="5"/>
      <c r="U741" s="5"/>
      <c r="V741" s="5"/>
      <c r="W741" s="5"/>
      <c r="X741" s="5"/>
      <c r="Y741" s="5"/>
    </row>
    <row r="742" spans="1:25" ht="15" thickBot="1" x14ac:dyDescent="0.35">
      <c r="A742" s="5"/>
      <c r="B742" s="5"/>
      <c r="C742" s="5"/>
      <c r="D742" s="5"/>
      <c r="E742" s="5"/>
      <c r="F742" s="5"/>
      <c r="G742" s="5"/>
      <c r="H742" s="25"/>
      <c r="I742" s="21"/>
      <c r="J742" s="18"/>
      <c r="K742" s="5"/>
      <c r="L742" s="5"/>
      <c r="M742" s="5"/>
      <c r="N742" s="5"/>
      <c r="O742" s="5"/>
      <c r="P742" s="5"/>
      <c r="Q742" s="5"/>
      <c r="R742" s="5"/>
      <c r="S742" s="5"/>
      <c r="T742" s="5"/>
      <c r="U742" s="5"/>
      <c r="V742" s="5"/>
      <c r="W742" s="5"/>
      <c r="X742" s="5"/>
      <c r="Y742" s="5"/>
    </row>
    <row r="743" spans="1:25" ht="15" thickBot="1" x14ac:dyDescent="0.35">
      <c r="A743" s="5"/>
      <c r="B743" s="5"/>
      <c r="C743" s="5"/>
      <c r="D743" s="5"/>
      <c r="E743" s="5"/>
      <c r="F743" s="5"/>
      <c r="G743" s="5"/>
      <c r="H743" s="25"/>
      <c r="I743" s="21"/>
      <c r="J743" s="18"/>
      <c r="K743" s="5"/>
      <c r="L743" s="5"/>
      <c r="M743" s="5"/>
      <c r="N743" s="5"/>
      <c r="O743" s="5"/>
      <c r="P743" s="5"/>
      <c r="Q743" s="5"/>
      <c r="R743" s="5"/>
      <c r="S743" s="5"/>
      <c r="T743" s="5"/>
      <c r="U743" s="5"/>
      <c r="V743" s="5"/>
      <c r="W743" s="5"/>
      <c r="X743" s="5"/>
      <c r="Y743" s="5"/>
    </row>
    <row r="744" spans="1:25" ht="15" thickBot="1" x14ac:dyDescent="0.35">
      <c r="A744" s="5"/>
      <c r="B744" s="5"/>
      <c r="C744" s="5"/>
      <c r="D744" s="5"/>
      <c r="E744" s="5"/>
      <c r="F744" s="5"/>
      <c r="G744" s="5"/>
      <c r="H744" s="25"/>
      <c r="I744" s="21"/>
      <c r="J744" s="18"/>
      <c r="K744" s="5"/>
      <c r="L744" s="5"/>
      <c r="M744" s="5"/>
      <c r="N744" s="5"/>
      <c r="O744" s="5"/>
      <c r="P744" s="5"/>
      <c r="Q744" s="5"/>
      <c r="R744" s="5"/>
      <c r="S744" s="5"/>
      <c r="T744" s="5"/>
      <c r="U744" s="5"/>
      <c r="V744" s="5"/>
      <c r="W744" s="5"/>
      <c r="X744" s="5"/>
      <c r="Y744" s="5"/>
    </row>
    <row r="745" spans="1:25" ht="15" thickBot="1" x14ac:dyDescent="0.35">
      <c r="A745" s="5"/>
      <c r="B745" s="5"/>
      <c r="C745" s="5"/>
      <c r="D745" s="5"/>
      <c r="E745" s="5"/>
      <c r="F745" s="5"/>
      <c r="G745" s="5"/>
      <c r="H745" s="25"/>
      <c r="I745" s="21"/>
      <c r="J745" s="18"/>
      <c r="K745" s="5"/>
      <c r="L745" s="5"/>
      <c r="M745" s="5"/>
      <c r="N745" s="5"/>
      <c r="O745" s="5"/>
      <c r="P745" s="5"/>
      <c r="Q745" s="5"/>
      <c r="R745" s="5"/>
      <c r="S745" s="5"/>
      <c r="T745" s="5"/>
      <c r="U745" s="5"/>
      <c r="V745" s="5"/>
      <c r="W745" s="5"/>
      <c r="X745" s="5"/>
      <c r="Y745" s="5"/>
    </row>
    <row r="746" spans="1:25" ht="15" thickBot="1" x14ac:dyDescent="0.35">
      <c r="A746" s="5"/>
      <c r="B746" s="5"/>
      <c r="C746" s="5"/>
      <c r="D746" s="5"/>
      <c r="E746" s="5"/>
      <c r="F746" s="5"/>
      <c r="G746" s="5"/>
      <c r="H746" s="25"/>
      <c r="I746" s="21"/>
      <c r="J746" s="18"/>
      <c r="K746" s="5"/>
      <c r="L746" s="5"/>
      <c r="M746" s="5"/>
      <c r="N746" s="5"/>
      <c r="O746" s="5"/>
      <c r="P746" s="5"/>
      <c r="Q746" s="5"/>
      <c r="R746" s="5"/>
      <c r="S746" s="5"/>
      <c r="T746" s="5"/>
      <c r="U746" s="5"/>
      <c r="V746" s="5"/>
      <c r="W746" s="5"/>
      <c r="X746" s="5"/>
      <c r="Y746" s="5"/>
    </row>
    <row r="747" spans="1:25" ht="15" thickBot="1" x14ac:dyDescent="0.35">
      <c r="A747" s="5"/>
      <c r="B747" s="5"/>
      <c r="C747" s="5"/>
      <c r="D747" s="5"/>
      <c r="E747" s="5"/>
      <c r="F747" s="5"/>
      <c r="G747" s="5"/>
      <c r="H747" s="25"/>
      <c r="I747" s="21"/>
      <c r="J747" s="18"/>
      <c r="K747" s="5"/>
      <c r="L747" s="5"/>
      <c r="M747" s="5"/>
      <c r="N747" s="5"/>
      <c r="O747" s="5"/>
      <c r="P747" s="5"/>
      <c r="Q747" s="5"/>
      <c r="R747" s="5"/>
      <c r="S747" s="5"/>
      <c r="T747" s="5"/>
      <c r="U747" s="5"/>
      <c r="V747" s="5"/>
      <c r="W747" s="5"/>
      <c r="X747" s="5"/>
      <c r="Y747" s="5"/>
    </row>
    <row r="748" spans="1:25" ht="15" thickBot="1" x14ac:dyDescent="0.35">
      <c r="A748" s="5"/>
      <c r="B748" s="5"/>
      <c r="C748" s="5"/>
      <c r="D748" s="5"/>
      <c r="E748" s="5"/>
      <c r="F748" s="5"/>
      <c r="G748" s="5"/>
      <c r="H748" s="25"/>
      <c r="I748" s="21"/>
      <c r="J748" s="18"/>
      <c r="K748" s="5"/>
      <c r="L748" s="5"/>
      <c r="M748" s="5"/>
      <c r="N748" s="5"/>
      <c r="O748" s="5"/>
      <c r="P748" s="5"/>
      <c r="Q748" s="5"/>
      <c r="R748" s="5"/>
      <c r="S748" s="5"/>
      <c r="T748" s="5"/>
      <c r="U748" s="5"/>
      <c r="V748" s="5"/>
      <c r="W748" s="5"/>
      <c r="X748" s="5"/>
      <c r="Y748" s="5"/>
    </row>
    <row r="749" spans="1:25" ht="15" thickBot="1" x14ac:dyDescent="0.35">
      <c r="A749" s="5"/>
      <c r="B749" s="5"/>
      <c r="C749" s="5"/>
      <c r="D749" s="5"/>
      <c r="E749" s="5"/>
      <c r="F749" s="5"/>
      <c r="G749" s="5"/>
      <c r="H749" s="25"/>
      <c r="I749" s="21"/>
      <c r="J749" s="18"/>
      <c r="K749" s="5"/>
      <c r="L749" s="5"/>
      <c r="M749" s="5"/>
      <c r="N749" s="5"/>
      <c r="O749" s="5"/>
      <c r="P749" s="5"/>
      <c r="Q749" s="5"/>
      <c r="R749" s="5"/>
      <c r="S749" s="5"/>
      <c r="T749" s="5"/>
      <c r="U749" s="5"/>
      <c r="V749" s="5"/>
      <c r="W749" s="5"/>
      <c r="X749" s="5"/>
      <c r="Y749" s="5"/>
    </row>
    <row r="750" spans="1:25" ht="15" thickBot="1" x14ac:dyDescent="0.35">
      <c r="A750" s="5"/>
      <c r="B750" s="5"/>
      <c r="C750" s="5"/>
      <c r="D750" s="5"/>
      <c r="E750" s="5"/>
      <c r="F750" s="5"/>
      <c r="G750" s="5"/>
      <c r="H750" s="25"/>
      <c r="I750" s="21"/>
      <c r="J750" s="18"/>
      <c r="K750" s="5"/>
      <c r="L750" s="5"/>
      <c r="M750" s="5"/>
      <c r="N750" s="5"/>
      <c r="O750" s="5"/>
      <c r="P750" s="5"/>
      <c r="Q750" s="5"/>
      <c r="R750" s="5"/>
      <c r="S750" s="5"/>
      <c r="T750" s="5"/>
      <c r="U750" s="5"/>
      <c r="V750" s="5"/>
      <c r="W750" s="5"/>
      <c r="X750" s="5"/>
      <c r="Y750" s="5"/>
    </row>
    <row r="751" spans="1:25" ht="15" thickBot="1" x14ac:dyDescent="0.35">
      <c r="A751" s="5"/>
      <c r="B751" s="5"/>
      <c r="C751" s="5"/>
      <c r="D751" s="5"/>
      <c r="E751" s="5"/>
      <c r="F751" s="5"/>
      <c r="G751" s="5"/>
      <c r="H751" s="25"/>
      <c r="I751" s="21"/>
      <c r="J751" s="18"/>
      <c r="K751" s="5"/>
      <c r="L751" s="5"/>
      <c r="M751" s="5"/>
      <c r="N751" s="5"/>
      <c r="O751" s="5"/>
      <c r="P751" s="5"/>
      <c r="Q751" s="5"/>
      <c r="R751" s="5"/>
      <c r="S751" s="5"/>
      <c r="T751" s="5"/>
      <c r="U751" s="5"/>
      <c r="V751" s="5"/>
      <c r="W751" s="5"/>
      <c r="X751" s="5"/>
      <c r="Y751" s="5"/>
    </row>
    <row r="752" spans="1:25" ht="15" thickBot="1" x14ac:dyDescent="0.35">
      <c r="A752" s="5"/>
      <c r="B752" s="5"/>
      <c r="C752" s="5"/>
      <c r="D752" s="5"/>
      <c r="E752" s="5"/>
      <c r="F752" s="5"/>
      <c r="G752" s="5"/>
      <c r="H752" s="25"/>
      <c r="I752" s="21"/>
      <c r="J752" s="18"/>
      <c r="K752" s="5"/>
      <c r="L752" s="5"/>
      <c r="M752" s="5"/>
      <c r="N752" s="5"/>
      <c r="O752" s="5"/>
      <c r="P752" s="5"/>
      <c r="Q752" s="5"/>
      <c r="R752" s="5"/>
      <c r="S752" s="5"/>
      <c r="T752" s="5"/>
      <c r="U752" s="5"/>
      <c r="V752" s="5"/>
      <c r="W752" s="5"/>
      <c r="X752" s="5"/>
      <c r="Y752" s="5"/>
    </row>
    <row r="753" spans="1:25" ht="15" thickBot="1" x14ac:dyDescent="0.35">
      <c r="A753" s="5"/>
      <c r="B753" s="5"/>
      <c r="C753" s="5"/>
      <c r="D753" s="5"/>
      <c r="E753" s="5"/>
      <c r="F753" s="5"/>
      <c r="G753" s="5"/>
      <c r="H753" s="25"/>
      <c r="I753" s="21"/>
      <c r="J753" s="18"/>
      <c r="K753" s="5"/>
      <c r="L753" s="5"/>
      <c r="M753" s="5"/>
      <c r="N753" s="5"/>
      <c r="O753" s="5"/>
      <c r="P753" s="5"/>
      <c r="Q753" s="5"/>
      <c r="R753" s="5"/>
      <c r="S753" s="5"/>
      <c r="T753" s="5"/>
      <c r="U753" s="5"/>
      <c r="V753" s="5"/>
      <c r="W753" s="5"/>
      <c r="X753" s="5"/>
      <c r="Y753" s="5"/>
    </row>
    <row r="754" spans="1:25" ht="15" thickBot="1" x14ac:dyDescent="0.35">
      <c r="A754" s="5"/>
      <c r="B754" s="5"/>
      <c r="C754" s="5"/>
      <c r="D754" s="5"/>
      <c r="E754" s="5"/>
      <c r="F754" s="5"/>
      <c r="G754" s="5"/>
      <c r="H754" s="25"/>
      <c r="I754" s="21"/>
      <c r="J754" s="18"/>
      <c r="K754" s="5"/>
      <c r="L754" s="5"/>
      <c r="M754" s="5"/>
      <c r="N754" s="5"/>
      <c r="O754" s="5"/>
      <c r="P754" s="5"/>
      <c r="Q754" s="5"/>
      <c r="R754" s="5"/>
      <c r="S754" s="5"/>
      <c r="T754" s="5"/>
      <c r="U754" s="5"/>
      <c r="V754" s="5"/>
      <c r="W754" s="5"/>
      <c r="X754" s="5"/>
      <c r="Y754" s="5"/>
    </row>
    <row r="755" spans="1:25" ht="15" thickBot="1" x14ac:dyDescent="0.35">
      <c r="A755" s="5"/>
      <c r="B755" s="5"/>
      <c r="C755" s="5"/>
      <c r="D755" s="5"/>
      <c r="E755" s="5"/>
      <c r="F755" s="5"/>
      <c r="G755" s="5"/>
      <c r="H755" s="25"/>
      <c r="I755" s="21"/>
      <c r="J755" s="18"/>
      <c r="K755" s="5"/>
      <c r="L755" s="5"/>
      <c r="M755" s="5"/>
      <c r="N755" s="5"/>
      <c r="O755" s="5"/>
      <c r="P755" s="5"/>
      <c r="Q755" s="5"/>
      <c r="R755" s="5"/>
      <c r="S755" s="5"/>
      <c r="T755" s="5"/>
      <c r="U755" s="5"/>
      <c r="V755" s="5"/>
      <c r="W755" s="5"/>
      <c r="X755" s="5"/>
      <c r="Y755" s="5"/>
    </row>
    <row r="756" spans="1:25" ht="15" thickBot="1" x14ac:dyDescent="0.35">
      <c r="A756" s="5"/>
      <c r="B756" s="5"/>
      <c r="C756" s="5"/>
      <c r="D756" s="5"/>
      <c r="E756" s="5"/>
      <c r="F756" s="5"/>
      <c r="G756" s="5"/>
      <c r="H756" s="25"/>
      <c r="I756" s="21"/>
      <c r="J756" s="18"/>
      <c r="K756" s="5"/>
      <c r="L756" s="5"/>
      <c r="M756" s="5"/>
      <c r="N756" s="5"/>
      <c r="O756" s="5"/>
      <c r="P756" s="5"/>
      <c r="Q756" s="5"/>
      <c r="R756" s="5"/>
      <c r="S756" s="5"/>
      <c r="T756" s="5"/>
      <c r="U756" s="5"/>
      <c r="V756" s="5"/>
      <c r="W756" s="5"/>
      <c r="X756" s="5"/>
      <c r="Y756" s="5"/>
    </row>
    <row r="757" spans="1:25" ht="15" thickBot="1" x14ac:dyDescent="0.35">
      <c r="A757" s="5"/>
      <c r="B757" s="5"/>
      <c r="C757" s="5"/>
      <c r="D757" s="5"/>
      <c r="E757" s="5"/>
      <c r="F757" s="5"/>
      <c r="G757" s="5"/>
      <c r="H757" s="25"/>
      <c r="I757" s="21"/>
      <c r="J757" s="18"/>
      <c r="K757" s="5"/>
      <c r="L757" s="5"/>
      <c r="M757" s="5"/>
      <c r="N757" s="5"/>
      <c r="O757" s="5"/>
      <c r="P757" s="5"/>
      <c r="Q757" s="5"/>
      <c r="R757" s="5"/>
      <c r="S757" s="5"/>
      <c r="T757" s="5"/>
      <c r="U757" s="5"/>
      <c r="V757" s="5"/>
      <c r="W757" s="5"/>
      <c r="X757" s="5"/>
      <c r="Y757" s="5"/>
    </row>
    <row r="758" spans="1:25" ht="15" thickBot="1" x14ac:dyDescent="0.35">
      <c r="A758" s="5"/>
      <c r="B758" s="5"/>
      <c r="C758" s="5"/>
      <c r="D758" s="5"/>
      <c r="E758" s="5"/>
      <c r="F758" s="5"/>
      <c r="G758" s="5"/>
      <c r="H758" s="25"/>
      <c r="I758" s="21"/>
      <c r="J758" s="18"/>
      <c r="K758" s="5"/>
      <c r="L758" s="5"/>
      <c r="M758" s="5"/>
      <c r="N758" s="5"/>
      <c r="O758" s="5"/>
      <c r="P758" s="5"/>
      <c r="Q758" s="5"/>
      <c r="R758" s="5"/>
      <c r="S758" s="5"/>
      <c r="T758" s="5"/>
      <c r="U758" s="5"/>
      <c r="V758" s="5"/>
      <c r="W758" s="5"/>
      <c r="X758" s="5"/>
      <c r="Y758" s="5"/>
    </row>
    <row r="759" spans="1:25" ht="15" thickBot="1" x14ac:dyDescent="0.35">
      <c r="A759" s="5"/>
      <c r="B759" s="5"/>
      <c r="C759" s="5"/>
      <c r="D759" s="5"/>
      <c r="E759" s="5"/>
      <c r="F759" s="5"/>
      <c r="G759" s="5"/>
      <c r="H759" s="25"/>
      <c r="I759" s="21"/>
      <c r="J759" s="18"/>
      <c r="K759" s="5"/>
      <c r="L759" s="5"/>
      <c r="M759" s="5"/>
      <c r="N759" s="5"/>
      <c r="O759" s="5"/>
      <c r="P759" s="5"/>
      <c r="Q759" s="5"/>
      <c r="R759" s="5"/>
      <c r="S759" s="5"/>
      <c r="T759" s="5"/>
      <c r="U759" s="5"/>
      <c r="V759" s="5"/>
      <c r="W759" s="5"/>
      <c r="X759" s="5"/>
      <c r="Y759" s="5"/>
    </row>
    <row r="760" spans="1:25" ht="15" thickBot="1" x14ac:dyDescent="0.35">
      <c r="A760" s="5"/>
      <c r="B760" s="5"/>
      <c r="C760" s="5"/>
      <c r="D760" s="5"/>
      <c r="E760" s="5"/>
      <c r="F760" s="5"/>
      <c r="G760" s="5"/>
      <c r="H760" s="25"/>
      <c r="I760" s="21"/>
      <c r="J760" s="18"/>
      <c r="K760" s="5"/>
      <c r="L760" s="5"/>
      <c r="M760" s="5"/>
      <c r="N760" s="5"/>
      <c r="O760" s="5"/>
      <c r="P760" s="5"/>
      <c r="Q760" s="5"/>
      <c r="R760" s="5"/>
      <c r="S760" s="5"/>
      <c r="T760" s="5"/>
      <c r="U760" s="5"/>
      <c r="V760" s="5"/>
      <c r="W760" s="5"/>
      <c r="X760" s="5"/>
      <c r="Y760" s="5"/>
    </row>
    <row r="761" spans="1:25" ht="15" thickBot="1" x14ac:dyDescent="0.35">
      <c r="A761" s="5"/>
      <c r="B761" s="5"/>
      <c r="C761" s="5"/>
      <c r="D761" s="5"/>
      <c r="E761" s="5"/>
      <c r="F761" s="5"/>
      <c r="G761" s="5"/>
      <c r="H761" s="25"/>
      <c r="I761" s="21"/>
      <c r="J761" s="18"/>
      <c r="K761" s="5"/>
      <c r="L761" s="5"/>
      <c r="M761" s="5"/>
      <c r="N761" s="5"/>
      <c r="O761" s="5"/>
      <c r="P761" s="5"/>
      <c r="Q761" s="5"/>
      <c r="R761" s="5"/>
      <c r="S761" s="5"/>
      <c r="T761" s="5"/>
      <c r="U761" s="5"/>
      <c r="V761" s="5"/>
      <c r="W761" s="5"/>
      <c r="X761" s="5"/>
      <c r="Y761" s="5"/>
    </row>
    <row r="762" spans="1:25" ht="15" thickBot="1" x14ac:dyDescent="0.35">
      <c r="A762" s="5"/>
      <c r="B762" s="5"/>
      <c r="C762" s="5"/>
      <c r="D762" s="5"/>
      <c r="E762" s="5"/>
      <c r="F762" s="5"/>
      <c r="G762" s="5"/>
      <c r="H762" s="25"/>
      <c r="I762" s="21"/>
      <c r="J762" s="18"/>
      <c r="K762" s="5"/>
      <c r="L762" s="5"/>
      <c r="M762" s="5"/>
      <c r="N762" s="5"/>
      <c r="O762" s="5"/>
      <c r="P762" s="5"/>
      <c r="Q762" s="5"/>
      <c r="R762" s="5"/>
      <c r="S762" s="5"/>
      <c r="T762" s="5"/>
      <c r="U762" s="5"/>
      <c r="V762" s="5"/>
      <c r="W762" s="5"/>
      <c r="X762" s="5"/>
      <c r="Y762" s="5"/>
    </row>
    <row r="763" spans="1:25" ht="15" thickBot="1" x14ac:dyDescent="0.35">
      <c r="A763" s="5"/>
      <c r="B763" s="5"/>
      <c r="C763" s="5"/>
      <c r="D763" s="5"/>
      <c r="E763" s="5"/>
      <c r="F763" s="5"/>
      <c r="G763" s="5"/>
      <c r="H763" s="25"/>
      <c r="I763" s="21"/>
      <c r="J763" s="18"/>
      <c r="K763" s="5"/>
      <c r="L763" s="5"/>
      <c r="M763" s="5"/>
      <c r="N763" s="5"/>
      <c r="O763" s="5"/>
      <c r="P763" s="5"/>
      <c r="Q763" s="5"/>
      <c r="R763" s="5"/>
      <c r="S763" s="5"/>
      <c r="T763" s="5"/>
      <c r="U763" s="5"/>
      <c r="V763" s="5"/>
      <c r="W763" s="5"/>
      <c r="X763" s="5"/>
      <c r="Y763" s="5"/>
    </row>
    <row r="764" spans="1:25" ht="15" thickBot="1" x14ac:dyDescent="0.35">
      <c r="A764" s="5"/>
      <c r="B764" s="5"/>
      <c r="C764" s="5"/>
      <c r="D764" s="5"/>
      <c r="E764" s="5"/>
      <c r="F764" s="5"/>
      <c r="G764" s="5"/>
      <c r="H764" s="25"/>
      <c r="I764" s="21"/>
      <c r="J764" s="18"/>
      <c r="K764" s="5"/>
      <c r="L764" s="5"/>
      <c r="M764" s="5"/>
      <c r="N764" s="5"/>
      <c r="O764" s="5"/>
      <c r="P764" s="5"/>
      <c r="Q764" s="5"/>
      <c r="R764" s="5"/>
      <c r="S764" s="5"/>
      <c r="T764" s="5"/>
      <c r="U764" s="5"/>
      <c r="V764" s="5"/>
      <c r="W764" s="5"/>
      <c r="X764" s="5"/>
      <c r="Y764" s="5"/>
    </row>
    <row r="765" spans="1:25" ht="15" thickBot="1" x14ac:dyDescent="0.35">
      <c r="A765" s="5"/>
      <c r="B765" s="5"/>
      <c r="C765" s="5"/>
      <c r="D765" s="5"/>
      <c r="E765" s="5"/>
      <c r="F765" s="5"/>
      <c r="G765" s="5"/>
      <c r="H765" s="25"/>
      <c r="I765" s="21"/>
      <c r="J765" s="18"/>
      <c r="K765" s="5"/>
      <c r="L765" s="5"/>
      <c r="M765" s="5"/>
      <c r="N765" s="5"/>
      <c r="O765" s="5"/>
      <c r="P765" s="5"/>
      <c r="Q765" s="5"/>
      <c r="R765" s="5"/>
      <c r="S765" s="5"/>
      <c r="T765" s="5"/>
      <c r="U765" s="5"/>
      <c r="V765" s="5"/>
      <c r="W765" s="5"/>
      <c r="X765" s="5"/>
      <c r="Y765" s="5"/>
    </row>
    <row r="766" spans="1:25" ht="15" thickBot="1" x14ac:dyDescent="0.35">
      <c r="A766" s="5"/>
      <c r="B766" s="5"/>
      <c r="C766" s="5"/>
      <c r="D766" s="5"/>
      <c r="E766" s="5"/>
      <c r="F766" s="5"/>
      <c r="G766" s="5"/>
      <c r="H766" s="25"/>
      <c r="I766" s="21"/>
      <c r="J766" s="18"/>
      <c r="K766" s="5"/>
      <c r="L766" s="5"/>
      <c r="M766" s="5"/>
      <c r="N766" s="5"/>
      <c r="O766" s="5"/>
      <c r="P766" s="5"/>
      <c r="Q766" s="5"/>
      <c r="R766" s="5"/>
      <c r="S766" s="5"/>
      <c r="T766" s="5"/>
      <c r="U766" s="5"/>
      <c r="V766" s="5"/>
      <c r="W766" s="5"/>
      <c r="X766" s="5"/>
      <c r="Y766" s="5"/>
    </row>
    <row r="767" spans="1:25" ht="15" thickBot="1" x14ac:dyDescent="0.35">
      <c r="A767" s="5"/>
      <c r="B767" s="5"/>
      <c r="C767" s="5"/>
      <c r="D767" s="5"/>
      <c r="E767" s="5"/>
      <c r="F767" s="5"/>
      <c r="G767" s="5"/>
      <c r="H767" s="25"/>
      <c r="I767" s="21"/>
      <c r="J767" s="18"/>
      <c r="K767" s="5"/>
      <c r="L767" s="5"/>
      <c r="M767" s="5"/>
      <c r="N767" s="5"/>
      <c r="O767" s="5"/>
      <c r="P767" s="5"/>
      <c r="Q767" s="5"/>
      <c r="R767" s="5"/>
      <c r="S767" s="5"/>
      <c r="T767" s="5"/>
      <c r="U767" s="5"/>
      <c r="V767" s="5"/>
      <c r="W767" s="5"/>
      <c r="X767" s="5"/>
      <c r="Y767" s="5"/>
    </row>
    <row r="768" spans="1:25" ht="15" thickBot="1" x14ac:dyDescent="0.35">
      <c r="A768" s="5"/>
      <c r="B768" s="5"/>
      <c r="C768" s="5"/>
      <c r="D768" s="5"/>
      <c r="E768" s="5"/>
      <c r="F768" s="5"/>
      <c r="G768" s="5"/>
      <c r="H768" s="25"/>
      <c r="I768" s="21"/>
      <c r="J768" s="18"/>
      <c r="K768" s="5"/>
      <c r="L768" s="5"/>
      <c r="M768" s="5"/>
      <c r="N768" s="5"/>
      <c r="O768" s="5"/>
      <c r="P768" s="5"/>
      <c r="Q768" s="5"/>
      <c r="R768" s="5"/>
      <c r="S768" s="5"/>
      <c r="T768" s="5"/>
      <c r="U768" s="5"/>
      <c r="V768" s="5"/>
      <c r="W768" s="5"/>
      <c r="X768" s="5"/>
      <c r="Y768" s="5"/>
    </row>
    <row r="769" spans="1:25" ht="15" thickBot="1" x14ac:dyDescent="0.35">
      <c r="A769" s="5"/>
      <c r="B769" s="5"/>
      <c r="C769" s="5"/>
      <c r="D769" s="5"/>
      <c r="E769" s="5"/>
      <c r="F769" s="5"/>
      <c r="G769" s="5"/>
      <c r="H769" s="25"/>
      <c r="I769" s="21"/>
      <c r="J769" s="18"/>
      <c r="K769" s="5"/>
      <c r="L769" s="5"/>
      <c r="M769" s="5"/>
      <c r="N769" s="5"/>
      <c r="O769" s="5"/>
      <c r="P769" s="5"/>
      <c r="Q769" s="5"/>
      <c r="R769" s="5"/>
      <c r="S769" s="5"/>
      <c r="T769" s="5"/>
      <c r="U769" s="5"/>
      <c r="V769" s="5"/>
      <c r="W769" s="5"/>
      <c r="X769" s="5"/>
      <c r="Y769" s="5"/>
    </row>
    <row r="770" spans="1:25" ht="15" thickBot="1" x14ac:dyDescent="0.35">
      <c r="A770" s="5"/>
      <c r="B770" s="5"/>
      <c r="C770" s="5"/>
      <c r="D770" s="5"/>
      <c r="E770" s="5"/>
      <c r="F770" s="5"/>
      <c r="G770" s="5"/>
      <c r="H770" s="25"/>
      <c r="I770" s="21"/>
      <c r="J770" s="18"/>
      <c r="K770" s="5"/>
      <c r="L770" s="5"/>
      <c r="M770" s="5"/>
      <c r="N770" s="5"/>
      <c r="O770" s="5"/>
      <c r="P770" s="5"/>
      <c r="Q770" s="5"/>
      <c r="R770" s="5"/>
      <c r="S770" s="5"/>
      <c r="T770" s="5"/>
      <c r="U770" s="5"/>
      <c r="V770" s="5"/>
      <c r="W770" s="5"/>
      <c r="X770" s="5"/>
      <c r="Y770" s="5"/>
    </row>
    <row r="771" spans="1:25" ht="15" thickBot="1" x14ac:dyDescent="0.35">
      <c r="A771" s="5"/>
      <c r="B771" s="5"/>
      <c r="C771" s="5"/>
      <c r="D771" s="5"/>
      <c r="E771" s="5"/>
      <c r="F771" s="5"/>
      <c r="G771" s="5"/>
      <c r="H771" s="25"/>
      <c r="I771" s="21"/>
      <c r="J771" s="18"/>
      <c r="K771" s="5"/>
      <c r="L771" s="5"/>
      <c r="M771" s="5"/>
      <c r="N771" s="5"/>
      <c r="O771" s="5"/>
      <c r="P771" s="5"/>
      <c r="Q771" s="5"/>
      <c r="R771" s="5"/>
      <c r="S771" s="5"/>
      <c r="T771" s="5"/>
      <c r="U771" s="5"/>
      <c r="V771" s="5"/>
      <c r="W771" s="5"/>
      <c r="X771" s="5"/>
      <c r="Y771" s="5"/>
    </row>
    <row r="772" spans="1:25" ht="15" thickBot="1" x14ac:dyDescent="0.35">
      <c r="A772" s="5"/>
      <c r="B772" s="5"/>
      <c r="C772" s="5"/>
      <c r="D772" s="5"/>
      <c r="E772" s="5"/>
      <c r="F772" s="5"/>
      <c r="G772" s="5"/>
      <c r="H772" s="25"/>
      <c r="I772" s="21"/>
      <c r="J772" s="18"/>
      <c r="K772" s="5"/>
      <c r="L772" s="5"/>
      <c r="M772" s="5"/>
      <c r="N772" s="5"/>
      <c r="O772" s="5"/>
      <c r="P772" s="5"/>
      <c r="Q772" s="5"/>
      <c r="R772" s="5"/>
      <c r="S772" s="5"/>
      <c r="T772" s="5"/>
      <c r="U772" s="5"/>
      <c r="V772" s="5"/>
      <c r="W772" s="5"/>
      <c r="X772" s="5"/>
      <c r="Y772" s="5"/>
    </row>
    <row r="773" spans="1:25" ht="15" thickBot="1" x14ac:dyDescent="0.35">
      <c r="A773" s="5"/>
      <c r="B773" s="5"/>
      <c r="C773" s="5"/>
      <c r="D773" s="5"/>
      <c r="E773" s="5"/>
      <c r="F773" s="5"/>
      <c r="G773" s="5"/>
      <c r="H773" s="25"/>
      <c r="I773" s="21"/>
      <c r="J773" s="18"/>
      <c r="K773" s="5"/>
      <c r="L773" s="5"/>
      <c r="M773" s="5"/>
      <c r="N773" s="5"/>
      <c r="O773" s="5"/>
      <c r="P773" s="5"/>
      <c r="Q773" s="5"/>
      <c r="R773" s="5"/>
      <c r="S773" s="5"/>
      <c r="T773" s="5"/>
      <c r="U773" s="5"/>
      <c r="V773" s="5"/>
      <c r="W773" s="5"/>
      <c r="X773" s="5"/>
      <c r="Y773" s="5"/>
    </row>
    <row r="774" spans="1:25" ht="15" thickBot="1" x14ac:dyDescent="0.35">
      <c r="A774" s="5"/>
      <c r="B774" s="5"/>
      <c r="C774" s="5"/>
      <c r="D774" s="5"/>
      <c r="E774" s="5"/>
      <c r="F774" s="5"/>
      <c r="G774" s="5"/>
      <c r="H774" s="25"/>
      <c r="I774" s="21"/>
      <c r="J774" s="18"/>
      <c r="K774" s="5"/>
      <c r="L774" s="5"/>
      <c r="M774" s="5"/>
      <c r="N774" s="5"/>
      <c r="O774" s="5"/>
      <c r="P774" s="5"/>
      <c r="Q774" s="5"/>
      <c r="R774" s="5"/>
      <c r="S774" s="5"/>
      <c r="T774" s="5"/>
      <c r="U774" s="5"/>
      <c r="V774" s="5"/>
      <c r="W774" s="5"/>
      <c r="X774" s="5"/>
      <c r="Y774" s="5"/>
    </row>
    <row r="775" spans="1:25" ht="15" thickBot="1" x14ac:dyDescent="0.35">
      <c r="A775" s="5"/>
      <c r="B775" s="5"/>
      <c r="C775" s="5"/>
      <c r="D775" s="5"/>
      <c r="E775" s="5"/>
      <c r="F775" s="5"/>
      <c r="G775" s="5"/>
      <c r="H775" s="25"/>
      <c r="I775" s="21"/>
      <c r="J775" s="18"/>
      <c r="K775" s="5"/>
      <c r="L775" s="5"/>
      <c r="M775" s="5"/>
      <c r="N775" s="5"/>
      <c r="O775" s="5"/>
      <c r="P775" s="5"/>
      <c r="Q775" s="5"/>
      <c r="R775" s="5"/>
      <c r="S775" s="5"/>
      <c r="T775" s="5"/>
      <c r="U775" s="5"/>
      <c r="V775" s="5"/>
      <c r="W775" s="5"/>
      <c r="X775" s="5"/>
      <c r="Y775" s="5"/>
    </row>
    <row r="776" spans="1:25" ht="15" thickBot="1" x14ac:dyDescent="0.35">
      <c r="A776" s="5"/>
      <c r="B776" s="5"/>
      <c r="C776" s="5"/>
      <c r="D776" s="5"/>
      <c r="E776" s="5"/>
      <c r="F776" s="5"/>
      <c r="G776" s="5"/>
      <c r="H776" s="25"/>
      <c r="I776" s="21"/>
      <c r="J776" s="18"/>
      <c r="K776" s="5"/>
      <c r="L776" s="5"/>
      <c r="M776" s="5"/>
      <c r="N776" s="5"/>
      <c r="O776" s="5"/>
      <c r="P776" s="5"/>
      <c r="Q776" s="5"/>
      <c r="R776" s="5"/>
      <c r="S776" s="5"/>
      <c r="T776" s="5"/>
      <c r="U776" s="5"/>
      <c r="V776" s="5"/>
      <c r="W776" s="5"/>
      <c r="X776" s="5"/>
      <c r="Y776" s="5"/>
    </row>
    <row r="777" spans="1:25" ht="15" thickBot="1" x14ac:dyDescent="0.35">
      <c r="A777" s="5"/>
      <c r="B777" s="5"/>
      <c r="C777" s="5"/>
      <c r="D777" s="5"/>
      <c r="E777" s="5"/>
      <c r="F777" s="5"/>
      <c r="G777" s="5"/>
      <c r="H777" s="25"/>
      <c r="I777" s="21"/>
      <c r="J777" s="18"/>
      <c r="K777" s="5"/>
      <c r="L777" s="5"/>
      <c r="M777" s="5"/>
      <c r="N777" s="5"/>
      <c r="O777" s="5"/>
      <c r="P777" s="5"/>
      <c r="Q777" s="5"/>
      <c r="R777" s="5"/>
      <c r="S777" s="5"/>
      <c r="T777" s="5"/>
      <c r="U777" s="5"/>
      <c r="V777" s="5"/>
      <c r="W777" s="5"/>
      <c r="X777" s="5"/>
      <c r="Y777" s="5"/>
    </row>
    <row r="778" spans="1:25" ht="15" thickBot="1" x14ac:dyDescent="0.35">
      <c r="A778" s="5"/>
      <c r="B778" s="5"/>
      <c r="C778" s="5"/>
      <c r="D778" s="5"/>
      <c r="E778" s="5"/>
      <c r="F778" s="5"/>
      <c r="G778" s="5"/>
      <c r="H778" s="25"/>
      <c r="I778" s="21"/>
      <c r="J778" s="18"/>
      <c r="K778" s="5"/>
      <c r="L778" s="5"/>
      <c r="M778" s="5"/>
      <c r="N778" s="5"/>
      <c r="O778" s="5"/>
      <c r="P778" s="5"/>
      <c r="Q778" s="5"/>
      <c r="R778" s="5"/>
      <c r="S778" s="5"/>
      <c r="T778" s="5"/>
      <c r="U778" s="5"/>
      <c r="V778" s="5"/>
      <c r="W778" s="5"/>
      <c r="X778" s="5"/>
      <c r="Y778" s="5"/>
    </row>
    <row r="779" spans="1:25" ht="15" thickBot="1" x14ac:dyDescent="0.35">
      <c r="A779" s="5"/>
      <c r="B779" s="5"/>
      <c r="C779" s="5"/>
      <c r="D779" s="5"/>
      <c r="E779" s="5"/>
      <c r="F779" s="5"/>
      <c r="G779" s="5"/>
      <c r="H779" s="25"/>
      <c r="I779" s="21"/>
      <c r="J779" s="18"/>
      <c r="K779" s="5"/>
      <c r="L779" s="5"/>
      <c r="M779" s="5"/>
      <c r="N779" s="5"/>
      <c r="O779" s="5"/>
      <c r="P779" s="5"/>
      <c r="Q779" s="5"/>
      <c r="R779" s="5"/>
      <c r="S779" s="5"/>
      <c r="T779" s="5"/>
      <c r="U779" s="5"/>
      <c r="V779" s="5"/>
      <c r="W779" s="5"/>
      <c r="X779" s="5"/>
      <c r="Y779" s="5"/>
    </row>
    <row r="780" spans="1:25" ht="15" thickBot="1" x14ac:dyDescent="0.35">
      <c r="A780" s="5"/>
      <c r="B780" s="5"/>
      <c r="C780" s="5"/>
      <c r="D780" s="5"/>
      <c r="E780" s="5"/>
      <c r="F780" s="5"/>
      <c r="G780" s="5"/>
      <c r="H780" s="25"/>
      <c r="I780" s="21"/>
      <c r="J780" s="18"/>
      <c r="K780" s="5"/>
      <c r="L780" s="5"/>
      <c r="M780" s="5"/>
      <c r="N780" s="5"/>
      <c r="O780" s="5"/>
      <c r="P780" s="5"/>
      <c r="Q780" s="5"/>
      <c r="R780" s="5"/>
      <c r="S780" s="5"/>
      <c r="T780" s="5"/>
      <c r="U780" s="5"/>
      <c r="V780" s="5"/>
      <c r="W780" s="5"/>
      <c r="X780" s="5"/>
      <c r="Y780" s="5"/>
    </row>
    <row r="781" spans="1:25" ht="15" thickBot="1" x14ac:dyDescent="0.35">
      <c r="A781" s="5"/>
      <c r="B781" s="5"/>
      <c r="C781" s="5"/>
      <c r="D781" s="5"/>
      <c r="E781" s="5"/>
      <c r="F781" s="5"/>
      <c r="G781" s="5"/>
      <c r="H781" s="25"/>
      <c r="I781" s="21"/>
      <c r="J781" s="18"/>
      <c r="K781" s="5"/>
      <c r="L781" s="5"/>
      <c r="M781" s="5"/>
      <c r="N781" s="5"/>
      <c r="O781" s="5"/>
      <c r="P781" s="5"/>
      <c r="Q781" s="5"/>
      <c r="R781" s="5"/>
      <c r="S781" s="5"/>
      <c r="T781" s="5"/>
      <c r="U781" s="5"/>
      <c r="V781" s="5"/>
      <c r="W781" s="5"/>
      <c r="X781" s="5"/>
      <c r="Y781" s="5"/>
    </row>
    <row r="782" spans="1:25" ht="15" thickBot="1" x14ac:dyDescent="0.35">
      <c r="A782" s="5"/>
      <c r="B782" s="5"/>
      <c r="C782" s="5"/>
      <c r="D782" s="5"/>
      <c r="E782" s="5"/>
      <c r="F782" s="5"/>
      <c r="G782" s="5"/>
      <c r="H782" s="25"/>
      <c r="I782" s="21"/>
      <c r="J782" s="18"/>
      <c r="K782" s="5"/>
      <c r="L782" s="5"/>
      <c r="M782" s="5"/>
      <c r="N782" s="5"/>
      <c r="O782" s="5"/>
      <c r="P782" s="5"/>
      <c r="Q782" s="5"/>
      <c r="R782" s="5"/>
      <c r="S782" s="5"/>
      <c r="T782" s="5"/>
      <c r="U782" s="5"/>
      <c r="V782" s="5"/>
      <c r="W782" s="5"/>
      <c r="X782" s="5"/>
      <c r="Y782" s="5"/>
    </row>
    <row r="783" spans="1:25" ht="15" thickBot="1" x14ac:dyDescent="0.35">
      <c r="A783" s="5"/>
      <c r="B783" s="5"/>
      <c r="C783" s="5"/>
      <c r="D783" s="5"/>
      <c r="E783" s="5"/>
      <c r="F783" s="5"/>
      <c r="G783" s="5"/>
      <c r="H783" s="25"/>
      <c r="I783" s="21"/>
      <c r="J783" s="18"/>
      <c r="K783" s="5"/>
      <c r="L783" s="5"/>
      <c r="M783" s="5"/>
      <c r="N783" s="5"/>
      <c r="O783" s="5"/>
      <c r="P783" s="5"/>
      <c r="Q783" s="5"/>
      <c r="R783" s="5"/>
      <c r="S783" s="5"/>
      <c r="T783" s="5"/>
      <c r="U783" s="5"/>
      <c r="V783" s="5"/>
      <c r="W783" s="5"/>
      <c r="X783" s="5"/>
      <c r="Y783" s="5"/>
    </row>
    <row r="784" spans="1:25" ht="15" thickBot="1" x14ac:dyDescent="0.35">
      <c r="A784" s="5"/>
      <c r="B784" s="5"/>
      <c r="C784" s="5"/>
      <c r="D784" s="5"/>
      <c r="E784" s="5"/>
      <c r="F784" s="5"/>
      <c r="G784" s="5"/>
      <c r="H784" s="25"/>
      <c r="I784" s="21"/>
      <c r="J784" s="18"/>
      <c r="K784" s="5"/>
      <c r="L784" s="5"/>
      <c r="M784" s="5"/>
      <c r="N784" s="5"/>
      <c r="O784" s="5"/>
      <c r="P784" s="5"/>
      <c r="Q784" s="5"/>
      <c r="R784" s="5"/>
      <c r="S784" s="5"/>
      <c r="T784" s="5"/>
      <c r="U784" s="5"/>
      <c r="V784" s="5"/>
      <c r="W784" s="5"/>
      <c r="X784" s="5"/>
      <c r="Y784" s="5"/>
    </row>
    <row r="785" spans="1:25" ht="15" thickBot="1" x14ac:dyDescent="0.35">
      <c r="A785" s="5"/>
      <c r="B785" s="5"/>
      <c r="C785" s="5"/>
      <c r="D785" s="5"/>
      <c r="E785" s="5"/>
      <c r="F785" s="5"/>
      <c r="G785" s="5"/>
      <c r="H785" s="25"/>
      <c r="I785" s="21"/>
      <c r="J785" s="18"/>
      <c r="K785" s="5"/>
      <c r="L785" s="5"/>
      <c r="M785" s="5"/>
      <c r="N785" s="5"/>
      <c r="O785" s="5"/>
      <c r="P785" s="5"/>
      <c r="Q785" s="5"/>
      <c r="R785" s="5"/>
      <c r="S785" s="5"/>
      <c r="T785" s="5"/>
      <c r="U785" s="5"/>
      <c r="V785" s="5"/>
      <c r="W785" s="5"/>
      <c r="X785" s="5"/>
      <c r="Y785" s="5"/>
    </row>
    <row r="786" spans="1:25" ht="15" thickBot="1" x14ac:dyDescent="0.35">
      <c r="A786" s="5"/>
      <c r="B786" s="5"/>
      <c r="C786" s="5"/>
      <c r="D786" s="5"/>
      <c r="E786" s="5"/>
      <c r="F786" s="5"/>
      <c r="G786" s="5"/>
      <c r="H786" s="25"/>
      <c r="I786" s="21"/>
      <c r="J786" s="18"/>
      <c r="K786" s="5"/>
      <c r="L786" s="5"/>
      <c r="M786" s="5"/>
      <c r="N786" s="5"/>
      <c r="O786" s="5"/>
      <c r="P786" s="5"/>
      <c r="Q786" s="5"/>
      <c r="R786" s="5"/>
      <c r="S786" s="5"/>
      <c r="T786" s="5"/>
      <c r="U786" s="5"/>
      <c r="V786" s="5"/>
      <c r="W786" s="5"/>
      <c r="X786" s="5"/>
      <c r="Y786" s="5"/>
    </row>
    <row r="787" spans="1:25" ht="15" thickBot="1" x14ac:dyDescent="0.35">
      <c r="A787" s="5"/>
      <c r="B787" s="5"/>
      <c r="C787" s="5"/>
      <c r="D787" s="5"/>
      <c r="E787" s="5"/>
      <c r="F787" s="5"/>
      <c r="G787" s="5"/>
      <c r="H787" s="25"/>
      <c r="I787" s="21"/>
      <c r="J787" s="18"/>
      <c r="K787" s="5"/>
      <c r="L787" s="5"/>
      <c r="M787" s="5"/>
      <c r="N787" s="5"/>
      <c r="O787" s="5"/>
      <c r="P787" s="5"/>
      <c r="Q787" s="5"/>
      <c r="R787" s="5"/>
      <c r="S787" s="5"/>
      <c r="T787" s="5"/>
      <c r="U787" s="5"/>
      <c r="V787" s="5"/>
      <c r="W787" s="5"/>
      <c r="X787" s="5"/>
      <c r="Y787" s="5"/>
    </row>
    <row r="788" spans="1:25" ht="15" thickBot="1" x14ac:dyDescent="0.35">
      <c r="A788" s="5"/>
      <c r="B788" s="5"/>
      <c r="C788" s="5"/>
      <c r="D788" s="5"/>
      <c r="E788" s="5"/>
      <c r="F788" s="5"/>
      <c r="G788" s="5"/>
      <c r="H788" s="25"/>
      <c r="I788" s="21"/>
      <c r="J788" s="18"/>
      <c r="K788" s="5"/>
      <c r="L788" s="5"/>
      <c r="M788" s="5"/>
      <c r="N788" s="5"/>
      <c r="O788" s="5"/>
      <c r="P788" s="5"/>
      <c r="Q788" s="5"/>
      <c r="R788" s="5"/>
      <c r="S788" s="5"/>
      <c r="T788" s="5"/>
      <c r="U788" s="5"/>
      <c r="V788" s="5"/>
      <c r="W788" s="5"/>
      <c r="X788" s="5"/>
      <c r="Y788" s="5"/>
    </row>
    <row r="789" spans="1:25" ht="15" thickBot="1" x14ac:dyDescent="0.35">
      <c r="A789" s="5"/>
      <c r="B789" s="5"/>
      <c r="C789" s="5"/>
      <c r="D789" s="5"/>
      <c r="E789" s="5"/>
      <c r="F789" s="5"/>
      <c r="G789" s="5"/>
      <c r="H789" s="25"/>
      <c r="I789" s="21"/>
      <c r="J789" s="18"/>
      <c r="K789" s="5"/>
      <c r="L789" s="5"/>
      <c r="M789" s="5"/>
      <c r="N789" s="5"/>
      <c r="O789" s="5"/>
      <c r="P789" s="5"/>
      <c r="Q789" s="5"/>
      <c r="R789" s="5"/>
      <c r="S789" s="5"/>
      <c r="T789" s="5"/>
      <c r="U789" s="5"/>
      <c r="V789" s="5"/>
      <c r="W789" s="5"/>
      <c r="X789" s="5"/>
      <c r="Y789" s="5"/>
    </row>
    <row r="790" spans="1:25" ht="15" thickBot="1" x14ac:dyDescent="0.35">
      <c r="A790" s="5"/>
      <c r="B790" s="5"/>
      <c r="C790" s="5"/>
      <c r="D790" s="5"/>
      <c r="E790" s="5"/>
      <c r="F790" s="5"/>
      <c r="G790" s="5"/>
      <c r="H790" s="25"/>
      <c r="I790" s="21"/>
      <c r="J790" s="18"/>
      <c r="K790" s="5"/>
      <c r="L790" s="5"/>
      <c r="M790" s="5"/>
      <c r="N790" s="5"/>
      <c r="O790" s="5"/>
      <c r="P790" s="5"/>
      <c r="Q790" s="5"/>
      <c r="R790" s="5"/>
      <c r="S790" s="5"/>
      <c r="T790" s="5"/>
      <c r="U790" s="5"/>
      <c r="V790" s="5"/>
      <c r="W790" s="5"/>
      <c r="X790" s="5"/>
      <c r="Y790" s="5"/>
    </row>
    <row r="791" spans="1:25" ht="15" thickBot="1" x14ac:dyDescent="0.35">
      <c r="A791" s="5"/>
      <c r="B791" s="5"/>
      <c r="C791" s="5"/>
      <c r="D791" s="5"/>
      <c r="E791" s="5"/>
      <c r="F791" s="5"/>
      <c r="G791" s="5"/>
      <c r="H791" s="25"/>
      <c r="I791" s="21"/>
      <c r="J791" s="18"/>
      <c r="K791" s="5"/>
      <c r="L791" s="5"/>
      <c r="M791" s="5"/>
      <c r="N791" s="5"/>
      <c r="O791" s="5"/>
      <c r="P791" s="5"/>
      <c r="Q791" s="5"/>
      <c r="R791" s="5"/>
      <c r="S791" s="5"/>
      <c r="T791" s="5"/>
      <c r="U791" s="5"/>
      <c r="V791" s="5"/>
      <c r="W791" s="5"/>
      <c r="X791" s="5"/>
      <c r="Y791" s="5"/>
    </row>
    <row r="792" spans="1:25" ht="15" thickBot="1" x14ac:dyDescent="0.35">
      <c r="A792" s="5"/>
      <c r="B792" s="5"/>
      <c r="C792" s="5"/>
      <c r="D792" s="5"/>
      <c r="E792" s="5"/>
      <c r="F792" s="5"/>
      <c r="G792" s="5"/>
      <c r="H792" s="25"/>
      <c r="I792" s="21"/>
      <c r="J792" s="18"/>
      <c r="K792" s="5"/>
      <c r="L792" s="5"/>
      <c r="M792" s="5"/>
      <c r="N792" s="5"/>
      <c r="O792" s="5"/>
      <c r="P792" s="5"/>
      <c r="Q792" s="5"/>
      <c r="R792" s="5"/>
      <c r="S792" s="5"/>
      <c r="T792" s="5"/>
      <c r="U792" s="5"/>
      <c r="V792" s="5"/>
      <c r="W792" s="5"/>
      <c r="X792" s="5"/>
      <c r="Y792" s="5"/>
    </row>
    <row r="793" spans="1:25" ht="15" thickBot="1" x14ac:dyDescent="0.35">
      <c r="A793" s="5"/>
      <c r="B793" s="5"/>
      <c r="C793" s="5"/>
      <c r="D793" s="5"/>
      <c r="E793" s="5"/>
      <c r="F793" s="5"/>
      <c r="G793" s="5"/>
      <c r="H793" s="25"/>
      <c r="I793" s="21"/>
      <c r="J793" s="18"/>
      <c r="K793" s="5"/>
      <c r="L793" s="5"/>
      <c r="M793" s="5"/>
      <c r="N793" s="5"/>
      <c r="O793" s="5"/>
      <c r="P793" s="5"/>
      <c r="Q793" s="5"/>
      <c r="R793" s="5"/>
      <c r="S793" s="5"/>
      <c r="T793" s="5"/>
      <c r="U793" s="5"/>
      <c r="V793" s="5"/>
      <c r="W793" s="5"/>
      <c r="X793" s="5"/>
      <c r="Y793" s="5"/>
    </row>
    <row r="794" spans="1:25" ht="15" thickBot="1" x14ac:dyDescent="0.35">
      <c r="A794" s="5"/>
      <c r="B794" s="5"/>
      <c r="C794" s="5"/>
      <c r="D794" s="5"/>
      <c r="E794" s="5"/>
      <c r="F794" s="5"/>
      <c r="G794" s="5"/>
      <c r="H794" s="25"/>
      <c r="I794" s="21"/>
      <c r="J794" s="18"/>
      <c r="K794" s="5"/>
      <c r="L794" s="5"/>
      <c r="M794" s="5"/>
      <c r="N794" s="5"/>
      <c r="O794" s="5"/>
      <c r="P794" s="5"/>
      <c r="Q794" s="5"/>
      <c r="R794" s="5"/>
      <c r="S794" s="5"/>
      <c r="T794" s="5"/>
      <c r="U794" s="5"/>
      <c r="V794" s="5"/>
      <c r="W794" s="5"/>
      <c r="X794" s="5"/>
      <c r="Y794" s="5"/>
    </row>
    <row r="795" spans="1:25" ht="15" thickBot="1" x14ac:dyDescent="0.35">
      <c r="A795" s="5"/>
      <c r="B795" s="5"/>
      <c r="C795" s="5"/>
      <c r="D795" s="5"/>
      <c r="E795" s="5"/>
      <c r="F795" s="5"/>
      <c r="G795" s="5"/>
      <c r="H795" s="25"/>
      <c r="I795" s="21"/>
      <c r="J795" s="18"/>
      <c r="K795" s="5"/>
      <c r="L795" s="5"/>
      <c r="M795" s="5"/>
      <c r="N795" s="5"/>
      <c r="O795" s="5"/>
      <c r="P795" s="5"/>
      <c r="Q795" s="5"/>
      <c r="R795" s="5"/>
      <c r="S795" s="5"/>
      <c r="T795" s="5"/>
      <c r="U795" s="5"/>
      <c r="V795" s="5"/>
      <c r="W795" s="5"/>
      <c r="X795" s="5"/>
      <c r="Y795" s="5"/>
    </row>
    <row r="796" spans="1:25" ht="15" thickBot="1" x14ac:dyDescent="0.35">
      <c r="A796" s="5"/>
      <c r="B796" s="5"/>
      <c r="C796" s="5"/>
      <c r="D796" s="5"/>
      <c r="E796" s="5"/>
      <c r="F796" s="5"/>
      <c r="G796" s="5"/>
      <c r="H796" s="25"/>
      <c r="I796" s="21"/>
      <c r="J796" s="18"/>
      <c r="K796" s="5"/>
      <c r="L796" s="5"/>
      <c r="M796" s="5"/>
      <c r="N796" s="5"/>
      <c r="O796" s="5"/>
      <c r="P796" s="5"/>
      <c r="Q796" s="5"/>
      <c r="R796" s="5"/>
      <c r="S796" s="5"/>
      <c r="T796" s="5"/>
      <c r="U796" s="5"/>
      <c r="V796" s="5"/>
      <c r="W796" s="5"/>
      <c r="X796" s="5"/>
      <c r="Y796" s="5"/>
    </row>
    <row r="797" spans="1:25" ht="15" thickBot="1" x14ac:dyDescent="0.35">
      <c r="A797" s="5"/>
      <c r="B797" s="5"/>
      <c r="C797" s="5"/>
      <c r="D797" s="5"/>
      <c r="E797" s="5"/>
      <c r="F797" s="5"/>
      <c r="G797" s="5"/>
      <c r="H797" s="25"/>
      <c r="I797" s="21"/>
      <c r="J797" s="18"/>
      <c r="K797" s="5"/>
      <c r="L797" s="5"/>
      <c r="M797" s="5"/>
      <c r="N797" s="5"/>
      <c r="O797" s="5"/>
      <c r="P797" s="5"/>
      <c r="Q797" s="5"/>
      <c r="R797" s="5"/>
      <c r="S797" s="5"/>
      <c r="T797" s="5"/>
      <c r="U797" s="5"/>
      <c r="V797" s="5"/>
      <c r="W797" s="5"/>
      <c r="X797" s="5"/>
      <c r="Y797" s="5"/>
    </row>
    <row r="798" spans="1:25" ht="15" thickBot="1" x14ac:dyDescent="0.35">
      <c r="A798" s="5"/>
      <c r="B798" s="5"/>
      <c r="C798" s="5"/>
      <c r="D798" s="5"/>
      <c r="E798" s="5"/>
      <c r="F798" s="5"/>
      <c r="G798" s="5"/>
      <c r="H798" s="25"/>
      <c r="I798" s="21"/>
      <c r="J798" s="18"/>
      <c r="K798" s="5"/>
      <c r="L798" s="5"/>
      <c r="M798" s="5"/>
      <c r="N798" s="5"/>
      <c r="O798" s="5"/>
      <c r="P798" s="5"/>
      <c r="Q798" s="5"/>
      <c r="R798" s="5"/>
      <c r="S798" s="5"/>
      <c r="T798" s="5"/>
      <c r="U798" s="5"/>
      <c r="V798" s="5"/>
      <c r="W798" s="5"/>
      <c r="X798" s="5"/>
      <c r="Y798" s="5"/>
    </row>
    <row r="799" spans="1:25" ht="15" thickBot="1" x14ac:dyDescent="0.35">
      <c r="A799" s="5"/>
      <c r="B799" s="5"/>
      <c r="C799" s="5"/>
      <c r="D799" s="5"/>
      <c r="E799" s="5"/>
      <c r="F799" s="5"/>
      <c r="G799" s="5"/>
      <c r="H799" s="25"/>
      <c r="I799" s="21"/>
      <c r="J799" s="18"/>
      <c r="K799" s="5"/>
      <c r="L799" s="5"/>
      <c r="M799" s="5"/>
      <c r="N799" s="5"/>
      <c r="O799" s="5"/>
      <c r="P799" s="5"/>
      <c r="Q799" s="5"/>
      <c r="R799" s="5"/>
      <c r="S799" s="5"/>
      <c r="T799" s="5"/>
      <c r="U799" s="5"/>
      <c r="V799" s="5"/>
      <c r="W799" s="5"/>
      <c r="X799" s="5"/>
      <c r="Y799" s="5"/>
    </row>
    <row r="800" spans="1:25" ht="15" thickBot="1" x14ac:dyDescent="0.35">
      <c r="A800" s="5"/>
      <c r="B800" s="5"/>
      <c r="C800" s="5"/>
      <c r="D800" s="5"/>
      <c r="E800" s="5"/>
      <c r="F800" s="5"/>
      <c r="G800" s="5"/>
      <c r="H800" s="25"/>
      <c r="I800" s="21"/>
      <c r="J800" s="18"/>
      <c r="K800" s="5"/>
      <c r="L800" s="5"/>
      <c r="M800" s="5"/>
      <c r="N800" s="5"/>
      <c r="O800" s="5"/>
      <c r="P800" s="5"/>
      <c r="Q800" s="5"/>
      <c r="R800" s="5"/>
      <c r="S800" s="5"/>
      <c r="T800" s="5"/>
      <c r="U800" s="5"/>
      <c r="V800" s="5"/>
      <c r="W800" s="5"/>
      <c r="X800" s="5"/>
      <c r="Y800" s="5"/>
    </row>
    <row r="801" spans="1:25" ht="15" thickBot="1" x14ac:dyDescent="0.35">
      <c r="A801" s="5"/>
      <c r="B801" s="5"/>
      <c r="C801" s="5"/>
      <c r="D801" s="5"/>
      <c r="E801" s="5"/>
      <c r="F801" s="5"/>
      <c r="G801" s="5"/>
      <c r="H801" s="25"/>
      <c r="I801" s="21"/>
      <c r="J801" s="18"/>
      <c r="K801" s="5"/>
      <c r="L801" s="5"/>
      <c r="M801" s="5"/>
      <c r="N801" s="5"/>
      <c r="O801" s="5"/>
      <c r="P801" s="5"/>
      <c r="Q801" s="5"/>
      <c r="R801" s="5"/>
      <c r="S801" s="5"/>
      <c r="T801" s="5"/>
      <c r="U801" s="5"/>
      <c r="V801" s="5"/>
      <c r="W801" s="5"/>
      <c r="X801" s="5"/>
      <c r="Y801" s="5"/>
    </row>
    <row r="802" spans="1:25" ht="15" thickBot="1" x14ac:dyDescent="0.35">
      <c r="A802" s="5"/>
      <c r="B802" s="5"/>
      <c r="C802" s="5"/>
      <c r="D802" s="5"/>
      <c r="E802" s="5"/>
      <c r="F802" s="5"/>
      <c r="G802" s="5"/>
      <c r="H802" s="25"/>
      <c r="I802" s="21"/>
      <c r="J802" s="18"/>
      <c r="K802" s="5"/>
      <c r="L802" s="5"/>
      <c r="M802" s="5"/>
      <c r="N802" s="5"/>
      <c r="O802" s="5"/>
      <c r="P802" s="5"/>
      <c r="Q802" s="5"/>
      <c r="R802" s="5"/>
      <c r="S802" s="5"/>
      <c r="T802" s="5"/>
      <c r="U802" s="5"/>
      <c r="V802" s="5"/>
      <c r="W802" s="5"/>
      <c r="X802" s="5"/>
      <c r="Y802" s="5"/>
    </row>
    <row r="803" spans="1:25" ht="15" thickBot="1" x14ac:dyDescent="0.35">
      <c r="A803" s="5"/>
      <c r="B803" s="5"/>
      <c r="C803" s="5"/>
      <c r="D803" s="5"/>
      <c r="E803" s="5"/>
      <c r="F803" s="5"/>
      <c r="G803" s="5"/>
      <c r="H803" s="25"/>
      <c r="I803" s="21"/>
      <c r="J803" s="18"/>
      <c r="K803" s="5"/>
      <c r="L803" s="5"/>
      <c r="M803" s="5"/>
      <c r="N803" s="5"/>
      <c r="O803" s="5"/>
      <c r="P803" s="5"/>
      <c r="Q803" s="5"/>
      <c r="R803" s="5"/>
      <c r="S803" s="5"/>
      <c r="T803" s="5"/>
      <c r="U803" s="5"/>
      <c r="V803" s="5"/>
      <c r="W803" s="5"/>
      <c r="X803" s="5"/>
      <c r="Y803" s="5"/>
    </row>
    <row r="804" spans="1:25" ht="15" thickBot="1" x14ac:dyDescent="0.35">
      <c r="A804" s="5"/>
      <c r="B804" s="5"/>
      <c r="C804" s="5"/>
      <c r="D804" s="5"/>
      <c r="E804" s="5"/>
      <c r="F804" s="5"/>
      <c r="G804" s="5"/>
      <c r="H804" s="25"/>
      <c r="I804" s="21"/>
      <c r="J804" s="18"/>
      <c r="K804" s="5"/>
      <c r="L804" s="5"/>
      <c r="M804" s="5"/>
      <c r="N804" s="5"/>
      <c r="O804" s="5"/>
      <c r="P804" s="5"/>
      <c r="Q804" s="5"/>
      <c r="R804" s="5"/>
      <c r="S804" s="5"/>
      <c r="T804" s="5"/>
      <c r="U804" s="5"/>
      <c r="V804" s="5"/>
      <c r="W804" s="5"/>
      <c r="X804" s="5"/>
      <c r="Y804" s="5"/>
    </row>
    <row r="805" spans="1:25" ht="15" thickBot="1" x14ac:dyDescent="0.35">
      <c r="A805" s="5"/>
      <c r="B805" s="5"/>
      <c r="C805" s="5"/>
      <c r="D805" s="5"/>
      <c r="E805" s="5"/>
      <c r="F805" s="5"/>
      <c r="G805" s="5"/>
      <c r="H805" s="25"/>
      <c r="I805" s="21"/>
      <c r="J805" s="18"/>
      <c r="K805" s="5"/>
      <c r="L805" s="5"/>
      <c r="M805" s="5"/>
      <c r="N805" s="5"/>
      <c r="O805" s="5"/>
      <c r="P805" s="5"/>
      <c r="Q805" s="5"/>
      <c r="R805" s="5"/>
      <c r="S805" s="5"/>
      <c r="T805" s="5"/>
      <c r="U805" s="5"/>
      <c r="V805" s="5"/>
      <c r="W805" s="5"/>
      <c r="X805" s="5"/>
      <c r="Y805" s="5"/>
    </row>
    <row r="806" spans="1:25" ht="15" thickBot="1" x14ac:dyDescent="0.35">
      <c r="A806" s="5"/>
      <c r="B806" s="5"/>
      <c r="C806" s="5"/>
      <c r="D806" s="5"/>
      <c r="E806" s="5"/>
      <c r="F806" s="5"/>
      <c r="G806" s="5"/>
      <c r="H806" s="25"/>
      <c r="I806" s="21"/>
      <c r="J806" s="18"/>
      <c r="K806" s="5"/>
      <c r="L806" s="5"/>
      <c r="M806" s="5"/>
      <c r="N806" s="5"/>
      <c r="O806" s="5"/>
      <c r="P806" s="5"/>
      <c r="Q806" s="5"/>
      <c r="R806" s="5"/>
      <c r="S806" s="5"/>
      <c r="T806" s="5"/>
      <c r="U806" s="5"/>
      <c r="V806" s="5"/>
      <c r="W806" s="5"/>
      <c r="X806" s="5"/>
      <c r="Y806" s="5"/>
    </row>
    <row r="807" spans="1:25" ht="15" thickBot="1" x14ac:dyDescent="0.35">
      <c r="A807" s="5"/>
      <c r="B807" s="5"/>
      <c r="C807" s="5"/>
      <c r="D807" s="5"/>
      <c r="E807" s="5"/>
      <c r="F807" s="5"/>
      <c r="G807" s="5"/>
      <c r="H807" s="25"/>
      <c r="I807" s="21"/>
      <c r="J807" s="18"/>
      <c r="K807" s="5"/>
      <c r="L807" s="5"/>
      <c r="M807" s="5"/>
      <c r="N807" s="5"/>
      <c r="O807" s="5"/>
      <c r="P807" s="5"/>
      <c r="Q807" s="5"/>
      <c r="R807" s="5"/>
      <c r="S807" s="5"/>
      <c r="T807" s="5"/>
      <c r="U807" s="5"/>
      <c r="V807" s="5"/>
      <c r="W807" s="5"/>
      <c r="X807" s="5"/>
      <c r="Y807" s="5"/>
    </row>
    <row r="808" spans="1:25" ht="15" thickBot="1" x14ac:dyDescent="0.35">
      <c r="A808" s="5"/>
      <c r="B808" s="5"/>
      <c r="C808" s="5"/>
      <c r="D808" s="5"/>
      <c r="E808" s="5"/>
      <c r="F808" s="5"/>
      <c r="G808" s="5"/>
      <c r="H808" s="25"/>
      <c r="I808" s="21"/>
      <c r="J808" s="18"/>
      <c r="K808" s="5"/>
      <c r="L808" s="5"/>
      <c r="M808" s="5"/>
      <c r="N808" s="5"/>
      <c r="O808" s="5"/>
      <c r="P808" s="5"/>
      <c r="Q808" s="5"/>
      <c r="R808" s="5"/>
      <c r="S808" s="5"/>
      <c r="T808" s="5"/>
      <c r="U808" s="5"/>
      <c r="V808" s="5"/>
      <c r="W808" s="5"/>
      <c r="X808" s="5"/>
      <c r="Y808" s="5"/>
    </row>
    <row r="809" spans="1:25" ht="15" thickBot="1" x14ac:dyDescent="0.35">
      <c r="A809" s="5"/>
      <c r="B809" s="5"/>
      <c r="C809" s="5"/>
      <c r="D809" s="5"/>
      <c r="E809" s="5"/>
      <c r="F809" s="5"/>
      <c r="G809" s="5"/>
      <c r="H809" s="25"/>
      <c r="I809" s="21"/>
      <c r="J809" s="18"/>
      <c r="K809" s="5"/>
      <c r="L809" s="5"/>
      <c r="M809" s="5"/>
      <c r="N809" s="5"/>
      <c r="O809" s="5"/>
      <c r="P809" s="5"/>
      <c r="Q809" s="5"/>
      <c r="R809" s="5"/>
      <c r="S809" s="5"/>
      <c r="T809" s="5"/>
      <c r="U809" s="5"/>
      <c r="V809" s="5"/>
      <c r="W809" s="5"/>
      <c r="X809" s="5"/>
      <c r="Y809" s="5"/>
    </row>
    <row r="810" spans="1:25" ht="15" thickBot="1" x14ac:dyDescent="0.35">
      <c r="A810" s="5"/>
      <c r="B810" s="5"/>
      <c r="C810" s="5"/>
      <c r="D810" s="5"/>
      <c r="E810" s="5"/>
      <c r="F810" s="5"/>
      <c r="G810" s="5"/>
      <c r="H810" s="25"/>
      <c r="I810" s="21"/>
      <c r="J810" s="18"/>
      <c r="K810" s="5"/>
      <c r="L810" s="5"/>
      <c r="M810" s="5"/>
      <c r="N810" s="5"/>
      <c r="O810" s="5"/>
      <c r="P810" s="5"/>
      <c r="Q810" s="5"/>
      <c r="R810" s="5"/>
      <c r="S810" s="5"/>
      <c r="T810" s="5"/>
      <c r="U810" s="5"/>
      <c r="V810" s="5"/>
      <c r="W810" s="5"/>
      <c r="X810" s="5"/>
      <c r="Y810" s="5"/>
    </row>
    <row r="811" spans="1:25" ht="15" thickBot="1" x14ac:dyDescent="0.35">
      <c r="A811" s="5"/>
      <c r="B811" s="5"/>
      <c r="C811" s="5"/>
      <c r="D811" s="5"/>
      <c r="E811" s="5"/>
      <c r="F811" s="5"/>
      <c r="G811" s="5"/>
      <c r="H811" s="25"/>
      <c r="I811" s="21"/>
      <c r="J811" s="18"/>
      <c r="K811" s="5"/>
      <c r="L811" s="5"/>
      <c r="M811" s="5"/>
      <c r="N811" s="5"/>
      <c r="O811" s="5"/>
      <c r="P811" s="5"/>
      <c r="Q811" s="5"/>
      <c r="R811" s="5"/>
      <c r="S811" s="5"/>
      <c r="T811" s="5"/>
      <c r="U811" s="5"/>
      <c r="V811" s="5"/>
      <c r="W811" s="5"/>
      <c r="X811" s="5"/>
      <c r="Y811" s="5"/>
    </row>
    <row r="812" spans="1:25" ht="15" thickBot="1" x14ac:dyDescent="0.35">
      <c r="A812" s="5"/>
      <c r="B812" s="5"/>
      <c r="C812" s="5"/>
      <c r="D812" s="5"/>
      <c r="E812" s="5"/>
      <c r="F812" s="5"/>
      <c r="G812" s="5"/>
      <c r="H812" s="25"/>
      <c r="I812" s="21"/>
      <c r="J812" s="18"/>
      <c r="K812" s="5"/>
      <c r="L812" s="5"/>
      <c r="M812" s="5"/>
      <c r="N812" s="5"/>
      <c r="O812" s="5"/>
      <c r="P812" s="5"/>
      <c r="Q812" s="5"/>
      <c r="R812" s="5"/>
      <c r="S812" s="5"/>
      <c r="T812" s="5"/>
      <c r="U812" s="5"/>
      <c r="V812" s="5"/>
      <c r="W812" s="5"/>
      <c r="X812" s="5"/>
      <c r="Y812" s="5"/>
    </row>
    <row r="813" spans="1:25" ht="15" thickBot="1" x14ac:dyDescent="0.35">
      <c r="A813" s="5"/>
      <c r="B813" s="5"/>
      <c r="C813" s="5"/>
      <c r="D813" s="5"/>
      <c r="E813" s="5"/>
      <c r="F813" s="5"/>
      <c r="G813" s="5"/>
      <c r="H813" s="25"/>
      <c r="I813" s="21"/>
      <c r="J813" s="18"/>
      <c r="K813" s="5"/>
      <c r="L813" s="5"/>
      <c r="M813" s="5"/>
      <c r="N813" s="5"/>
      <c r="O813" s="5"/>
      <c r="P813" s="5"/>
      <c r="Q813" s="5"/>
      <c r="R813" s="5"/>
      <c r="S813" s="5"/>
      <c r="T813" s="5"/>
      <c r="U813" s="5"/>
      <c r="V813" s="5"/>
      <c r="W813" s="5"/>
      <c r="X813" s="5"/>
      <c r="Y813" s="5"/>
    </row>
    <row r="814" spans="1:25" ht="15" thickBot="1" x14ac:dyDescent="0.35">
      <c r="A814" s="5"/>
      <c r="B814" s="5"/>
      <c r="C814" s="5"/>
      <c r="D814" s="5"/>
      <c r="E814" s="5"/>
      <c r="F814" s="5"/>
      <c r="G814" s="5"/>
      <c r="H814" s="25"/>
      <c r="I814" s="21"/>
      <c r="J814" s="18"/>
      <c r="K814" s="5"/>
      <c r="L814" s="5"/>
      <c r="M814" s="5"/>
      <c r="N814" s="5"/>
      <c r="O814" s="5"/>
      <c r="P814" s="5"/>
      <c r="Q814" s="5"/>
      <c r="R814" s="5"/>
      <c r="S814" s="5"/>
      <c r="T814" s="5"/>
      <c r="U814" s="5"/>
      <c r="V814" s="5"/>
      <c r="W814" s="5"/>
      <c r="X814" s="5"/>
      <c r="Y814" s="5"/>
    </row>
    <row r="815" spans="1:25" ht="15" thickBot="1" x14ac:dyDescent="0.35">
      <c r="A815" s="5"/>
      <c r="B815" s="5"/>
      <c r="C815" s="5"/>
      <c r="D815" s="5"/>
      <c r="E815" s="5"/>
      <c r="F815" s="5"/>
      <c r="G815" s="5"/>
      <c r="H815" s="25"/>
      <c r="I815" s="21"/>
      <c r="J815" s="18"/>
      <c r="K815" s="5"/>
      <c r="L815" s="5"/>
      <c r="M815" s="5"/>
      <c r="N815" s="5"/>
      <c r="O815" s="5"/>
      <c r="P815" s="5"/>
      <c r="Q815" s="5"/>
      <c r="R815" s="5"/>
      <c r="S815" s="5"/>
      <c r="T815" s="5"/>
      <c r="U815" s="5"/>
      <c r="V815" s="5"/>
      <c r="W815" s="5"/>
      <c r="X815" s="5"/>
      <c r="Y815" s="5"/>
    </row>
    <row r="816" spans="1:25" ht="15" thickBot="1" x14ac:dyDescent="0.35">
      <c r="A816" s="5"/>
      <c r="B816" s="5"/>
      <c r="C816" s="5"/>
      <c r="D816" s="5"/>
      <c r="E816" s="5"/>
      <c r="F816" s="5"/>
      <c r="G816" s="5"/>
      <c r="H816" s="25"/>
      <c r="I816" s="21"/>
      <c r="J816" s="18"/>
      <c r="K816" s="5"/>
      <c r="L816" s="5"/>
      <c r="M816" s="5"/>
      <c r="N816" s="5"/>
      <c r="O816" s="5"/>
      <c r="P816" s="5"/>
      <c r="Q816" s="5"/>
      <c r="R816" s="5"/>
      <c r="S816" s="5"/>
      <c r="T816" s="5"/>
      <c r="U816" s="5"/>
      <c r="V816" s="5"/>
      <c r="W816" s="5"/>
      <c r="X816" s="5"/>
      <c r="Y816" s="5"/>
    </row>
    <row r="817" spans="1:25" ht="15" thickBot="1" x14ac:dyDescent="0.35">
      <c r="A817" s="5"/>
      <c r="B817" s="5"/>
      <c r="C817" s="5"/>
      <c r="D817" s="5"/>
      <c r="E817" s="5"/>
      <c r="F817" s="5"/>
      <c r="G817" s="5"/>
      <c r="H817" s="25"/>
      <c r="I817" s="21"/>
      <c r="J817" s="18"/>
      <c r="K817" s="5"/>
      <c r="L817" s="5"/>
      <c r="M817" s="5"/>
      <c r="N817" s="5"/>
      <c r="O817" s="5"/>
      <c r="P817" s="5"/>
      <c r="Q817" s="5"/>
      <c r="R817" s="5"/>
      <c r="S817" s="5"/>
      <c r="T817" s="5"/>
      <c r="U817" s="5"/>
      <c r="V817" s="5"/>
      <c r="W817" s="5"/>
      <c r="X817" s="5"/>
      <c r="Y817" s="5"/>
    </row>
    <row r="818" spans="1:25" ht="15" thickBot="1" x14ac:dyDescent="0.35">
      <c r="A818" s="5"/>
      <c r="B818" s="5"/>
      <c r="C818" s="5"/>
      <c r="D818" s="5"/>
      <c r="E818" s="5"/>
      <c r="F818" s="5"/>
      <c r="G818" s="5"/>
      <c r="H818" s="25"/>
      <c r="I818" s="21"/>
      <c r="J818" s="18"/>
      <c r="K818" s="5"/>
      <c r="L818" s="5"/>
      <c r="M818" s="5"/>
      <c r="N818" s="5"/>
      <c r="O818" s="5"/>
      <c r="P818" s="5"/>
      <c r="Q818" s="5"/>
      <c r="R818" s="5"/>
      <c r="S818" s="5"/>
      <c r="T818" s="5"/>
      <c r="U818" s="5"/>
      <c r="V818" s="5"/>
      <c r="W818" s="5"/>
      <c r="X818" s="5"/>
      <c r="Y818" s="5"/>
    </row>
    <row r="819" spans="1:25" ht="15" thickBot="1" x14ac:dyDescent="0.35">
      <c r="A819" s="5"/>
      <c r="B819" s="5"/>
      <c r="C819" s="5"/>
      <c r="D819" s="5"/>
      <c r="E819" s="5"/>
      <c r="F819" s="5"/>
      <c r="G819" s="5"/>
      <c r="H819" s="25"/>
      <c r="I819" s="21"/>
      <c r="J819" s="18"/>
      <c r="K819" s="5"/>
      <c r="L819" s="5"/>
      <c r="M819" s="5"/>
      <c r="N819" s="5"/>
      <c r="O819" s="5"/>
      <c r="P819" s="5"/>
      <c r="Q819" s="5"/>
      <c r="R819" s="5"/>
      <c r="S819" s="5"/>
      <c r="T819" s="5"/>
      <c r="U819" s="5"/>
      <c r="V819" s="5"/>
      <c r="W819" s="5"/>
      <c r="X819" s="5"/>
      <c r="Y819" s="5"/>
    </row>
    <row r="820" spans="1:25" ht="15" thickBot="1" x14ac:dyDescent="0.35">
      <c r="A820" s="5"/>
      <c r="B820" s="5"/>
      <c r="C820" s="5"/>
      <c r="D820" s="5"/>
      <c r="E820" s="5"/>
      <c r="F820" s="5"/>
      <c r="G820" s="5"/>
      <c r="H820" s="25"/>
      <c r="I820" s="21"/>
      <c r="J820" s="18"/>
      <c r="K820" s="5"/>
      <c r="L820" s="5"/>
      <c r="M820" s="5"/>
      <c r="N820" s="5"/>
      <c r="O820" s="5"/>
      <c r="P820" s="5"/>
      <c r="Q820" s="5"/>
      <c r="R820" s="5"/>
      <c r="S820" s="5"/>
      <c r="T820" s="5"/>
      <c r="U820" s="5"/>
      <c r="V820" s="5"/>
      <c r="W820" s="5"/>
      <c r="X820" s="5"/>
      <c r="Y820" s="5"/>
    </row>
    <row r="821" spans="1:25" ht="15" thickBot="1" x14ac:dyDescent="0.35">
      <c r="A821" s="5"/>
      <c r="B821" s="5"/>
      <c r="C821" s="5"/>
      <c r="D821" s="5"/>
      <c r="E821" s="5"/>
      <c r="F821" s="5"/>
      <c r="G821" s="5"/>
      <c r="H821" s="25"/>
      <c r="I821" s="21"/>
      <c r="J821" s="18"/>
      <c r="K821" s="5"/>
      <c r="L821" s="5"/>
      <c r="M821" s="5"/>
      <c r="N821" s="5"/>
      <c r="O821" s="5"/>
      <c r="P821" s="5"/>
      <c r="Q821" s="5"/>
      <c r="R821" s="5"/>
      <c r="S821" s="5"/>
      <c r="T821" s="5"/>
      <c r="U821" s="5"/>
      <c r="V821" s="5"/>
      <c r="W821" s="5"/>
      <c r="X821" s="5"/>
      <c r="Y821" s="5"/>
    </row>
    <row r="822" spans="1:25" ht="15" thickBot="1" x14ac:dyDescent="0.35">
      <c r="A822" s="5"/>
      <c r="B822" s="5"/>
      <c r="C822" s="5"/>
      <c r="D822" s="5"/>
      <c r="E822" s="5"/>
      <c r="F822" s="5"/>
      <c r="G822" s="5"/>
      <c r="H822" s="25"/>
      <c r="I822" s="21"/>
      <c r="J822" s="18"/>
      <c r="K822" s="5"/>
      <c r="L822" s="5"/>
      <c r="M822" s="5"/>
      <c r="N822" s="5"/>
      <c r="O822" s="5"/>
      <c r="P822" s="5"/>
      <c r="Q822" s="5"/>
      <c r="R822" s="5"/>
      <c r="S822" s="5"/>
      <c r="T822" s="5"/>
      <c r="U822" s="5"/>
      <c r="V822" s="5"/>
      <c r="W822" s="5"/>
      <c r="X822" s="5"/>
      <c r="Y822" s="5"/>
    </row>
    <row r="823" spans="1:25" ht="15" thickBot="1" x14ac:dyDescent="0.35">
      <c r="A823" s="5"/>
      <c r="B823" s="5"/>
      <c r="C823" s="5"/>
      <c r="D823" s="5"/>
      <c r="E823" s="5"/>
      <c r="F823" s="5"/>
      <c r="G823" s="5"/>
      <c r="H823" s="25"/>
      <c r="I823" s="21"/>
      <c r="J823" s="18"/>
      <c r="K823" s="5"/>
      <c r="L823" s="5"/>
      <c r="M823" s="5"/>
      <c r="N823" s="5"/>
      <c r="O823" s="5"/>
      <c r="P823" s="5"/>
      <c r="Q823" s="5"/>
      <c r="R823" s="5"/>
      <c r="S823" s="5"/>
      <c r="T823" s="5"/>
      <c r="U823" s="5"/>
      <c r="V823" s="5"/>
      <c r="W823" s="5"/>
      <c r="X823" s="5"/>
      <c r="Y823" s="5"/>
    </row>
    <row r="824" spans="1:25" ht="15" thickBot="1" x14ac:dyDescent="0.35">
      <c r="A824" s="5"/>
      <c r="B824" s="5"/>
      <c r="C824" s="5"/>
      <c r="D824" s="5"/>
      <c r="E824" s="5"/>
      <c r="F824" s="5"/>
      <c r="G824" s="5"/>
      <c r="H824" s="25"/>
      <c r="I824" s="21"/>
      <c r="J824" s="18"/>
      <c r="K824" s="5"/>
      <c r="L824" s="5"/>
      <c r="M824" s="5"/>
      <c r="N824" s="5"/>
      <c r="O824" s="5"/>
      <c r="P824" s="5"/>
      <c r="Q824" s="5"/>
      <c r="R824" s="5"/>
      <c r="S824" s="5"/>
      <c r="T824" s="5"/>
      <c r="U824" s="5"/>
      <c r="V824" s="5"/>
      <c r="W824" s="5"/>
      <c r="X824" s="5"/>
      <c r="Y824" s="5"/>
    </row>
    <row r="825" spans="1:25" ht="15" thickBot="1" x14ac:dyDescent="0.35">
      <c r="A825" s="5"/>
      <c r="B825" s="5"/>
      <c r="C825" s="5"/>
      <c r="D825" s="5"/>
      <c r="E825" s="5"/>
      <c r="F825" s="5"/>
      <c r="G825" s="5"/>
      <c r="H825" s="25"/>
      <c r="I825" s="21"/>
      <c r="J825" s="18"/>
      <c r="K825" s="5"/>
      <c r="L825" s="5"/>
      <c r="M825" s="5"/>
      <c r="N825" s="5"/>
      <c r="O825" s="5"/>
      <c r="P825" s="5"/>
      <c r="Q825" s="5"/>
      <c r="R825" s="5"/>
      <c r="S825" s="5"/>
      <c r="T825" s="5"/>
      <c r="U825" s="5"/>
      <c r="V825" s="5"/>
      <c r="W825" s="5"/>
      <c r="X825" s="5"/>
      <c r="Y825" s="5"/>
    </row>
    <row r="826" spans="1:25" ht="15" thickBot="1" x14ac:dyDescent="0.35">
      <c r="A826" s="5"/>
      <c r="B826" s="5"/>
      <c r="C826" s="5"/>
      <c r="D826" s="5"/>
      <c r="E826" s="5"/>
      <c r="F826" s="5"/>
      <c r="G826" s="5"/>
      <c r="H826" s="25"/>
      <c r="I826" s="21"/>
      <c r="J826" s="18"/>
      <c r="K826" s="5"/>
      <c r="L826" s="5"/>
      <c r="M826" s="5"/>
      <c r="N826" s="5"/>
      <c r="O826" s="5"/>
      <c r="P826" s="5"/>
      <c r="Q826" s="5"/>
      <c r="R826" s="5"/>
      <c r="S826" s="5"/>
      <c r="T826" s="5"/>
      <c r="U826" s="5"/>
      <c r="V826" s="5"/>
      <c r="W826" s="5"/>
      <c r="X826" s="5"/>
      <c r="Y826" s="5"/>
    </row>
    <row r="827" spans="1:25" ht="15" thickBot="1" x14ac:dyDescent="0.35">
      <c r="A827" s="5"/>
      <c r="B827" s="5"/>
      <c r="C827" s="5"/>
      <c r="D827" s="5"/>
      <c r="E827" s="5"/>
      <c r="F827" s="5"/>
      <c r="G827" s="5"/>
      <c r="H827" s="25"/>
      <c r="I827" s="21"/>
      <c r="J827" s="18"/>
      <c r="K827" s="5"/>
      <c r="L827" s="5"/>
      <c r="M827" s="5"/>
      <c r="N827" s="5"/>
      <c r="O827" s="5"/>
      <c r="P827" s="5"/>
      <c r="Q827" s="5"/>
      <c r="R827" s="5"/>
      <c r="S827" s="5"/>
      <c r="T827" s="5"/>
      <c r="U827" s="5"/>
      <c r="V827" s="5"/>
      <c r="W827" s="5"/>
      <c r="X827" s="5"/>
      <c r="Y827" s="5"/>
    </row>
    <row r="828" spans="1:25" ht="15" thickBot="1" x14ac:dyDescent="0.35">
      <c r="A828" s="5"/>
      <c r="B828" s="5"/>
      <c r="C828" s="5"/>
      <c r="D828" s="5"/>
      <c r="E828" s="5"/>
      <c r="F828" s="5"/>
      <c r="G828" s="5"/>
      <c r="H828" s="25"/>
      <c r="I828" s="21"/>
      <c r="J828" s="18"/>
      <c r="K828" s="5"/>
      <c r="L828" s="5"/>
      <c r="M828" s="5"/>
      <c r="N828" s="5"/>
      <c r="O828" s="5"/>
      <c r="P828" s="5"/>
      <c r="Q828" s="5"/>
      <c r="R828" s="5"/>
      <c r="S828" s="5"/>
      <c r="T828" s="5"/>
      <c r="U828" s="5"/>
      <c r="V828" s="5"/>
      <c r="W828" s="5"/>
      <c r="X828" s="5"/>
      <c r="Y828" s="5"/>
    </row>
    <row r="829" spans="1:25" ht="15" thickBot="1" x14ac:dyDescent="0.35">
      <c r="A829" s="5"/>
      <c r="B829" s="5"/>
      <c r="C829" s="5"/>
      <c r="D829" s="5"/>
      <c r="E829" s="5"/>
      <c r="F829" s="5"/>
      <c r="G829" s="5"/>
      <c r="H829" s="25"/>
      <c r="I829" s="21"/>
      <c r="J829" s="18"/>
      <c r="K829" s="5"/>
      <c r="L829" s="5"/>
      <c r="M829" s="5"/>
      <c r="N829" s="5"/>
      <c r="O829" s="5"/>
      <c r="P829" s="5"/>
      <c r="Q829" s="5"/>
      <c r="R829" s="5"/>
      <c r="S829" s="5"/>
      <c r="T829" s="5"/>
      <c r="U829" s="5"/>
      <c r="V829" s="5"/>
      <c r="W829" s="5"/>
      <c r="X829" s="5"/>
      <c r="Y829" s="5"/>
    </row>
    <row r="830" spans="1:25" ht="15" thickBot="1" x14ac:dyDescent="0.35">
      <c r="A830" s="5"/>
      <c r="B830" s="5"/>
      <c r="C830" s="5"/>
      <c r="D830" s="5"/>
      <c r="E830" s="5"/>
      <c r="F830" s="5"/>
      <c r="G830" s="5"/>
      <c r="H830" s="25"/>
      <c r="I830" s="21"/>
      <c r="J830" s="18"/>
      <c r="K830" s="5"/>
      <c r="L830" s="5"/>
      <c r="M830" s="5"/>
      <c r="N830" s="5"/>
      <c r="O830" s="5"/>
      <c r="P830" s="5"/>
      <c r="Q830" s="5"/>
      <c r="R830" s="5"/>
      <c r="S830" s="5"/>
      <c r="T830" s="5"/>
      <c r="U830" s="5"/>
      <c r="V830" s="5"/>
      <c r="W830" s="5"/>
      <c r="X830" s="5"/>
      <c r="Y830" s="5"/>
    </row>
    <row r="831" spans="1:25" ht="15" thickBot="1" x14ac:dyDescent="0.35">
      <c r="A831" s="5"/>
      <c r="B831" s="5"/>
      <c r="C831" s="5"/>
      <c r="D831" s="5"/>
      <c r="E831" s="5"/>
      <c r="F831" s="5"/>
      <c r="G831" s="5"/>
      <c r="H831" s="25"/>
      <c r="I831" s="21"/>
      <c r="J831" s="18"/>
      <c r="K831" s="5"/>
      <c r="L831" s="5"/>
      <c r="M831" s="5"/>
      <c r="N831" s="5"/>
      <c r="O831" s="5"/>
      <c r="P831" s="5"/>
      <c r="Q831" s="5"/>
      <c r="R831" s="5"/>
      <c r="S831" s="5"/>
      <c r="T831" s="5"/>
      <c r="U831" s="5"/>
      <c r="V831" s="5"/>
      <c r="W831" s="5"/>
      <c r="X831" s="5"/>
      <c r="Y831" s="5"/>
    </row>
    <row r="832" spans="1:25" ht="15" thickBot="1" x14ac:dyDescent="0.35">
      <c r="A832" s="5"/>
      <c r="B832" s="5"/>
      <c r="C832" s="5"/>
      <c r="D832" s="5"/>
      <c r="E832" s="5"/>
      <c r="F832" s="5"/>
      <c r="G832" s="5"/>
      <c r="H832" s="25"/>
      <c r="I832" s="21"/>
      <c r="J832" s="18"/>
      <c r="K832" s="5"/>
      <c r="L832" s="5"/>
      <c r="M832" s="5"/>
      <c r="N832" s="5"/>
      <c r="O832" s="5"/>
      <c r="P832" s="5"/>
      <c r="Q832" s="5"/>
      <c r="R832" s="5"/>
      <c r="S832" s="5"/>
      <c r="T832" s="5"/>
      <c r="U832" s="5"/>
      <c r="V832" s="5"/>
      <c r="W832" s="5"/>
      <c r="X832" s="5"/>
      <c r="Y832" s="5"/>
    </row>
    <row r="833" spans="1:25" ht="15" thickBot="1" x14ac:dyDescent="0.35">
      <c r="A833" s="5"/>
      <c r="B833" s="5"/>
      <c r="C833" s="5"/>
      <c r="D833" s="5"/>
      <c r="E833" s="5"/>
      <c r="F833" s="5"/>
      <c r="G833" s="5"/>
      <c r="H833" s="25"/>
      <c r="I833" s="21"/>
      <c r="J833" s="18"/>
      <c r="K833" s="5"/>
      <c r="L833" s="5"/>
      <c r="M833" s="5"/>
      <c r="N833" s="5"/>
      <c r="O833" s="5"/>
      <c r="P833" s="5"/>
      <c r="Q833" s="5"/>
      <c r="R833" s="5"/>
      <c r="S833" s="5"/>
      <c r="T833" s="5"/>
      <c r="U833" s="5"/>
      <c r="V833" s="5"/>
      <c r="W833" s="5"/>
      <c r="X833" s="5"/>
      <c r="Y833" s="5"/>
    </row>
    <row r="834" spans="1:25" ht="15" thickBot="1" x14ac:dyDescent="0.35">
      <c r="A834" s="5"/>
      <c r="B834" s="5"/>
      <c r="C834" s="5"/>
      <c r="D834" s="5"/>
      <c r="E834" s="5"/>
      <c r="F834" s="5"/>
      <c r="G834" s="5"/>
      <c r="H834" s="25"/>
      <c r="I834" s="21"/>
      <c r="J834" s="18"/>
      <c r="K834" s="5"/>
      <c r="L834" s="5"/>
      <c r="M834" s="5"/>
      <c r="N834" s="5"/>
      <c r="O834" s="5"/>
      <c r="P834" s="5"/>
      <c r="Q834" s="5"/>
      <c r="R834" s="5"/>
      <c r="S834" s="5"/>
      <c r="T834" s="5"/>
      <c r="U834" s="5"/>
      <c r="V834" s="5"/>
      <c r="W834" s="5"/>
      <c r="X834" s="5"/>
      <c r="Y834" s="5"/>
    </row>
    <row r="835" spans="1:25" ht="15" thickBot="1" x14ac:dyDescent="0.35">
      <c r="A835" s="5"/>
      <c r="B835" s="5"/>
      <c r="C835" s="5"/>
      <c r="D835" s="5"/>
      <c r="E835" s="5"/>
      <c r="F835" s="5"/>
      <c r="G835" s="5"/>
      <c r="H835" s="25"/>
      <c r="I835" s="21"/>
      <c r="J835" s="18"/>
      <c r="K835" s="5"/>
      <c r="L835" s="5"/>
      <c r="M835" s="5"/>
      <c r="N835" s="5"/>
      <c r="O835" s="5"/>
      <c r="P835" s="5"/>
      <c r="Q835" s="5"/>
      <c r="R835" s="5"/>
      <c r="S835" s="5"/>
      <c r="T835" s="5"/>
      <c r="U835" s="5"/>
      <c r="V835" s="5"/>
      <c r="W835" s="5"/>
      <c r="X835" s="5"/>
      <c r="Y835" s="5"/>
    </row>
    <row r="836" spans="1:25" ht="15" thickBot="1" x14ac:dyDescent="0.35">
      <c r="A836" s="5"/>
      <c r="B836" s="5"/>
      <c r="C836" s="5"/>
      <c r="D836" s="5"/>
      <c r="E836" s="5"/>
      <c r="F836" s="5"/>
      <c r="G836" s="5"/>
      <c r="H836" s="25"/>
      <c r="I836" s="21"/>
      <c r="J836" s="18"/>
      <c r="K836" s="5"/>
      <c r="L836" s="5"/>
      <c r="M836" s="5"/>
      <c r="N836" s="5"/>
      <c r="O836" s="5"/>
      <c r="P836" s="5"/>
      <c r="Q836" s="5"/>
      <c r="R836" s="5"/>
      <c r="S836" s="5"/>
      <c r="T836" s="5"/>
      <c r="U836" s="5"/>
      <c r="V836" s="5"/>
      <c r="W836" s="5"/>
      <c r="X836" s="5"/>
      <c r="Y836" s="5"/>
    </row>
    <row r="837" spans="1:25" ht="15" thickBot="1" x14ac:dyDescent="0.35">
      <c r="A837" s="5"/>
      <c r="B837" s="5"/>
      <c r="C837" s="5"/>
      <c r="D837" s="5"/>
      <c r="E837" s="5"/>
      <c r="F837" s="5"/>
      <c r="G837" s="5"/>
      <c r="H837" s="25"/>
      <c r="I837" s="21"/>
      <c r="J837" s="18"/>
      <c r="K837" s="5"/>
      <c r="L837" s="5"/>
      <c r="M837" s="5"/>
      <c r="N837" s="5"/>
      <c r="O837" s="5"/>
      <c r="P837" s="5"/>
      <c r="Q837" s="5"/>
      <c r="R837" s="5"/>
      <c r="S837" s="5"/>
      <c r="T837" s="5"/>
      <c r="U837" s="5"/>
      <c r="V837" s="5"/>
      <c r="W837" s="5"/>
      <c r="X837" s="5"/>
      <c r="Y837" s="5"/>
    </row>
    <row r="838" spans="1:25" ht="15" thickBot="1" x14ac:dyDescent="0.35">
      <c r="A838" s="5"/>
      <c r="B838" s="5"/>
      <c r="C838" s="5"/>
      <c r="D838" s="5"/>
      <c r="E838" s="5"/>
      <c r="F838" s="5"/>
      <c r="G838" s="5"/>
      <c r="H838" s="25"/>
      <c r="I838" s="21"/>
      <c r="J838" s="18"/>
      <c r="K838" s="5"/>
      <c r="L838" s="5"/>
      <c r="M838" s="5"/>
      <c r="N838" s="5"/>
      <c r="O838" s="5"/>
      <c r="P838" s="5"/>
      <c r="Q838" s="5"/>
      <c r="R838" s="5"/>
      <c r="S838" s="5"/>
      <c r="T838" s="5"/>
      <c r="U838" s="5"/>
      <c r="V838" s="5"/>
      <c r="W838" s="5"/>
      <c r="X838" s="5"/>
      <c r="Y838" s="5"/>
    </row>
    <row r="839" spans="1:25" ht="15" thickBot="1" x14ac:dyDescent="0.35">
      <c r="A839" s="5"/>
      <c r="B839" s="5"/>
      <c r="C839" s="5"/>
      <c r="D839" s="5"/>
      <c r="E839" s="5"/>
      <c r="F839" s="5"/>
      <c r="G839" s="5"/>
      <c r="H839" s="25"/>
      <c r="I839" s="21"/>
      <c r="J839" s="18"/>
      <c r="K839" s="5"/>
      <c r="L839" s="5"/>
      <c r="M839" s="5"/>
      <c r="N839" s="5"/>
      <c r="O839" s="5"/>
      <c r="P839" s="5"/>
      <c r="Q839" s="5"/>
      <c r="R839" s="5"/>
      <c r="S839" s="5"/>
      <c r="T839" s="5"/>
      <c r="U839" s="5"/>
      <c r="V839" s="5"/>
      <c r="W839" s="5"/>
      <c r="X839" s="5"/>
      <c r="Y839" s="5"/>
    </row>
    <row r="840" spans="1:25" ht="15" thickBot="1" x14ac:dyDescent="0.35">
      <c r="A840" s="5"/>
      <c r="B840" s="5"/>
      <c r="C840" s="5"/>
      <c r="D840" s="5"/>
      <c r="E840" s="5"/>
      <c r="F840" s="5"/>
      <c r="G840" s="5"/>
      <c r="H840" s="25"/>
      <c r="I840" s="21"/>
      <c r="J840" s="18"/>
      <c r="K840" s="5"/>
      <c r="L840" s="5"/>
      <c r="M840" s="5"/>
      <c r="N840" s="5"/>
      <c r="O840" s="5"/>
      <c r="P840" s="5"/>
      <c r="Q840" s="5"/>
      <c r="R840" s="5"/>
      <c r="S840" s="5"/>
      <c r="T840" s="5"/>
      <c r="U840" s="5"/>
      <c r="V840" s="5"/>
      <c r="W840" s="5"/>
      <c r="X840" s="5"/>
      <c r="Y840" s="5"/>
    </row>
    <row r="841" spans="1:25" ht="15" thickBot="1" x14ac:dyDescent="0.35">
      <c r="A841" s="5"/>
      <c r="B841" s="5"/>
      <c r="C841" s="5"/>
      <c r="D841" s="5"/>
      <c r="E841" s="5"/>
      <c r="F841" s="5"/>
      <c r="G841" s="5"/>
      <c r="H841" s="25"/>
      <c r="I841" s="21"/>
      <c r="J841" s="18"/>
      <c r="K841" s="5"/>
      <c r="L841" s="5"/>
      <c r="M841" s="5"/>
      <c r="N841" s="5"/>
      <c r="O841" s="5"/>
      <c r="P841" s="5"/>
      <c r="Q841" s="5"/>
      <c r="R841" s="5"/>
      <c r="S841" s="5"/>
      <c r="T841" s="5"/>
      <c r="U841" s="5"/>
      <c r="V841" s="5"/>
      <c r="W841" s="5"/>
      <c r="X841" s="5"/>
      <c r="Y841" s="5"/>
    </row>
    <row r="842" spans="1:25" ht="15" thickBot="1" x14ac:dyDescent="0.35">
      <c r="A842" s="5"/>
      <c r="B842" s="5"/>
      <c r="C842" s="5"/>
      <c r="D842" s="5"/>
      <c r="E842" s="5"/>
      <c r="F842" s="5"/>
      <c r="G842" s="5"/>
      <c r="H842" s="25"/>
      <c r="I842" s="21"/>
      <c r="J842" s="18"/>
      <c r="K842" s="5"/>
      <c r="L842" s="5"/>
      <c r="M842" s="5"/>
      <c r="N842" s="5"/>
      <c r="O842" s="5"/>
      <c r="P842" s="5"/>
      <c r="Q842" s="5"/>
      <c r="R842" s="5"/>
      <c r="S842" s="5"/>
      <c r="T842" s="5"/>
      <c r="U842" s="5"/>
      <c r="V842" s="5"/>
      <c r="W842" s="5"/>
      <c r="X842" s="5"/>
      <c r="Y842" s="5"/>
    </row>
    <row r="843" spans="1:25" ht="15" thickBot="1" x14ac:dyDescent="0.35">
      <c r="A843" s="5"/>
      <c r="B843" s="5"/>
      <c r="C843" s="5"/>
      <c r="D843" s="5"/>
      <c r="E843" s="5"/>
      <c r="F843" s="5"/>
      <c r="G843" s="5"/>
      <c r="H843" s="25"/>
      <c r="I843" s="21"/>
      <c r="J843" s="18"/>
      <c r="K843" s="5"/>
      <c r="L843" s="5"/>
      <c r="M843" s="5"/>
      <c r="N843" s="5"/>
      <c r="O843" s="5"/>
      <c r="P843" s="5"/>
      <c r="Q843" s="5"/>
      <c r="R843" s="5"/>
      <c r="S843" s="5"/>
      <c r="T843" s="5"/>
      <c r="U843" s="5"/>
      <c r="V843" s="5"/>
      <c r="W843" s="5"/>
      <c r="X843" s="5"/>
      <c r="Y843" s="5"/>
    </row>
    <row r="844" spans="1:25" ht="15" thickBot="1" x14ac:dyDescent="0.35">
      <c r="A844" s="5"/>
      <c r="B844" s="5"/>
      <c r="C844" s="5"/>
      <c r="D844" s="5"/>
      <c r="E844" s="5"/>
      <c r="F844" s="5"/>
      <c r="G844" s="5"/>
      <c r="H844" s="25"/>
      <c r="I844" s="21"/>
      <c r="J844" s="18"/>
      <c r="K844" s="5"/>
      <c r="L844" s="5"/>
      <c r="M844" s="5"/>
      <c r="N844" s="5"/>
      <c r="O844" s="5"/>
      <c r="P844" s="5"/>
      <c r="Q844" s="5"/>
      <c r="R844" s="5"/>
      <c r="S844" s="5"/>
      <c r="T844" s="5"/>
      <c r="U844" s="5"/>
      <c r="V844" s="5"/>
      <c r="W844" s="5"/>
      <c r="X844" s="5"/>
      <c r="Y844" s="5"/>
    </row>
    <row r="845" spans="1:25" ht="15" thickBot="1" x14ac:dyDescent="0.35">
      <c r="A845" s="5"/>
      <c r="B845" s="5"/>
      <c r="C845" s="5"/>
      <c r="D845" s="5"/>
      <c r="E845" s="5"/>
      <c r="F845" s="5"/>
      <c r="G845" s="5"/>
      <c r="H845" s="25"/>
      <c r="I845" s="21"/>
      <c r="J845" s="18"/>
      <c r="K845" s="5"/>
      <c r="L845" s="5"/>
      <c r="M845" s="5"/>
      <c r="N845" s="5"/>
      <c r="O845" s="5"/>
      <c r="P845" s="5"/>
      <c r="Q845" s="5"/>
      <c r="R845" s="5"/>
      <c r="S845" s="5"/>
      <c r="T845" s="5"/>
      <c r="U845" s="5"/>
      <c r="V845" s="5"/>
      <c r="W845" s="5"/>
      <c r="X845" s="5"/>
      <c r="Y845" s="5"/>
    </row>
    <row r="846" spans="1:25" ht="15" thickBot="1" x14ac:dyDescent="0.35">
      <c r="A846" s="5"/>
      <c r="B846" s="5"/>
      <c r="C846" s="5"/>
      <c r="D846" s="5"/>
      <c r="E846" s="5"/>
      <c r="F846" s="5"/>
      <c r="G846" s="5"/>
      <c r="H846" s="25"/>
      <c r="I846" s="21"/>
      <c r="J846" s="18"/>
      <c r="K846" s="5"/>
      <c r="L846" s="5"/>
      <c r="M846" s="5"/>
      <c r="N846" s="5"/>
      <c r="O846" s="5"/>
      <c r="P846" s="5"/>
      <c r="Q846" s="5"/>
      <c r="R846" s="5"/>
      <c r="S846" s="5"/>
      <c r="T846" s="5"/>
      <c r="U846" s="5"/>
      <c r="V846" s="5"/>
      <c r="W846" s="5"/>
      <c r="X846" s="5"/>
      <c r="Y846" s="5"/>
    </row>
    <row r="847" spans="1:25" ht="15" thickBot="1" x14ac:dyDescent="0.35">
      <c r="A847" s="5"/>
      <c r="B847" s="5"/>
      <c r="C847" s="5"/>
      <c r="D847" s="5"/>
      <c r="E847" s="5"/>
      <c r="F847" s="5"/>
      <c r="G847" s="5"/>
      <c r="H847" s="25"/>
      <c r="I847" s="21"/>
      <c r="J847" s="18"/>
      <c r="K847" s="5"/>
      <c r="L847" s="5"/>
      <c r="M847" s="5"/>
      <c r="N847" s="5"/>
      <c r="O847" s="5"/>
      <c r="P847" s="5"/>
      <c r="Q847" s="5"/>
      <c r="R847" s="5"/>
      <c r="S847" s="5"/>
      <c r="T847" s="5"/>
      <c r="U847" s="5"/>
      <c r="V847" s="5"/>
      <c r="W847" s="5"/>
      <c r="X847" s="5"/>
      <c r="Y847" s="5"/>
    </row>
    <row r="848" spans="1:25" ht="15" thickBot="1" x14ac:dyDescent="0.35">
      <c r="A848" s="5"/>
      <c r="B848" s="5"/>
      <c r="C848" s="5"/>
      <c r="D848" s="5"/>
      <c r="E848" s="5"/>
      <c r="F848" s="5"/>
      <c r="G848" s="5"/>
      <c r="H848" s="25"/>
      <c r="I848" s="21"/>
      <c r="J848" s="18"/>
      <c r="K848" s="5"/>
      <c r="L848" s="5"/>
      <c r="M848" s="5"/>
      <c r="N848" s="5"/>
      <c r="O848" s="5"/>
      <c r="P848" s="5"/>
      <c r="Q848" s="5"/>
      <c r="R848" s="5"/>
      <c r="S848" s="5"/>
      <c r="T848" s="5"/>
      <c r="U848" s="5"/>
      <c r="V848" s="5"/>
      <c r="W848" s="5"/>
      <c r="X848" s="5"/>
      <c r="Y848" s="5"/>
    </row>
    <row r="849" spans="1:25" ht="15" thickBot="1" x14ac:dyDescent="0.35">
      <c r="A849" s="5"/>
      <c r="B849" s="5"/>
      <c r="C849" s="5"/>
      <c r="D849" s="5"/>
      <c r="E849" s="5"/>
      <c r="F849" s="5"/>
      <c r="G849" s="5"/>
      <c r="H849" s="25"/>
      <c r="I849" s="21"/>
      <c r="J849" s="18"/>
      <c r="K849" s="5"/>
      <c r="L849" s="5"/>
      <c r="M849" s="5"/>
      <c r="N849" s="5"/>
      <c r="O849" s="5"/>
      <c r="P849" s="5"/>
      <c r="Q849" s="5"/>
      <c r="R849" s="5"/>
      <c r="S849" s="5"/>
      <c r="T849" s="5"/>
      <c r="U849" s="5"/>
      <c r="V849" s="5"/>
      <c r="W849" s="5"/>
      <c r="X849" s="5"/>
      <c r="Y849" s="5"/>
    </row>
    <row r="850" spans="1:25" ht="15" thickBot="1" x14ac:dyDescent="0.35">
      <c r="A850" s="5"/>
      <c r="B850" s="5"/>
      <c r="C850" s="5"/>
      <c r="D850" s="5"/>
      <c r="E850" s="5"/>
      <c r="F850" s="5"/>
      <c r="G850" s="5"/>
      <c r="H850" s="25"/>
      <c r="I850" s="21"/>
      <c r="J850" s="18"/>
      <c r="K850" s="5"/>
      <c r="L850" s="5"/>
      <c r="M850" s="5"/>
      <c r="N850" s="5"/>
      <c r="O850" s="5"/>
      <c r="P850" s="5"/>
      <c r="Q850" s="5"/>
      <c r="R850" s="5"/>
      <c r="S850" s="5"/>
      <c r="T850" s="5"/>
      <c r="U850" s="5"/>
      <c r="V850" s="5"/>
      <c r="W850" s="5"/>
      <c r="X850" s="5"/>
      <c r="Y850" s="5"/>
    </row>
    <row r="851" spans="1:25" ht="15" thickBot="1" x14ac:dyDescent="0.35">
      <c r="A851" s="5"/>
      <c r="B851" s="5"/>
      <c r="C851" s="5"/>
      <c r="D851" s="5"/>
      <c r="E851" s="5"/>
      <c r="F851" s="5"/>
      <c r="G851" s="5"/>
      <c r="H851" s="25"/>
      <c r="I851" s="21"/>
      <c r="J851" s="18"/>
      <c r="K851" s="5"/>
      <c r="L851" s="5"/>
      <c r="M851" s="5"/>
      <c r="N851" s="5"/>
      <c r="O851" s="5"/>
      <c r="P851" s="5"/>
      <c r="Q851" s="5"/>
      <c r="R851" s="5"/>
      <c r="S851" s="5"/>
      <c r="T851" s="5"/>
      <c r="U851" s="5"/>
      <c r="V851" s="5"/>
      <c r="W851" s="5"/>
      <c r="X851" s="5"/>
      <c r="Y851" s="5"/>
    </row>
    <row r="852" spans="1:25" ht="15" thickBot="1" x14ac:dyDescent="0.35">
      <c r="A852" s="5"/>
      <c r="B852" s="5"/>
      <c r="C852" s="5"/>
      <c r="D852" s="5"/>
      <c r="E852" s="5"/>
      <c r="F852" s="5"/>
      <c r="G852" s="5"/>
      <c r="H852" s="25"/>
      <c r="I852" s="21"/>
      <c r="J852" s="18"/>
      <c r="K852" s="5"/>
      <c r="L852" s="5"/>
      <c r="M852" s="5"/>
      <c r="N852" s="5"/>
      <c r="O852" s="5"/>
      <c r="P852" s="5"/>
      <c r="Q852" s="5"/>
      <c r="R852" s="5"/>
      <c r="S852" s="5"/>
      <c r="T852" s="5"/>
      <c r="U852" s="5"/>
      <c r="V852" s="5"/>
      <c r="W852" s="5"/>
      <c r="X852" s="5"/>
      <c r="Y852" s="5"/>
    </row>
    <row r="853" spans="1:25" ht="15" thickBot="1" x14ac:dyDescent="0.35">
      <c r="A853" s="5"/>
      <c r="B853" s="5"/>
      <c r="C853" s="5"/>
      <c r="D853" s="5"/>
      <c r="E853" s="5"/>
      <c r="F853" s="5"/>
      <c r="G853" s="5"/>
      <c r="H853" s="25"/>
      <c r="I853" s="21"/>
      <c r="J853" s="18"/>
      <c r="K853" s="5"/>
      <c r="L853" s="5"/>
      <c r="M853" s="5"/>
      <c r="N853" s="5"/>
      <c r="O853" s="5"/>
      <c r="P853" s="5"/>
      <c r="Q853" s="5"/>
      <c r="R853" s="5"/>
      <c r="S853" s="5"/>
      <c r="T853" s="5"/>
      <c r="U853" s="5"/>
      <c r="V853" s="5"/>
      <c r="W853" s="5"/>
      <c r="X853" s="5"/>
      <c r="Y853" s="5"/>
    </row>
    <row r="854" spans="1:25" ht="15" thickBot="1" x14ac:dyDescent="0.35">
      <c r="A854" s="5"/>
      <c r="B854" s="5"/>
      <c r="C854" s="5"/>
      <c r="D854" s="5"/>
      <c r="E854" s="5"/>
      <c r="F854" s="5"/>
      <c r="G854" s="5"/>
      <c r="H854" s="25"/>
      <c r="I854" s="21"/>
      <c r="J854" s="18"/>
      <c r="K854" s="5"/>
      <c r="L854" s="5"/>
      <c r="M854" s="5"/>
      <c r="N854" s="5"/>
      <c r="O854" s="5"/>
      <c r="P854" s="5"/>
      <c r="Q854" s="5"/>
      <c r="R854" s="5"/>
      <c r="S854" s="5"/>
      <c r="T854" s="5"/>
      <c r="U854" s="5"/>
      <c r="V854" s="5"/>
      <c r="W854" s="5"/>
      <c r="X854" s="5"/>
      <c r="Y854" s="5"/>
    </row>
    <row r="855" spans="1:25" ht="15" thickBot="1" x14ac:dyDescent="0.35">
      <c r="A855" s="5"/>
      <c r="B855" s="5"/>
      <c r="C855" s="5"/>
      <c r="D855" s="5"/>
      <c r="E855" s="5"/>
      <c r="F855" s="5"/>
      <c r="G855" s="5"/>
      <c r="H855" s="25"/>
      <c r="I855" s="21"/>
      <c r="J855" s="18"/>
      <c r="K855" s="5"/>
      <c r="L855" s="5"/>
      <c r="M855" s="5"/>
      <c r="N855" s="5"/>
      <c r="O855" s="5"/>
      <c r="P855" s="5"/>
      <c r="Q855" s="5"/>
      <c r="R855" s="5"/>
      <c r="S855" s="5"/>
      <c r="T855" s="5"/>
      <c r="U855" s="5"/>
      <c r="V855" s="5"/>
      <c r="W855" s="5"/>
      <c r="X855" s="5"/>
      <c r="Y855" s="5"/>
    </row>
    <row r="856" spans="1:25" ht="15" thickBot="1" x14ac:dyDescent="0.35">
      <c r="A856" s="5"/>
      <c r="B856" s="5"/>
      <c r="C856" s="5"/>
      <c r="D856" s="5"/>
      <c r="E856" s="5"/>
      <c r="F856" s="5"/>
      <c r="G856" s="5"/>
      <c r="H856" s="25"/>
      <c r="I856" s="21"/>
      <c r="J856" s="18"/>
      <c r="K856" s="5"/>
      <c r="L856" s="5"/>
      <c r="M856" s="5"/>
      <c r="N856" s="5"/>
      <c r="O856" s="5"/>
      <c r="P856" s="5"/>
      <c r="Q856" s="5"/>
      <c r="R856" s="5"/>
      <c r="S856" s="5"/>
      <c r="T856" s="5"/>
      <c r="U856" s="5"/>
      <c r="V856" s="5"/>
      <c r="W856" s="5"/>
      <c r="X856" s="5"/>
      <c r="Y856" s="5"/>
    </row>
    <row r="857" spans="1:25" ht="15" thickBot="1" x14ac:dyDescent="0.35">
      <c r="A857" s="5"/>
      <c r="B857" s="5"/>
      <c r="C857" s="5"/>
      <c r="D857" s="5"/>
      <c r="E857" s="5"/>
      <c r="F857" s="5"/>
      <c r="G857" s="5"/>
      <c r="H857" s="25"/>
      <c r="I857" s="21"/>
      <c r="J857" s="18"/>
      <c r="K857" s="5"/>
      <c r="L857" s="5"/>
      <c r="M857" s="5"/>
      <c r="N857" s="5"/>
      <c r="O857" s="5"/>
      <c r="P857" s="5"/>
      <c r="Q857" s="5"/>
      <c r="R857" s="5"/>
      <c r="S857" s="5"/>
      <c r="T857" s="5"/>
      <c r="U857" s="5"/>
      <c r="V857" s="5"/>
      <c r="W857" s="5"/>
      <c r="X857" s="5"/>
      <c r="Y857" s="5"/>
    </row>
    <row r="858" spans="1:25" ht="15" thickBot="1" x14ac:dyDescent="0.35">
      <c r="A858" s="5"/>
      <c r="B858" s="5"/>
      <c r="C858" s="5"/>
      <c r="D858" s="5"/>
      <c r="E858" s="5"/>
      <c r="F858" s="5"/>
      <c r="G858" s="5"/>
      <c r="H858" s="25"/>
      <c r="I858" s="21"/>
      <c r="J858" s="18"/>
      <c r="K858" s="5"/>
      <c r="L858" s="5"/>
      <c r="M858" s="5"/>
      <c r="N858" s="5"/>
      <c r="O858" s="5"/>
      <c r="P858" s="5"/>
      <c r="Q858" s="5"/>
      <c r="R858" s="5"/>
      <c r="S858" s="5"/>
      <c r="T858" s="5"/>
      <c r="U858" s="5"/>
      <c r="V858" s="5"/>
      <c r="W858" s="5"/>
      <c r="X858" s="5"/>
      <c r="Y858" s="5"/>
    </row>
    <row r="859" spans="1:25" ht="15" thickBot="1" x14ac:dyDescent="0.35">
      <c r="A859" s="5"/>
      <c r="B859" s="5"/>
      <c r="C859" s="5"/>
      <c r="D859" s="5"/>
      <c r="E859" s="5"/>
      <c r="F859" s="5"/>
      <c r="G859" s="5"/>
      <c r="H859" s="25"/>
      <c r="I859" s="21"/>
      <c r="J859" s="18"/>
      <c r="K859" s="5"/>
      <c r="L859" s="5"/>
      <c r="M859" s="5"/>
      <c r="N859" s="5"/>
      <c r="O859" s="5"/>
      <c r="P859" s="5"/>
      <c r="Q859" s="5"/>
      <c r="R859" s="5"/>
      <c r="S859" s="5"/>
      <c r="T859" s="5"/>
      <c r="U859" s="5"/>
      <c r="V859" s="5"/>
      <c r="W859" s="5"/>
      <c r="X859" s="5"/>
      <c r="Y859" s="5"/>
    </row>
    <row r="860" spans="1:25" ht="15" thickBot="1" x14ac:dyDescent="0.35">
      <c r="A860" s="5"/>
      <c r="B860" s="5"/>
      <c r="C860" s="5"/>
      <c r="D860" s="5"/>
      <c r="E860" s="5"/>
      <c r="F860" s="5"/>
      <c r="G860" s="5"/>
      <c r="H860" s="25"/>
      <c r="I860" s="21"/>
      <c r="J860" s="18"/>
      <c r="K860" s="5"/>
      <c r="L860" s="5"/>
      <c r="M860" s="5"/>
      <c r="N860" s="5"/>
      <c r="O860" s="5"/>
      <c r="P860" s="5"/>
      <c r="Q860" s="5"/>
      <c r="R860" s="5"/>
      <c r="S860" s="5"/>
      <c r="T860" s="5"/>
      <c r="U860" s="5"/>
      <c r="V860" s="5"/>
      <c r="W860" s="5"/>
      <c r="X860" s="5"/>
      <c r="Y860" s="5"/>
    </row>
    <row r="861" spans="1:25" ht="15" thickBot="1" x14ac:dyDescent="0.35">
      <c r="A861" s="5"/>
      <c r="B861" s="5"/>
      <c r="C861" s="5"/>
      <c r="D861" s="5"/>
      <c r="E861" s="5"/>
      <c r="F861" s="5"/>
      <c r="G861" s="5"/>
      <c r="H861" s="25"/>
      <c r="I861" s="21"/>
      <c r="J861" s="18"/>
      <c r="K861" s="5"/>
      <c r="L861" s="5"/>
      <c r="M861" s="5"/>
      <c r="N861" s="5"/>
      <c r="O861" s="5"/>
      <c r="P861" s="5"/>
      <c r="Q861" s="5"/>
      <c r="R861" s="5"/>
      <c r="S861" s="5"/>
      <c r="T861" s="5"/>
      <c r="U861" s="5"/>
      <c r="V861" s="5"/>
      <c r="W861" s="5"/>
      <c r="X861" s="5"/>
      <c r="Y861" s="5"/>
    </row>
    <row r="862" spans="1:25" ht="15" thickBot="1" x14ac:dyDescent="0.35">
      <c r="A862" s="5"/>
      <c r="B862" s="5"/>
      <c r="C862" s="5"/>
      <c r="D862" s="5"/>
      <c r="E862" s="5"/>
      <c r="F862" s="5"/>
      <c r="G862" s="5"/>
      <c r="H862" s="25"/>
      <c r="I862" s="21"/>
      <c r="J862" s="18"/>
      <c r="K862" s="5"/>
      <c r="L862" s="5"/>
      <c r="M862" s="5"/>
      <c r="N862" s="5"/>
      <c r="O862" s="5"/>
      <c r="P862" s="5"/>
      <c r="Q862" s="5"/>
      <c r="R862" s="5"/>
      <c r="S862" s="5"/>
      <c r="T862" s="5"/>
      <c r="U862" s="5"/>
      <c r="V862" s="5"/>
      <c r="W862" s="5"/>
      <c r="X862" s="5"/>
      <c r="Y862" s="5"/>
    </row>
    <row r="863" spans="1:25" ht="15" thickBot="1" x14ac:dyDescent="0.35">
      <c r="A863" s="5"/>
      <c r="B863" s="5"/>
      <c r="C863" s="5"/>
      <c r="D863" s="5"/>
      <c r="E863" s="5"/>
      <c r="F863" s="5"/>
      <c r="G863" s="5"/>
      <c r="H863" s="25"/>
      <c r="I863" s="21"/>
      <c r="J863" s="18"/>
      <c r="K863" s="5"/>
      <c r="L863" s="5"/>
      <c r="M863" s="5"/>
      <c r="N863" s="5"/>
      <c r="O863" s="5"/>
      <c r="P863" s="5"/>
      <c r="Q863" s="5"/>
      <c r="R863" s="5"/>
      <c r="S863" s="5"/>
      <c r="T863" s="5"/>
      <c r="U863" s="5"/>
      <c r="V863" s="5"/>
      <c r="W863" s="5"/>
      <c r="X863" s="5"/>
      <c r="Y863" s="5"/>
    </row>
    <row r="864" spans="1:25" ht="15" thickBot="1" x14ac:dyDescent="0.35">
      <c r="A864" s="5"/>
      <c r="B864" s="5"/>
      <c r="C864" s="5"/>
      <c r="D864" s="5"/>
      <c r="E864" s="5"/>
      <c r="F864" s="5"/>
      <c r="G864" s="5"/>
      <c r="H864" s="25"/>
      <c r="I864" s="21"/>
      <c r="J864" s="18"/>
      <c r="K864" s="5"/>
      <c r="L864" s="5"/>
      <c r="M864" s="5"/>
      <c r="N864" s="5"/>
      <c r="O864" s="5"/>
      <c r="P864" s="5"/>
      <c r="Q864" s="5"/>
      <c r="R864" s="5"/>
      <c r="S864" s="5"/>
      <c r="T864" s="5"/>
      <c r="U864" s="5"/>
      <c r="V864" s="5"/>
      <c r="W864" s="5"/>
      <c r="X864" s="5"/>
      <c r="Y864" s="5"/>
    </row>
    <row r="865" spans="1:25" ht="15" thickBot="1" x14ac:dyDescent="0.35">
      <c r="A865" s="5"/>
      <c r="B865" s="5"/>
      <c r="C865" s="5"/>
      <c r="D865" s="5"/>
      <c r="E865" s="5"/>
      <c r="F865" s="5"/>
      <c r="G865" s="5"/>
      <c r="H865" s="25"/>
      <c r="I865" s="21"/>
      <c r="J865" s="18"/>
      <c r="K865" s="5"/>
      <c r="L865" s="5"/>
      <c r="M865" s="5"/>
      <c r="N865" s="5"/>
      <c r="O865" s="5"/>
      <c r="P865" s="5"/>
      <c r="Q865" s="5"/>
      <c r="R865" s="5"/>
      <c r="S865" s="5"/>
      <c r="T865" s="5"/>
      <c r="U865" s="5"/>
      <c r="V865" s="5"/>
      <c r="W865" s="5"/>
      <c r="X865" s="5"/>
      <c r="Y865" s="5"/>
    </row>
    <row r="866" spans="1:25" ht="15" thickBot="1" x14ac:dyDescent="0.35">
      <c r="A866" s="5"/>
      <c r="B866" s="5"/>
      <c r="C866" s="5"/>
      <c r="D866" s="5"/>
      <c r="E866" s="5"/>
      <c r="F866" s="5"/>
      <c r="G866" s="5"/>
      <c r="H866" s="25"/>
      <c r="I866" s="21"/>
      <c r="J866" s="18"/>
      <c r="K866" s="5"/>
      <c r="L866" s="5"/>
      <c r="M866" s="5"/>
      <c r="N866" s="5"/>
      <c r="O866" s="5"/>
      <c r="P866" s="5"/>
      <c r="Q866" s="5"/>
      <c r="R866" s="5"/>
      <c r="S866" s="5"/>
      <c r="T866" s="5"/>
      <c r="U866" s="5"/>
      <c r="V866" s="5"/>
      <c r="W866" s="5"/>
      <c r="X866" s="5"/>
      <c r="Y866" s="5"/>
    </row>
    <row r="867" spans="1:25" ht="15" thickBot="1" x14ac:dyDescent="0.35">
      <c r="A867" s="5"/>
      <c r="B867" s="5"/>
      <c r="C867" s="5"/>
      <c r="D867" s="5"/>
      <c r="E867" s="5"/>
      <c r="F867" s="5"/>
      <c r="G867" s="5"/>
      <c r="H867" s="25"/>
      <c r="I867" s="21"/>
      <c r="J867" s="18"/>
      <c r="K867" s="5"/>
      <c r="L867" s="5"/>
      <c r="M867" s="5"/>
      <c r="N867" s="5"/>
      <c r="O867" s="5"/>
      <c r="P867" s="5"/>
      <c r="Q867" s="5"/>
      <c r="R867" s="5"/>
      <c r="S867" s="5"/>
      <c r="T867" s="5"/>
      <c r="U867" s="5"/>
      <c r="V867" s="5"/>
      <c r="W867" s="5"/>
      <c r="X867" s="5"/>
      <c r="Y867" s="5"/>
    </row>
    <row r="868" spans="1:25" ht="15" thickBot="1" x14ac:dyDescent="0.35">
      <c r="A868" s="5"/>
      <c r="B868" s="5"/>
      <c r="C868" s="5"/>
      <c r="D868" s="5"/>
      <c r="E868" s="5"/>
      <c r="F868" s="5"/>
      <c r="G868" s="5"/>
      <c r="H868" s="25"/>
      <c r="I868" s="21"/>
      <c r="J868" s="18"/>
      <c r="K868" s="5"/>
      <c r="L868" s="5"/>
      <c r="M868" s="5"/>
      <c r="N868" s="5"/>
      <c r="O868" s="5"/>
      <c r="P868" s="5"/>
      <c r="Q868" s="5"/>
      <c r="R868" s="5"/>
      <c r="S868" s="5"/>
      <c r="T868" s="5"/>
      <c r="U868" s="5"/>
      <c r="V868" s="5"/>
      <c r="W868" s="5"/>
      <c r="X868" s="5"/>
      <c r="Y868" s="5"/>
    </row>
    <row r="869" spans="1:25" ht="15" thickBot="1" x14ac:dyDescent="0.35">
      <c r="A869" s="5"/>
      <c r="B869" s="5"/>
      <c r="C869" s="5"/>
      <c r="D869" s="5"/>
      <c r="E869" s="5"/>
      <c r="F869" s="5"/>
      <c r="G869" s="5"/>
      <c r="H869" s="25"/>
      <c r="I869" s="21"/>
      <c r="J869" s="18"/>
      <c r="K869" s="5"/>
      <c r="L869" s="5"/>
      <c r="M869" s="5"/>
      <c r="N869" s="5"/>
      <c r="O869" s="5"/>
      <c r="P869" s="5"/>
      <c r="Q869" s="5"/>
      <c r="R869" s="5"/>
      <c r="S869" s="5"/>
      <c r="T869" s="5"/>
      <c r="U869" s="5"/>
      <c r="V869" s="5"/>
      <c r="W869" s="5"/>
      <c r="X869" s="5"/>
      <c r="Y869" s="5"/>
    </row>
    <row r="870" spans="1:25" ht="15" thickBot="1" x14ac:dyDescent="0.35">
      <c r="A870" s="5"/>
      <c r="B870" s="5"/>
      <c r="C870" s="5"/>
      <c r="D870" s="5"/>
      <c r="E870" s="5"/>
      <c r="F870" s="5"/>
      <c r="G870" s="5"/>
      <c r="H870" s="25"/>
      <c r="I870" s="21"/>
      <c r="J870" s="18"/>
      <c r="K870" s="5"/>
      <c r="L870" s="5"/>
      <c r="M870" s="5"/>
      <c r="N870" s="5"/>
      <c r="O870" s="5"/>
      <c r="P870" s="5"/>
      <c r="Q870" s="5"/>
      <c r="R870" s="5"/>
      <c r="S870" s="5"/>
      <c r="T870" s="5"/>
      <c r="U870" s="5"/>
      <c r="V870" s="5"/>
      <c r="W870" s="5"/>
      <c r="X870" s="5"/>
      <c r="Y870" s="5"/>
    </row>
    <row r="871" spans="1:25" ht="15" thickBot="1" x14ac:dyDescent="0.35">
      <c r="A871" s="5"/>
      <c r="B871" s="5"/>
      <c r="C871" s="5"/>
      <c r="D871" s="5"/>
      <c r="E871" s="5"/>
      <c r="F871" s="5"/>
      <c r="G871" s="5"/>
      <c r="H871" s="25"/>
      <c r="I871" s="21"/>
      <c r="J871" s="18"/>
      <c r="K871" s="5"/>
      <c r="L871" s="5"/>
      <c r="M871" s="5"/>
      <c r="N871" s="5"/>
      <c r="O871" s="5"/>
      <c r="P871" s="5"/>
      <c r="Q871" s="5"/>
      <c r="R871" s="5"/>
      <c r="S871" s="5"/>
      <c r="T871" s="5"/>
      <c r="U871" s="5"/>
      <c r="V871" s="5"/>
      <c r="W871" s="5"/>
      <c r="X871" s="5"/>
      <c r="Y871" s="5"/>
    </row>
    <row r="872" spans="1:25" ht="15" thickBot="1" x14ac:dyDescent="0.35">
      <c r="A872" s="5"/>
      <c r="B872" s="5"/>
      <c r="C872" s="5"/>
      <c r="D872" s="5"/>
      <c r="E872" s="5"/>
      <c r="F872" s="5"/>
      <c r="G872" s="5"/>
      <c r="H872" s="25"/>
      <c r="I872" s="21"/>
      <c r="J872" s="18"/>
      <c r="K872" s="5"/>
      <c r="L872" s="5"/>
      <c r="M872" s="5"/>
      <c r="N872" s="5"/>
      <c r="O872" s="5"/>
      <c r="P872" s="5"/>
      <c r="Q872" s="5"/>
      <c r="R872" s="5"/>
      <c r="S872" s="5"/>
      <c r="T872" s="5"/>
      <c r="U872" s="5"/>
      <c r="V872" s="5"/>
      <c r="W872" s="5"/>
      <c r="X872" s="5"/>
      <c r="Y872" s="5"/>
    </row>
    <row r="873" spans="1:25" ht="15" thickBot="1" x14ac:dyDescent="0.35">
      <c r="A873" s="5"/>
      <c r="B873" s="5"/>
      <c r="C873" s="5"/>
      <c r="D873" s="5"/>
      <c r="E873" s="5"/>
      <c r="F873" s="5"/>
      <c r="G873" s="5"/>
      <c r="H873" s="25"/>
      <c r="I873" s="21"/>
      <c r="J873" s="18"/>
      <c r="K873" s="5"/>
      <c r="L873" s="5"/>
      <c r="M873" s="5"/>
      <c r="N873" s="5"/>
      <c r="O873" s="5"/>
      <c r="P873" s="5"/>
      <c r="Q873" s="5"/>
      <c r="R873" s="5"/>
      <c r="S873" s="5"/>
      <c r="T873" s="5"/>
      <c r="U873" s="5"/>
      <c r="V873" s="5"/>
      <c r="W873" s="5"/>
      <c r="X873" s="5"/>
      <c r="Y873" s="5"/>
    </row>
    <row r="874" spans="1:25" ht="15" thickBot="1" x14ac:dyDescent="0.35">
      <c r="A874" s="5"/>
      <c r="B874" s="5"/>
      <c r="C874" s="5"/>
      <c r="D874" s="5"/>
      <c r="E874" s="5"/>
      <c r="F874" s="5"/>
      <c r="G874" s="5"/>
      <c r="H874" s="25"/>
      <c r="I874" s="21"/>
      <c r="J874" s="18"/>
      <c r="K874" s="5"/>
      <c r="L874" s="5"/>
      <c r="M874" s="5"/>
      <c r="N874" s="5"/>
      <c r="O874" s="5"/>
      <c r="P874" s="5"/>
      <c r="Q874" s="5"/>
      <c r="R874" s="5"/>
      <c r="S874" s="5"/>
      <c r="T874" s="5"/>
      <c r="U874" s="5"/>
      <c r="V874" s="5"/>
      <c r="W874" s="5"/>
      <c r="X874" s="5"/>
      <c r="Y874" s="5"/>
    </row>
    <row r="875" spans="1:25" ht="15" thickBot="1" x14ac:dyDescent="0.35">
      <c r="A875" s="5"/>
      <c r="B875" s="5"/>
      <c r="C875" s="5"/>
      <c r="D875" s="5"/>
      <c r="E875" s="5"/>
      <c r="F875" s="5"/>
      <c r="G875" s="5"/>
      <c r="H875" s="25"/>
      <c r="I875" s="21"/>
      <c r="J875" s="18"/>
      <c r="K875" s="5"/>
      <c r="L875" s="5"/>
      <c r="M875" s="5"/>
      <c r="N875" s="5"/>
      <c r="O875" s="5"/>
      <c r="P875" s="5"/>
      <c r="Q875" s="5"/>
      <c r="R875" s="5"/>
      <c r="S875" s="5"/>
      <c r="T875" s="5"/>
      <c r="U875" s="5"/>
      <c r="V875" s="5"/>
      <c r="W875" s="5"/>
      <c r="X875" s="5"/>
      <c r="Y875" s="5"/>
    </row>
    <row r="876" spans="1:25" ht="15" thickBot="1" x14ac:dyDescent="0.35">
      <c r="A876" s="5"/>
      <c r="B876" s="5"/>
      <c r="C876" s="5"/>
      <c r="D876" s="5"/>
      <c r="E876" s="5"/>
      <c r="F876" s="5"/>
      <c r="G876" s="5"/>
      <c r="H876" s="25"/>
      <c r="I876" s="21"/>
      <c r="J876" s="18"/>
      <c r="K876" s="5"/>
      <c r="L876" s="5"/>
      <c r="M876" s="5"/>
      <c r="N876" s="5"/>
      <c r="O876" s="5"/>
      <c r="P876" s="5"/>
      <c r="Q876" s="5"/>
      <c r="R876" s="5"/>
      <c r="S876" s="5"/>
      <c r="T876" s="5"/>
      <c r="U876" s="5"/>
      <c r="V876" s="5"/>
      <c r="W876" s="5"/>
      <c r="X876" s="5"/>
      <c r="Y876" s="5"/>
    </row>
    <row r="877" spans="1:25" ht="15" thickBot="1" x14ac:dyDescent="0.35">
      <c r="A877" s="5"/>
      <c r="B877" s="5"/>
      <c r="C877" s="5"/>
      <c r="D877" s="5"/>
      <c r="E877" s="5"/>
      <c r="F877" s="5"/>
      <c r="G877" s="5"/>
      <c r="H877" s="25"/>
      <c r="I877" s="21"/>
      <c r="J877" s="18"/>
      <c r="K877" s="5"/>
      <c r="L877" s="5"/>
      <c r="M877" s="5"/>
      <c r="N877" s="5"/>
      <c r="O877" s="5"/>
      <c r="P877" s="5"/>
      <c r="Q877" s="5"/>
      <c r="R877" s="5"/>
      <c r="S877" s="5"/>
      <c r="T877" s="5"/>
      <c r="U877" s="5"/>
      <c r="V877" s="5"/>
      <c r="W877" s="5"/>
      <c r="X877" s="5"/>
      <c r="Y877" s="5"/>
    </row>
    <row r="878" spans="1:25" ht="15" thickBot="1" x14ac:dyDescent="0.35">
      <c r="A878" s="5"/>
      <c r="B878" s="5"/>
      <c r="C878" s="5"/>
      <c r="D878" s="5"/>
      <c r="E878" s="5"/>
      <c r="F878" s="5"/>
      <c r="G878" s="5"/>
      <c r="H878" s="25"/>
      <c r="I878" s="21"/>
      <c r="J878" s="18"/>
      <c r="K878" s="5"/>
      <c r="L878" s="5"/>
      <c r="M878" s="5"/>
      <c r="N878" s="5"/>
      <c r="O878" s="5"/>
      <c r="P878" s="5"/>
      <c r="Q878" s="5"/>
      <c r="R878" s="5"/>
      <c r="S878" s="5"/>
      <c r="T878" s="5"/>
      <c r="U878" s="5"/>
      <c r="V878" s="5"/>
      <c r="W878" s="5"/>
      <c r="X878" s="5"/>
      <c r="Y878" s="5"/>
    </row>
    <row r="879" spans="1:25" ht="15" thickBot="1" x14ac:dyDescent="0.35">
      <c r="A879" s="5"/>
      <c r="B879" s="5"/>
      <c r="C879" s="5"/>
      <c r="D879" s="5"/>
      <c r="E879" s="5"/>
      <c r="F879" s="5"/>
      <c r="G879" s="5"/>
      <c r="H879" s="25"/>
      <c r="I879" s="21"/>
      <c r="J879" s="18"/>
      <c r="K879" s="5"/>
      <c r="L879" s="5"/>
      <c r="M879" s="5"/>
      <c r="N879" s="5"/>
      <c r="O879" s="5"/>
      <c r="P879" s="5"/>
      <c r="Q879" s="5"/>
      <c r="R879" s="5"/>
      <c r="S879" s="5"/>
      <c r="T879" s="5"/>
      <c r="U879" s="5"/>
      <c r="V879" s="5"/>
      <c r="W879" s="5"/>
      <c r="X879" s="5"/>
      <c r="Y879" s="5"/>
    </row>
    <row r="880" spans="1:25" ht="15" thickBot="1" x14ac:dyDescent="0.35">
      <c r="A880" s="5"/>
      <c r="B880" s="5"/>
      <c r="C880" s="5"/>
      <c r="D880" s="5"/>
      <c r="E880" s="5"/>
      <c r="F880" s="5"/>
      <c r="G880" s="5"/>
      <c r="H880" s="25"/>
      <c r="I880" s="21"/>
      <c r="J880" s="18"/>
      <c r="K880" s="5"/>
      <c r="L880" s="5"/>
      <c r="M880" s="5"/>
      <c r="N880" s="5"/>
      <c r="O880" s="5"/>
      <c r="P880" s="5"/>
      <c r="Q880" s="5"/>
      <c r="R880" s="5"/>
      <c r="S880" s="5"/>
      <c r="T880" s="5"/>
      <c r="U880" s="5"/>
      <c r="V880" s="5"/>
      <c r="W880" s="5"/>
      <c r="X880" s="5"/>
      <c r="Y880" s="5"/>
    </row>
    <row r="881" spans="1:25" ht="15" thickBot="1" x14ac:dyDescent="0.35">
      <c r="A881" s="5"/>
      <c r="B881" s="5"/>
      <c r="C881" s="5"/>
      <c r="D881" s="5"/>
      <c r="E881" s="5"/>
      <c r="F881" s="5"/>
      <c r="G881" s="5"/>
      <c r="H881" s="25"/>
      <c r="I881" s="21"/>
      <c r="J881" s="18"/>
      <c r="K881" s="5"/>
      <c r="L881" s="5"/>
      <c r="M881" s="5"/>
      <c r="N881" s="5"/>
      <c r="O881" s="5"/>
      <c r="P881" s="5"/>
      <c r="Q881" s="5"/>
      <c r="R881" s="5"/>
      <c r="S881" s="5"/>
      <c r="T881" s="5"/>
      <c r="U881" s="5"/>
      <c r="V881" s="5"/>
      <c r="W881" s="5"/>
      <c r="X881" s="5"/>
      <c r="Y881" s="5"/>
    </row>
    <row r="882" spans="1:25" ht="15" thickBot="1" x14ac:dyDescent="0.35">
      <c r="A882" s="5"/>
      <c r="B882" s="5"/>
      <c r="C882" s="5"/>
      <c r="D882" s="5"/>
      <c r="E882" s="5"/>
      <c r="F882" s="5"/>
      <c r="G882" s="5"/>
      <c r="H882" s="25"/>
      <c r="I882" s="21"/>
      <c r="J882" s="18"/>
      <c r="K882" s="5"/>
      <c r="L882" s="5"/>
      <c r="M882" s="5"/>
      <c r="N882" s="5"/>
      <c r="O882" s="5"/>
      <c r="P882" s="5"/>
      <c r="Q882" s="5"/>
      <c r="R882" s="5"/>
      <c r="S882" s="5"/>
      <c r="T882" s="5"/>
      <c r="U882" s="5"/>
      <c r="V882" s="5"/>
      <c r="W882" s="5"/>
      <c r="X882" s="5"/>
      <c r="Y882" s="5"/>
    </row>
    <row r="883" spans="1:25" ht="15" thickBot="1" x14ac:dyDescent="0.35">
      <c r="A883" s="5"/>
      <c r="B883" s="5"/>
      <c r="C883" s="5"/>
      <c r="D883" s="5"/>
      <c r="E883" s="5"/>
      <c r="F883" s="5"/>
      <c r="G883" s="5"/>
      <c r="H883" s="25"/>
      <c r="I883" s="21"/>
      <c r="J883" s="18"/>
      <c r="K883" s="5"/>
      <c r="L883" s="5"/>
      <c r="M883" s="5"/>
      <c r="N883" s="5"/>
      <c r="O883" s="5"/>
      <c r="P883" s="5"/>
      <c r="Q883" s="5"/>
      <c r="R883" s="5"/>
      <c r="S883" s="5"/>
      <c r="T883" s="5"/>
      <c r="U883" s="5"/>
      <c r="V883" s="5"/>
      <c r="W883" s="5"/>
      <c r="X883" s="5"/>
      <c r="Y883" s="5"/>
    </row>
    <row r="884" spans="1:25" ht="15" thickBot="1" x14ac:dyDescent="0.35">
      <c r="A884" s="5"/>
      <c r="B884" s="5"/>
      <c r="C884" s="5"/>
      <c r="D884" s="5"/>
      <c r="E884" s="5"/>
      <c r="F884" s="5"/>
      <c r="G884" s="5"/>
      <c r="H884" s="25"/>
      <c r="I884" s="21"/>
      <c r="J884" s="18"/>
      <c r="K884" s="5"/>
      <c r="L884" s="5"/>
      <c r="M884" s="5"/>
      <c r="N884" s="5"/>
      <c r="O884" s="5"/>
      <c r="P884" s="5"/>
      <c r="Q884" s="5"/>
      <c r="R884" s="5"/>
      <c r="S884" s="5"/>
      <c r="T884" s="5"/>
      <c r="U884" s="5"/>
      <c r="V884" s="5"/>
      <c r="W884" s="5"/>
      <c r="X884" s="5"/>
      <c r="Y884" s="5"/>
    </row>
    <row r="885" spans="1:25" ht="15" thickBot="1" x14ac:dyDescent="0.35">
      <c r="A885" s="5"/>
      <c r="B885" s="5"/>
      <c r="C885" s="5"/>
      <c r="D885" s="5"/>
      <c r="E885" s="5"/>
      <c r="F885" s="5"/>
      <c r="G885" s="5"/>
      <c r="H885" s="25"/>
      <c r="I885" s="21"/>
      <c r="J885" s="18"/>
      <c r="K885" s="5"/>
      <c r="L885" s="5"/>
      <c r="M885" s="5"/>
      <c r="N885" s="5"/>
      <c r="O885" s="5"/>
      <c r="P885" s="5"/>
      <c r="Q885" s="5"/>
      <c r="R885" s="5"/>
      <c r="S885" s="5"/>
      <c r="T885" s="5"/>
      <c r="U885" s="5"/>
      <c r="V885" s="5"/>
      <c r="W885" s="5"/>
      <c r="X885" s="5"/>
      <c r="Y885" s="5"/>
    </row>
    <row r="886" spans="1:25" ht="15" thickBot="1" x14ac:dyDescent="0.35">
      <c r="A886" s="5"/>
      <c r="B886" s="5"/>
      <c r="C886" s="5"/>
      <c r="D886" s="5"/>
      <c r="E886" s="5"/>
      <c r="F886" s="5"/>
      <c r="G886" s="5"/>
      <c r="H886" s="25"/>
      <c r="I886" s="21"/>
      <c r="J886" s="18"/>
      <c r="K886" s="5"/>
      <c r="L886" s="5"/>
      <c r="M886" s="5"/>
      <c r="N886" s="5"/>
      <c r="O886" s="5"/>
      <c r="P886" s="5"/>
      <c r="Q886" s="5"/>
      <c r="R886" s="5"/>
      <c r="S886" s="5"/>
      <c r="T886" s="5"/>
      <c r="U886" s="5"/>
      <c r="V886" s="5"/>
      <c r="W886" s="5"/>
      <c r="X886" s="5"/>
      <c r="Y886" s="5"/>
    </row>
    <row r="887" spans="1:25" ht="15" thickBot="1" x14ac:dyDescent="0.35">
      <c r="A887" s="5"/>
      <c r="B887" s="5"/>
      <c r="C887" s="5"/>
      <c r="D887" s="5"/>
      <c r="E887" s="5"/>
      <c r="F887" s="5"/>
      <c r="G887" s="5"/>
      <c r="H887" s="25"/>
      <c r="I887" s="21"/>
      <c r="J887" s="18"/>
      <c r="K887" s="5"/>
      <c r="L887" s="5"/>
      <c r="M887" s="5"/>
      <c r="N887" s="5"/>
      <c r="O887" s="5"/>
      <c r="P887" s="5"/>
      <c r="Q887" s="5"/>
      <c r="R887" s="5"/>
      <c r="S887" s="5"/>
      <c r="T887" s="5"/>
      <c r="U887" s="5"/>
      <c r="V887" s="5"/>
      <c r="W887" s="5"/>
      <c r="X887" s="5"/>
      <c r="Y887" s="5"/>
    </row>
    <row r="888" spans="1:25" ht="15" thickBot="1" x14ac:dyDescent="0.35">
      <c r="A888" s="5"/>
      <c r="B888" s="5"/>
      <c r="C888" s="5"/>
      <c r="D888" s="5"/>
      <c r="E888" s="5"/>
      <c r="F888" s="5"/>
      <c r="G888" s="5"/>
      <c r="H888" s="25"/>
      <c r="I888" s="21"/>
      <c r="J888" s="18"/>
      <c r="K888" s="5"/>
      <c r="L888" s="5"/>
      <c r="M888" s="5"/>
      <c r="N888" s="5"/>
      <c r="O888" s="5"/>
      <c r="P888" s="5"/>
      <c r="Q888" s="5"/>
      <c r="R888" s="5"/>
      <c r="S888" s="5"/>
      <c r="T888" s="5"/>
      <c r="U888" s="5"/>
      <c r="V888" s="5"/>
      <c r="W888" s="5"/>
      <c r="X888" s="5"/>
      <c r="Y888" s="5"/>
    </row>
    <row r="889" spans="1:25" ht="15" thickBot="1" x14ac:dyDescent="0.35">
      <c r="A889" s="5"/>
      <c r="B889" s="5"/>
      <c r="C889" s="5"/>
      <c r="D889" s="5"/>
      <c r="E889" s="5"/>
      <c r="F889" s="5"/>
      <c r="G889" s="5"/>
      <c r="H889" s="25"/>
      <c r="I889" s="21"/>
      <c r="J889" s="18"/>
      <c r="K889" s="5"/>
      <c r="L889" s="5"/>
      <c r="M889" s="5"/>
      <c r="N889" s="5"/>
      <c r="O889" s="5"/>
      <c r="P889" s="5"/>
      <c r="Q889" s="5"/>
      <c r="R889" s="5"/>
      <c r="S889" s="5"/>
      <c r="T889" s="5"/>
      <c r="U889" s="5"/>
      <c r="V889" s="5"/>
      <c r="W889" s="5"/>
      <c r="X889" s="5"/>
      <c r="Y889" s="5"/>
    </row>
    <row r="890" spans="1:25" ht="15" thickBot="1" x14ac:dyDescent="0.35">
      <c r="A890" s="5"/>
      <c r="B890" s="5"/>
      <c r="C890" s="5"/>
      <c r="D890" s="5"/>
      <c r="E890" s="5"/>
      <c r="F890" s="5"/>
      <c r="G890" s="5"/>
      <c r="H890" s="25"/>
      <c r="I890" s="21"/>
      <c r="J890" s="18"/>
      <c r="K890" s="5"/>
      <c r="L890" s="5"/>
      <c r="M890" s="5"/>
      <c r="N890" s="5"/>
      <c r="O890" s="5"/>
      <c r="P890" s="5"/>
      <c r="Q890" s="5"/>
      <c r="R890" s="5"/>
      <c r="S890" s="5"/>
      <c r="T890" s="5"/>
      <c r="U890" s="5"/>
      <c r="V890" s="5"/>
      <c r="W890" s="5"/>
      <c r="X890" s="5"/>
      <c r="Y890" s="5"/>
    </row>
    <row r="891" spans="1:25" ht="15" thickBot="1" x14ac:dyDescent="0.35">
      <c r="A891" s="5"/>
      <c r="B891" s="5"/>
      <c r="C891" s="5"/>
      <c r="D891" s="5"/>
      <c r="E891" s="5"/>
      <c r="F891" s="5"/>
      <c r="G891" s="5"/>
      <c r="H891" s="25"/>
      <c r="I891" s="21"/>
      <c r="J891" s="18"/>
      <c r="K891" s="5"/>
      <c r="L891" s="5"/>
      <c r="M891" s="5"/>
      <c r="N891" s="5"/>
      <c r="O891" s="5"/>
      <c r="P891" s="5"/>
      <c r="Q891" s="5"/>
      <c r="R891" s="5"/>
      <c r="S891" s="5"/>
      <c r="T891" s="5"/>
      <c r="U891" s="5"/>
      <c r="V891" s="5"/>
      <c r="W891" s="5"/>
      <c r="X891" s="5"/>
      <c r="Y891" s="5"/>
    </row>
    <row r="892" spans="1:25" ht="15" thickBot="1" x14ac:dyDescent="0.35">
      <c r="A892" s="5"/>
      <c r="B892" s="5"/>
      <c r="C892" s="5"/>
      <c r="D892" s="5"/>
      <c r="E892" s="5"/>
      <c r="F892" s="5"/>
      <c r="G892" s="5"/>
      <c r="H892" s="25"/>
      <c r="I892" s="21"/>
      <c r="J892" s="18"/>
      <c r="K892" s="5"/>
      <c r="L892" s="5"/>
      <c r="M892" s="5"/>
      <c r="N892" s="5"/>
      <c r="O892" s="5"/>
      <c r="P892" s="5"/>
      <c r="Q892" s="5"/>
      <c r="R892" s="5"/>
      <c r="S892" s="5"/>
      <c r="T892" s="5"/>
      <c r="U892" s="5"/>
      <c r="V892" s="5"/>
      <c r="W892" s="5"/>
      <c r="X892" s="5"/>
      <c r="Y892" s="5"/>
    </row>
    <row r="893" spans="1:25" ht="15" thickBot="1" x14ac:dyDescent="0.35">
      <c r="A893" s="5"/>
      <c r="B893" s="5"/>
      <c r="C893" s="5"/>
      <c r="D893" s="5"/>
      <c r="E893" s="5"/>
      <c r="F893" s="5"/>
      <c r="G893" s="5"/>
      <c r="H893" s="25"/>
      <c r="I893" s="21"/>
      <c r="J893" s="18"/>
      <c r="K893" s="5"/>
      <c r="L893" s="5"/>
      <c r="M893" s="5"/>
      <c r="N893" s="5"/>
      <c r="O893" s="5"/>
      <c r="P893" s="5"/>
      <c r="Q893" s="5"/>
      <c r="R893" s="5"/>
      <c r="S893" s="5"/>
      <c r="T893" s="5"/>
      <c r="U893" s="5"/>
      <c r="V893" s="5"/>
      <c r="W893" s="5"/>
      <c r="X893" s="5"/>
      <c r="Y893" s="5"/>
    </row>
    <row r="894" spans="1:25" ht="15" thickBot="1" x14ac:dyDescent="0.35">
      <c r="A894" s="5"/>
      <c r="B894" s="5"/>
      <c r="C894" s="5"/>
      <c r="D894" s="5"/>
      <c r="E894" s="5"/>
      <c r="F894" s="5"/>
      <c r="G894" s="5"/>
      <c r="H894" s="25"/>
      <c r="I894" s="21"/>
      <c r="J894" s="18"/>
      <c r="K894" s="5"/>
      <c r="L894" s="5"/>
      <c r="M894" s="5"/>
      <c r="N894" s="5"/>
      <c r="O894" s="5"/>
      <c r="P894" s="5"/>
      <c r="Q894" s="5"/>
      <c r="R894" s="5"/>
      <c r="S894" s="5"/>
      <c r="T894" s="5"/>
      <c r="U894" s="5"/>
      <c r="V894" s="5"/>
      <c r="W894" s="5"/>
      <c r="X894" s="5"/>
      <c r="Y894" s="5"/>
    </row>
    <row r="895" spans="1:25" ht="15" thickBot="1" x14ac:dyDescent="0.35">
      <c r="A895" s="5"/>
      <c r="B895" s="5"/>
      <c r="C895" s="5"/>
      <c r="D895" s="5"/>
      <c r="E895" s="5"/>
      <c r="F895" s="5"/>
      <c r="G895" s="5"/>
      <c r="H895" s="25"/>
      <c r="I895" s="21"/>
      <c r="J895" s="18"/>
      <c r="K895" s="5"/>
      <c r="L895" s="5"/>
      <c r="M895" s="5"/>
      <c r="N895" s="5"/>
      <c r="O895" s="5"/>
      <c r="P895" s="5"/>
      <c r="Q895" s="5"/>
      <c r="R895" s="5"/>
      <c r="S895" s="5"/>
      <c r="T895" s="5"/>
      <c r="U895" s="5"/>
      <c r="V895" s="5"/>
      <c r="W895" s="5"/>
      <c r="X895" s="5"/>
      <c r="Y895" s="5"/>
    </row>
    <row r="896" spans="1:25" ht="15" thickBot="1" x14ac:dyDescent="0.35">
      <c r="A896" s="5"/>
      <c r="B896" s="5"/>
      <c r="C896" s="5"/>
      <c r="D896" s="5"/>
      <c r="E896" s="5"/>
      <c r="F896" s="5"/>
      <c r="G896" s="5"/>
      <c r="H896" s="25"/>
      <c r="I896" s="21"/>
      <c r="J896" s="18"/>
      <c r="K896" s="5"/>
      <c r="L896" s="5"/>
      <c r="M896" s="5"/>
      <c r="N896" s="5"/>
      <c r="O896" s="5"/>
      <c r="P896" s="5"/>
      <c r="Q896" s="5"/>
      <c r="R896" s="5"/>
      <c r="S896" s="5"/>
      <c r="T896" s="5"/>
      <c r="U896" s="5"/>
      <c r="V896" s="5"/>
      <c r="W896" s="5"/>
      <c r="X896" s="5"/>
      <c r="Y896" s="5"/>
    </row>
    <row r="897" spans="1:25" ht="15" thickBot="1" x14ac:dyDescent="0.35">
      <c r="A897" s="5"/>
      <c r="B897" s="5"/>
      <c r="C897" s="5"/>
      <c r="D897" s="5"/>
      <c r="E897" s="5"/>
      <c r="F897" s="5"/>
      <c r="G897" s="5"/>
      <c r="H897" s="25"/>
      <c r="I897" s="21"/>
      <c r="J897" s="18"/>
      <c r="K897" s="5"/>
      <c r="L897" s="5"/>
      <c r="M897" s="5"/>
      <c r="N897" s="5"/>
      <c r="O897" s="5"/>
      <c r="P897" s="5"/>
      <c r="Q897" s="5"/>
      <c r="R897" s="5"/>
      <c r="S897" s="5"/>
      <c r="T897" s="5"/>
      <c r="U897" s="5"/>
      <c r="V897" s="5"/>
      <c r="W897" s="5"/>
      <c r="X897" s="5"/>
      <c r="Y897" s="5"/>
    </row>
    <row r="898" spans="1:25" ht="15" thickBot="1" x14ac:dyDescent="0.35">
      <c r="A898" s="5"/>
      <c r="B898" s="5"/>
      <c r="C898" s="5"/>
      <c r="D898" s="5"/>
      <c r="E898" s="5"/>
      <c r="F898" s="5"/>
      <c r="G898" s="5"/>
      <c r="H898" s="25"/>
      <c r="I898" s="21"/>
      <c r="J898" s="18"/>
      <c r="K898" s="5"/>
      <c r="L898" s="5"/>
      <c r="M898" s="5"/>
      <c r="N898" s="5"/>
      <c r="O898" s="5"/>
      <c r="P898" s="5"/>
      <c r="Q898" s="5"/>
      <c r="R898" s="5"/>
      <c r="S898" s="5"/>
      <c r="T898" s="5"/>
      <c r="U898" s="5"/>
      <c r="V898" s="5"/>
      <c r="W898" s="5"/>
      <c r="X898" s="5"/>
      <c r="Y898" s="5"/>
    </row>
    <row r="899" spans="1:25" ht="15" thickBot="1" x14ac:dyDescent="0.35">
      <c r="A899" s="5"/>
      <c r="B899" s="5"/>
      <c r="C899" s="5"/>
      <c r="D899" s="5"/>
      <c r="E899" s="5"/>
      <c r="F899" s="5"/>
      <c r="G899" s="5"/>
      <c r="H899" s="25"/>
      <c r="I899" s="21"/>
      <c r="J899" s="18"/>
      <c r="K899" s="5"/>
      <c r="L899" s="5"/>
      <c r="M899" s="5"/>
      <c r="N899" s="5"/>
      <c r="O899" s="5"/>
      <c r="P899" s="5"/>
      <c r="Q899" s="5"/>
      <c r="R899" s="5"/>
      <c r="S899" s="5"/>
      <c r="T899" s="5"/>
      <c r="U899" s="5"/>
      <c r="V899" s="5"/>
      <c r="W899" s="5"/>
      <c r="X899" s="5"/>
      <c r="Y899" s="5"/>
    </row>
    <row r="900" spans="1:25" ht="15" thickBot="1" x14ac:dyDescent="0.35">
      <c r="A900" s="5"/>
      <c r="B900" s="5"/>
      <c r="C900" s="5"/>
      <c r="D900" s="5"/>
      <c r="E900" s="5"/>
      <c r="F900" s="5"/>
      <c r="G900" s="5"/>
      <c r="H900" s="25"/>
      <c r="I900" s="21"/>
      <c r="J900" s="18"/>
      <c r="K900" s="5"/>
      <c r="L900" s="5"/>
      <c r="M900" s="5"/>
      <c r="N900" s="5"/>
      <c r="O900" s="5"/>
      <c r="P900" s="5"/>
      <c r="Q900" s="5"/>
      <c r="R900" s="5"/>
      <c r="S900" s="5"/>
      <c r="T900" s="5"/>
      <c r="U900" s="5"/>
      <c r="V900" s="5"/>
      <c r="W900" s="5"/>
      <c r="X900" s="5"/>
      <c r="Y900" s="5"/>
    </row>
    <row r="901" spans="1:25" ht="15" thickBot="1" x14ac:dyDescent="0.35">
      <c r="A901" s="5"/>
      <c r="B901" s="5"/>
      <c r="C901" s="5"/>
      <c r="D901" s="5"/>
      <c r="E901" s="5"/>
      <c r="F901" s="5"/>
      <c r="G901" s="5"/>
      <c r="H901" s="25"/>
      <c r="I901" s="21"/>
      <c r="J901" s="18"/>
      <c r="K901" s="5"/>
      <c r="L901" s="5"/>
      <c r="M901" s="5"/>
      <c r="N901" s="5"/>
      <c r="O901" s="5"/>
      <c r="P901" s="5"/>
      <c r="Q901" s="5"/>
      <c r="R901" s="5"/>
      <c r="S901" s="5"/>
      <c r="T901" s="5"/>
      <c r="U901" s="5"/>
      <c r="V901" s="5"/>
      <c r="W901" s="5"/>
      <c r="X901" s="5"/>
      <c r="Y901" s="5"/>
    </row>
    <row r="902" spans="1:25" ht="15" thickBot="1" x14ac:dyDescent="0.35">
      <c r="A902" s="5"/>
      <c r="B902" s="5"/>
      <c r="C902" s="5"/>
      <c r="D902" s="5"/>
      <c r="E902" s="5"/>
      <c r="F902" s="5"/>
      <c r="G902" s="5"/>
      <c r="H902" s="25"/>
      <c r="I902" s="21"/>
      <c r="J902" s="18"/>
      <c r="K902" s="5"/>
      <c r="L902" s="5"/>
      <c r="M902" s="5"/>
      <c r="N902" s="5"/>
      <c r="O902" s="5"/>
      <c r="P902" s="5"/>
      <c r="Q902" s="5"/>
      <c r="R902" s="5"/>
      <c r="S902" s="5"/>
      <c r="T902" s="5"/>
      <c r="U902" s="5"/>
      <c r="V902" s="5"/>
      <c r="W902" s="5"/>
      <c r="X902" s="5"/>
      <c r="Y902" s="5"/>
    </row>
    <row r="903" spans="1:25" ht="15" thickBot="1" x14ac:dyDescent="0.35">
      <c r="A903" s="5"/>
      <c r="B903" s="5"/>
      <c r="C903" s="5"/>
      <c r="D903" s="5"/>
      <c r="E903" s="5"/>
      <c r="F903" s="5"/>
      <c r="G903" s="5"/>
      <c r="H903" s="25"/>
      <c r="I903" s="21"/>
      <c r="J903" s="18"/>
      <c r="K903" s="5"/>
      <c r="L903" s="5"/>
      <c r="M903" s="5"/>
      <c r="N903" s="5"/>
      <c r="O903" s="5"/>
      <c r="P903" s="5"/>
      <c r="Q903" s="5"/>
      <c r="R903" s="5"/>
      <c r="S903" s="5"/>
      <c r="T903" s="5"/>
      <c r="U903" s="5"/>
      <c r="V903" s="5"/>
      <c r="W903" s="5"/>
      <c r="X903" s="5"/>
      <c r="Y903" s="5"/>
    </row>
    <row r="904" spans="1:25" ht="15" thickBot="1" x14ac:dyDescent="0.35">
      <c r="A904" s="5"/>
      <c r="B904" s="5"/>
      <c r="C904" s="5"/>
      <c r="D904" s="5"/>
      <c r="E904" s="5"/>
      <c r="F904" s="5"/>
      <c r="G904" s="5"/>
      <c r="H904" s="25"/>
      <c r="I904" s="21"/>
      <c r="J904" s="18"/>
      <c r="K904" s="5"/>
      <c r="L904" s="5"/>
      <c r="M904" s="5"/>
      <c r="N904" s="5"/>
      <c r="O904" s="5"/>
      <c r="P904" s="5"/>
      <c r="Q904" s="5"/>
      <c r="R904" s="5"/>
      <c r="S904" s="5"/>
      <c r="T904" s="5"/>
      <c r="U904" s="5"/>
      <c r="V904" s="5"/>
      <c r="W904" s="5"/>
      <c r="X904" s="5"/>
      <c r="Y904" s="5"/>
    </row>
    <row r="905" spans="1:25" ht="15" thickBot="1" x14ac:dyDescent="0.35">
      <c r="A905" s="5"/>
      <c r="B905" s="5"/>
      <c r="C905" s="5"/>
      <c r="D905" s="5"/>
      <c r="E905" s="5"/>
      <c r="F905" s="5"/>
      <c r="G905" s="5"/>
      <c r="H905" s="25"/>
      <c r="I905" s="21"/>
      <c r="J905" s="18"/>
      <c r="K905" s="5"/>
      <c r="L905" s="5"/>
      <c r="M905" s="5"/>
      <c r="N905" s="5"/>
      <c r="O905" s="5"/>
      <c r="P905" s="5"/>
      <c r="Q905" s="5"/>
      <c r="R905" s="5"/>
      <c r="S905" s="5"/>
      <c r="T905" s="5"/>
      <c r="U905" s="5"/>
      <c r="V905" s="5"/>
      <c r="W905" s="5"/>
      <c r="X905" s="5"/>
      <c r="Y905" s="5"/>
    </row>
    <row r="906" spans="1:25" ht="15" thickBot="1" x14ac:dyDescent="0.35">
      <c r="A906" s="5"/>
      <c r="B906" s="5"/>
      <c r="C906" s="5"/>
      <c r="D906" s="5"/>
      <c r="E906" s="5"/>
      <c r="F906" s="5"/>
      <c r="G906" s="5"/>
      <c r="H906" s="25"/>
      <c r="I906" s="21"/>
      <c r="J906" s="18"/>
      <c r="K906" s="5"/>
      <c r="L906" s="5"/>
      <c r="M906" s="5"/>
      <c r="N906" s="5"/>
      <c r="O906" s="5"/>
      <c r="P906" s="5"/>
      <c r="Q906" s="5"/>
      <c r="R906" s="5"/>
      <c r="S906" s="5"/>
      <c r="T906" s="5"/>
      <c r="U906" s="5"/>
      <c r="V906" s="5"/>
      <c r="W906" s="5"/>
      <c r="X906" s="5"/>
      <c r="Y906" s="5"/>
    </row>
    <row r="907" spans="1:25" ht="15" thickBot="1" x14ac:dyDescent="0.35">
      <c r="A907" s="5"/>
      <c r="B907" s="5"/>
      <c r="C907" s="5"/>
      <c r="D907" s="5"/>
      <c r="E907" s="5"/>
      <c r="F907" s="5"/>
      <c r="G907" s="5"/>
      <c r="H907" s="25"/>
      <c r="I907" s="21"/>
      <c r="J907" s="18"/>
      <c r="K907" s="5"/>
      <c r="L907" s="5"/>
      <c r="M907" s="5"/>
      <c r="N907" s="5"/>
      <c r="O907" s="5"/>
      <c r="P907" s="5"/>
      <c r="Q907" s="5"/>
      <c r="R907" s="5"/>
      <c r="S907" s="5"/>
      <c r="T907" s="5"/>
      <c r="U907" s="5"/>
      <c r="V907" s="5"/>
      <c r="W907" s="5"/>
      <c r="X907" s="5"/>
      <c r="Y907" s="5"/>
    </row>
    <row r="908" spans="1:25" ht="15" thickBot="1" x14ac:dyDescent="0.35">
      <c r="A908" s="5"/>
      <c r="B908" s="5"/>
      <c r="C908" s="5"/>
      <c r="D908" s="5"/>
      <c r="E908" s="5"/>
      <c r="F908" s="5"/>
      <c r="G908" s="5"/>
      <c r="H908" s="25"/>
      <c r="I908" s="21"/>
      <c r="J908" s="18"/>
      <c r="K908" s="5"/>
      <c r="L908" s="5"/>
      <c r="M908" s="5"/>
      <c r="N908" s="5"/>
      <c r="O908" s="5"/>
      <c r="P908" s="5"/>
      <c r="Q908" s="5"/>
      <c r="R908" s="5"/>
      <c r="S908" s="5"/>
      <c r="T908" s="5"/>
      <c r="U908" s="5"/>
      <c r="V908" s="5"/>
      <c r="W908" s="5"/>
      <c r="X908" s="5"/>
      <c r="Y908" s="5"/>
    </row>
    <row r="909" spans="1:25" ht="15" thickBot="1" x14ac:dyDescent="0.35">
      <c r="A909" s="5"/>
      <c r="B909" s="5"/>
      <c r="C909" s="5"/>
      <c r="D909" s="5"/>
      <c r="E909" s="5"/>
      <c r="F909" s="5"/>
      <c r="G909" s="5"/>
      <c r="H909" s="25"/>
      <c r="I909" s="21"/>
      <c r="J909" s="18"/>
      <c r="K909" s="5"/>
      <c r="L909" s="5"/>
      <c r="M909" s="5"/>
      <c r="N909" s="5"/>
      <c r="O909" s="5"/>
      <c r="P909" s="5"/>
      <c r="Q909" s="5"/>
      <c r="R909" s="5"/>
      <c r="S909" s="5"/>
      <c r="T909" s="5"/>
      <c r="U909" s="5"/>
      <c r="V909" s="5"/>
      <c r="W909" s="5"/>
      <c r="X909" s="5"/>
      <c r="Y909" s="5"/>
    </row>
    <row r="910" spans="1:25" ht="15" thickBot="1" x14ac:dyDescent="0.35">
      <c r="A910" s="5"/>
      <c r="B910" s="5"/>
      <c r="C910" s="5"/>
      <c r="D910" s="5"/>
      <c r="E910" s="5"/>
      <c r="F910" s="5"/>
      <c r="G910" s="5"/>
      <c r="H910" s="25"/>
      <c r="I910" s="21"/>
      <c r="J910" s="18"/>
      <c r="K910" s="5"/>
      <c r="L910" s="5"/>
      <c r="M910" s="5"/>
      <c r="N910" s="5"/>
      <c r="O910" s="5"/>
      <c r="P910" s="5"/>
      <c r="Q910" s="5"/>
      <c r="R910" s="5"/>
      <c r="S910" s="5"/>
      <c r="T910" s="5"/>
      <c r="U910" s="5"/>
      <c r="V910" s="5"/>
      <c r="W910" s="5"/>
      <c r="X910" s="5"/>
      <c r="Y910" s="5"/>
    </row>
    <row r="911" spans="1:25" ht="15" thickBot="1" x14ac:dyDescent="0.35">
      <c r="A911" s="5"/>
      <c r="B911" s="5"/>
      <c r="C911" s="5"/>
      <c r="D911" s="5"/>
      <c r="E911" s="5"/>
      <c r="F911" s="5"/>
      <c r="G911" s="5"/>
      <c r="H911" s="25"/>
      <c r="I911" s="21"/>
      <c r="J911" s="18"/>
      <c r="K911" s="5"/>
      <c r="L911" s="5"/>
      <c r="M911" s="5"/>
      <c r="N911" s="5"/>
      <c r="O911" s="5"/>
      <c r="P911" s="5"/>
      <c r="Q911" s="5"/>
      <c r="R911" s="5"/>
      <c r="S911" s="5"/>
      <c r="T911" s="5"/>
      <c r="U911" s="5"/>
      <c r="V911" s="5"/>
      <c r="W911" s="5"/>
      <c r="X911" s="5"/>
      <c r="Y911" s="5"/>
    </row>
    <row r="912" spans="1:25" ht="15" thickBot="1" x14ac:dyDescent="0.35">
      <c r="A912" s="5"/>
      <c r="B912" s="5"/>
      <c r="C912" s="5"/>
      <c r="D912" s="5"/>
      <c r="E912" s="5"/>
      <c r="F912" s="5"/>
      <c r="G912" s="5"/>
      <c r="H912" s="25"/>
      <c r="I912" s="21"/>
      <c r="J912" s="18"/>
      <c r="K912" s="5"/>
      <c r="L912" s="5"/>
      <c r="M912" s="5"/>
      <c r="N912" s="5"/>
      <c r="O912" s="5"/>
      <c r="P912" s="5"/>
      <c r="Q912" s="5"/>
      <c r="R912" s="5"/>
      <c r="S912" s="5"/>
      <c r="T912" s="5"/>
      <c r="U912" s="5"/>
      <c r="V912" s="5"/>
      <c r="W912" s="5"/>
      <c r="X912" s="5"/>
      <c r="Y912" s="5"/>
    </row>
    <row r="913" spans="1:25" ht="15" thickBot="1" x14ac:dyDescent="0.35">
      <c r="A913" s="5"/>
      <c r="B913" s="5"/>
      <c r="C913" s="5"/>
      <c r="D913" s="5"/>
      <c r="E913" s="5"/>
      <c r="F913" s="5"/>
      <c r="G913" s="5"/>
      <c r="H913" s="25"/>
      <c r="I913" s="21"/>
      <c r="J913" s="18"/>
      <c r="K913" s="5"/>
      <c r="L913" s="5"/>
      <c r="M913" s="5"/>
      <c r="N913" s="5"/>
      <c r="O913" s="5"/>
      <c r="P913" s="5"/>
      <c r="Q913" s="5"/>
      <c r="R913" s="5"/>
      <c r="S913" s="5"/>
      <c r="T913" s="5"/>
      <c r="U913" s="5"/>
      <c r="V913" s="5"/>
      <c r="W913" s="5"/>
      <c r="X913" s="5"/>
      <c r="Y913" s="5"/>
    </row>
    <row r="914" spans="1:25" ht="15" thickBot="1" x14ac:dyDescent="0.35">
      <c r="A914" s="5"/>
      <c r="B914" s="5"/>
      <c r="C914" s="5"/>
      <c r="D914" s="5"/>
      <c r="E914" s="5"/>
      <c r="F914" s="5"/>
      <c r="G914" s="5"/>
      <c r="H914" s="25"/>
      <c r="I914" s="21"/>
      <c r="J914" s="18"/>
      <c r="K914" s="5"/>
      <c r="L914" s="5"/>
      <c r="M914" s="5"/>
      <c r="N914" s="5"/>
      <c r="O914" s="5"/>
      <c r="P914" s="5"/>
      <c r="Q914" s="5"/>
      <c r="R914" s="5"/>
      <c r="S914" s="5"/>
      <c r="T914" s="5"/>
      <c r="U914" s="5"/>
      <c r="V914" s="5"/>
      <c r="W914" s="5"/>
      <c r="X914" s="5"/>
      <c r="Y914" s="5"/>
    </row>
    <row r="915" spans="1:25" ht="15" thickBot="1" x14ac:dyDescent="0.35">
      <c r="A915" s="5"/>
      <c r="B915" s="5"/>
      <c r="C915" s="5"/>
      <c r="D915" s="5"/>
      <c r="E915" s="5"/>
      <c r="F915" s="5"/>
      <c r="G915" s="5"/>
      <c r="H915" s="25"/>
      <c r="I915" s="21"/>
      <c r="J915" s="18"/>
      <c r="K915" s="5"/>
      <c r="L915" s="5"/>
      <c r="M915" s="5"/>
      <c r="N915" s="5"/>
      <c r="O915" s="5"/>
      <c r="P915" s="5"/>
      <c r="Q915" s="5"/>
      <c r="R915" s="5"/>
      <c r="S915" s="5"/>
      <c r="T915" s="5"/>
      <c r="U915" s="5"/>
      <c r="V915" s="5"/>
      <c r="W915" s="5"/>
      <c r="X915" s="5"/>
      <c r="Y915" s="5"/>
    </row>
    <row r="916" spans="1:25" ht="15" thickBot="1" x14ac:dyDescent="0.35">
      <c r="A916" s="5"/>
      <c r="B916" s="5"/>
      <c r="C916" s="5"/>
      <c r="D916" s="5"/>
      <c r="E916" s="5"/>
      <c r="F916" s="5"/>
      <c r="G916" s="5"/>
      <c r="H916" s="25"/>
      <c r="I916" s="21"/>
      <c r="J916" s="18"/>
      <c r="K916" s="5"/>
      <c r="L916" s="5"/>
      <c r="M916" s="5"/>
      <c r="N916" s="5"/>
      <c r="O916" s="5"/>
      <c r="P916" s="5"/>
      <c r="Q916" s="5"/>
      <c r="R916" s="5"/>
      <c r="S916" s="5"/>
      <c r="T916" s="5"/>
      <c r="U916" s="5"/>
      <c r="V916" s="5"/>
      <c r="W916" s="5"/>
      <c r="X916" s="5"/>
      <c r="Y916" s="5"/>
    </row>
    <row r="917" spans="1:25" ht="15" thickBot="1" x14ac:dyDescent="0.35">
      <c r="A917" s="5"/>
      <c r="B917" s="5"/>
      <c r="C917" s="5"/>
      <c r="D917" s="5"/>
      <c r="E917" s="5"/>
      <c r="F917" s="5"/>
      <c r="G917" s="5"/>
      <c r="H917" s="25"/>
      <c r="I917" s="21"/>
      <c r="J917" s="18"/>
      <c r="K917" s="5"/>
      <c r="L917" s="5"/>
      <c r="M917" s="5"/>
      <c r="N917" s="5"/>
      <c r="O917" s="5"/>
      <c r="P917" s="5"/>
      <c r="Q917" s="5"/>
      <c r="R917" s="5"/>
      <c r="S917" s="5"/>
      <c r="T917" s="5"/>
      <c r="U917" s="5"/>
      <c r="V917" s="5"/>
      <c r="W917" s="5"/>
      <c r="X917" s="5"/>
      <c r="Y917" s="5"/>
    </row>
    <row r="918" spans="1:25" ht="15" thickBot="1" x14ac:dyDescent="0.35">
      <c r="A918" s="5"/>
      <c r="B918" s="5"/>
      <c r="C918" s="5"/>
      <c r="D918" s="5"/>
      <c r="E918" s="5"/>
      <c r="F918" s="5"/>
      <c r="G918" s="5"/>
      <c r="H918" s="25"/>
      <c r="I918" s="21"/>
      <c r="J918" s="18"/>
      <c r="K918" s="5"/>
      <c r="L918" s="5"/>
      <c r="M918" s="5"/>
      <c r="N918" s="5"/>
      <c r="O918" s="5"/>
      <c r="P918" s="5"/>
      <c r="Q918" s="5"/>
      <c r="R918" s="5"/>
      <c r="S918" s="5"/>
      <c r="T918" s="5"/>
      <c r="U918" s="5"/>
      <c r="V918" s="5"/>
      <c r="W918" s="5"/>
      <c r="X918" s="5"/>
      <c r="Y918" s="5"/>
    </row>
    <row r="919" spans="1:25" ht="15" thickBot="1" x14ac:dyDescent="0.35">
      <c r="A919" s="5"/>
      <c r="B919" s="5"/>
      <c r="C919" s="5"/>
      <c r="D919" s="5"/>
      <c r="E919" s="5"/>
      <c r="F919" s="5"/>
      <c r="G919" s="5"/>
      <c r="H919" s="25"/>
      <c r="I919" s="21"/>
      <c r="J919" s="18"/>
      <c r="K919" s="5"/>
      <c r="L919" s="5"/>
      <c r="M919" s="5"/>
      <c r="N919" s="5"/>
      <c r="O919" s="5"/>
      <c r="P919" s="5"/>
      <c r="Q919" s="5"/>
      <c r="R919" s="5"/>
      <c r="S919" s="5"/>
      <c r="T919" s="5"/>
      <c r="U919" s="5"/>
      <c r="V919" s="5"/>
      <c r="W919" s="5"/>
      <c r="X919" s="5"/>
      <c r="Y919" s="5"/>
    </row>
    <row r="920" spans="1:25" ht="15" thickBot="1" x14ac:dyDescent="0.35">
      <c r="A920" s="5"/>
      <c r="B920" s="5"/>
      <c r="C920" s="5"/>
      <c r="D920" s="5"/>
      <c r="E920" s="5"/>
      <c r="F920" s="5"/>
      <c r="G920" s="5"/>
      <c r="H920" s="25"/>
      <c r="I920" s="21"/>
      <c r="J920" s="18"/>
      <c r="K920" s="5"/>
      <c r="L920" s="5"/>
      <c r="M920" s="5"/>
      <c r="N920" s="5"/>
      <c r="O920" s="5"/>
      <c r="P920" s="5"/>
      <c r="Q920" s="5"/>
      <c r="R920" s="5"/>
      <c r="S920" s="5"/>
      <c r="T920" s="5"/>
      <c r="U920" s="5"/>
      <c r="V920" s="5"/>
      <c r="W920" s="5"/>
      <c r="X920" s="5"/>
      <c r="Y920" s="5"/>
    </row>
    <row r="921" spans="1:25" ht="15" thickBot="1" x14ac:dyDescent="0.35">
      <c r="A921" s="5"/>
      <c r="B921" s="5"/>
      <c r="C921" s="5"/>
      <c r="D921" s="5"/>
      <c r="E921" s="5"/>
      <c r="F921" s="5"/>
      <c r="G921" s="5"/>
      <c r="H921" s="25"/>
      <c r="I921" s="21"/>
      <c r="J921" s="18"/>
      <c r="K921" s="5"/>
      <c r="L921" s="5"/>
      <c r="M921" s="5"/>
      <c r="N921" s="5"/>
      <c r="O921" s="5"/>
      <c r="P921" s="5"/>
      <c r="Q921" s="5"/>
      <c r="R921" s="5"/>
      <c r="S921" s="5"/>
      <c r="T921" s="5"/>
      <c r="U921" s="5"/>
      <c r="V921" s="5"/>
      <c r="W921" s="5"/>
      <c r="X921" s="5"/>
      <c r="Y921" s="5"/>
    </row>
    <row r="922" spans="1:25" ht="15" thickBot="1" x14ac:dyDescent="0.35">
      <c r="A922" s="5"/>
      <c r="B922" s="5"/>
      <c r="C922" s="5"/>
      <c r="D922" s="5"/>
      <c r="E922" s="5"/>
      <c r="F922" s="5"/>
      <c r="G922" s="5"/>
      <c r="H922" s="25"/>
      <c r="I922" s="21"/>
      <c r="J922" s="18"/>
      <c r="K922" s="5"/>
      <c r="L922" s="5"/>
      <c r="M922" s="5"/>
      <c r="N922" s="5"/>
      <c r="O922" s="5"/>
      <c r="P922" s="5"/>
      <c r="Q922" s="5"/>
      <c r="R922" s="5"/>
      <c r="S922" s="5"/>
      <c r="T922" s="5"/>
      <c r="U922" s="5"/>
      <c r="V922" s="5"/>
      <c r="W922" s="5"/>
      <c r="X922" s="5"/>
      <c r="Y922" s="5"/>
    </row>
    <row r="923" spans="1:25" ht="15" thickBot="1" x14ac:dyDescent="0.35">
      <c r="A923" s="5"/>
      <c r="B923" s="5"/>
      <c r="C923" s="5"/>
      <c r="D923" s="5"/>
      <c r="E923" s="5"/>
      <c r="F923" s="5"/>
      <c r="G923" s="5"/>
      <c r="H923" s="25"/>
      <c r="I923" s="21"/>
      <c r="J923" s="18"/>
      <c r="K923" s="5"/>
      <c r="L923" s="5"/>
      <c r="M923" s="5"/>
      <c r="N923" s="5"/>
      <c r="O923" s="5"/>
      <c r="P923" s="5"/>
      <c r="Q923" s="5"/>
      <c r="R923" s="5"/>
      <c r="S923" s="5"/>
      <c r="T923" s="5"/>
      <c r="U923" s="5"/>
      <c r="V923" s="5"/>
      <c r="W923" s="5"/>
      <c r="X923" s="5"/>
      <c r="Y923" s="5"/>
    </row>
    <row r="924" spans="1:25" ht="15" thickBot="1" x14ac:dyDescent="0.35">
      <c r="A924" s="5"/>
      <c r="B924" s="5"/>
      <c r="C924" s="5"/>
      <c r="D924" s="5"/>
      <c r="E924" s="5"/>
      <c r="F924" s="5"/>
      <c r="G924" s="5"/>
      <c r="H924" s="25"/>
      <c r="I924" s="21"/>
      <c r="J924" s="18"/>
      <c r="K924" s="5"/>
      <c r="L924" s="5"/>
      <c r="M924" s="5"/>
      <c r="N924" s="5"/>
      <c r="O924" s="5"/>
      <c r="P924" s="5"/>
      <c r="Q924" s="5"/>
      <c r="R924" s="5"/>
      <c r="S924" s="5"/>
      <c r="T924" s="5"/>
      <c r="U924" s="5"/>
      <c r="V924" s="5"/>
      <c r="W924" s="5"/>
      <c r="X924" s="5"/>
      <c r="Y924" s="5"/>
    </row>
    <row r="925" spans="1:25" ht="15" thickBot="1" x14ac:dyDescent="0.35">
      <c r="A925" s="5"/>
      <c r="B925" s="5"/>
      <c r="C925" s="5"/>
      <c r="D925" s="5"/>
      <c r="E925" s="5"/>
      <c r="F925" s="5"/>
      <c r="G925" s="5"/>
      <c r="H925" s="25"/>
      <c r="I925" s="21"/>
      <c r="J925" s="18"/>
      <c r="K925" s="5"/>
      <c r="L925" s="5"/>
      <c r="M925" s="5"/>
      <c r="N925" s="5"/>
      <c r="O925" s="5"/>
      <c r="P925" s="5"/>
      <c r="Q925" s="5"/>
      <c r="R925" s="5"/>
      <c r="S925" s="5"/>
      <c r="T925" s="5"/>
      <c r="U925" s="5"/>
      <c r="V925" s="5"/>
      <c r="W925" s="5"/>
      <c r="X925" s="5"/>
      <c r="Y925" s="5"/>
    </row>
    <row r="926" spans="1:25" ht="15" thickBot="1" x14ac:dyDescent="0.35">
      <c r="A926" s="5"/>
      <c r="B926" s="5"/>
      <c r="C926" s="5"/>
      <c r="D926" s="5"/>
      <c r="E926" s="5"/>
      <c r="F926" s="5"/>
      <c r="G926" s="5"/>
      <c r="H926" s="25"/>
      <c r="I926" s="21"/>
      <c r="J926" s="18"/>
      <c r="K926" s="5"/>
      <c r="L926" s="5"/>
      <c r="M926" s="5"/>
      <c r="N926" s="5"/>
      <c r="O926" s="5"/>
      <c r="P926" s="5"/>
      <c r="Q926" s="5"/>
      <c r="R926" s="5"/>
      <c r="S926" s="5"/>
      <c r="T926" s="5"/>
      <c r="U926" s="5"/>
      <c r="V926" s="5"/>
      <c r="W926" s="5"/>
      <c r="X926" s="5"/>
      <c r="Y926" s="5"/>
    </row>
    <row r="927" spans="1:25" ht="15" thickBot="1" x14ac:dyDescent="0.35">
      <c r="A927" s="5"/>
      <c r="B927" s="5"/>
      <c r="C927" s="5"/>
      <c r="D927" s="5"/>
      <c r="E927" s="5"/>
      <c r="F927" s="5"/>
      <c r="G927" s="5"/>
      <c r="H927" s="25"/>
      <c r="I927" s="21"/>
      <c r="J927" s="18"/>
      <c r="K927" s="5"/>
      <c r="L927" s="5"/>
      <c r="M927" s="5"/>
      <c r="N927" s="5"/>
      <c r="O927" s="5"/>
      <c r="P927" s="5"/>
      <c r="Q927" s="5"/>
      <c r="R927" s="5"/>
      <c r="S927" s="5"/>
      <c r="T927" s="5"/>
      <c r="U927" s="5"/>
      <c r="V927" s="5"/>
      <c r="W927" s="5"/>
      <c r="X927" s="5"/>
      <c r="Y927" s="5"/>
    </row>
    <row r="928" spans="1:25" ht="15" thickBot="1" x14ac:dyDescent="0.35">
      <c r="A928" s="5"/>
      <c r="B928" s="5"/>
      <c r="C928" s="5"/>
      <c r="D928" s="5"/>
      <c r="E928" s="5"/>
      <c r="F928" s="5"/>
      <c r="G928" s="5"/>
      <c r="H928" s="25"/>
      <c r="I928" s="21"/>
      <c r="J928" s="18"/>
      <c r="K928" s="5"/>
      <c r="L928" s="5"/>
      <c r="M928" s="5"/>
      <c r="N928" s="5"/>
      <c r="O928" s="5"/>
      <c r="P928" s="5"/>
      <c r="Q928" s="5"/>
      <c r="R928" s="5"/>
      <c r="S928" s="5"/>
      <c r="T928" s="5"/>
      <c r="U928" s="5"/>
      <c r="V928" s="5"/>
      <c r="W928" s="5"/>
      <c r="X928" s="5"/>
      <c r="Y928" s="5"/>
    </row>
    <row r="929" spans="1:25" ht="15" thickBot="1" x14ac:dyDescent="0.35">
      <c r="A929" s="5"/>
      <c r="B929" s="5"/>
      <c r="C929" s="5"/>
      <c r="D929" s="5"/>
      <c r="E929" s="5"/>
      <c r="F929" s="5"/>
      <c r="G929" s="5"/>
      <c r="H929" s="25"/>
      <c r="I929" s="21"/>
      <c r="J929" s="18"/>
      <c r="K929" s="5"/>
      <c r="L929" s="5"/>
      <c r="M929" s="5"/>
      <c r="N929" s="5"/>
      <c r="O929" s="5"/>
      <c r="P929" s="5"/>
      <c r="Q929" s="5"/>
      <c r="R929" s="5"/>
      <c r="S929" s="5"/>
      <c r="T929" s="5"/>
      <c r="U929" s="5"/>
      <c r="V929" s="5"/>
      <c r="W929" s="5"/>
      <c r="X929" s="5"/>
      <c r="Y929" s="5"/>
    </row>
    <row r="930" spans="1:25" ht="15" thickBot="1" x14ac:dyDescent="0.35">
      <c r="A930" s="5"/>
      <c r="B930" s="5"/>
      <c r="C930" s="5"/>
      <c r="D930" s="5"/>
      <c r="E930" s="5"/>
      <c r="F930" s="5"/>
      <c r="G930" s="5"/>
      <c r="H930" s="25"/>
      <c r="I930" s="21"/>
      <c r="J930" s="18"/>
      <c r="K930" s="5"/>
      <c r="L930" s="5"/>
      <c r="M930" s="5"/>
      <c r="N930" s="5"/>
      <c r="O930" s="5"/>
      <c r="P930" s="5"/>
      <c r="Q930" s="5"/>
      <c r="R930" s="5"/>
      <c r="S930" s="5"/>
      <c r="T930" s="5"/>
      <c r="U930" s="5"/>
      <c r="V930" s="5"/>
      <c r="W930" s="5"/>
      <c r="X930" s="5"/>
      <c r="Y930" s="5"/>
    </row>
    <row r="931" spans="1:25" ht="15" thickBot="1" x14ac:dyDescent="0.35">
      <c r="A931" s="5"/>
      <c r="B931" s="5"/>
      <c r="C931" s="5"/>
      <c r="D931" s="5"/>
      <c r="E931" s="5"/>
      <c r="F931" s="5"/>
      <c r="G931" s="5"/>
      <c r="H931" s="25"/>
      <c r="I931" s="21"/>
      <c r="J931" s="18"/>
      <c r="K931" s="5"/>
      <c r="L931" s="5"/>
      <c r="M931" s="5"/>
      <c r="N931" s="5"/>
      <c r="O931" s="5"/>
      <c r="P931" s="5"/>
      <c r="Q931" s="5"/>
      <c r="R931" s="5"/>
      <c r="S931" s="5"/>
      <c r="T931" s="5"/>
      <c r="U931" s="5"/>
      <c r="V931" s="5"/>
      <c r="W931" s="5"/>
      <c r="X931" s="5"/>
      <c r="Y931" s="5"/>
    </row>
    <row r="932" spans="1:25" ht="15" thickBot="1" x14ac:dyDescent="0.35">
      <c r="A932" s="5"/>
      <c r="B932" s="5"/>
      <c r="C932" s="5"/>
      <c r="D932" s="5"/>
      <c r="E932" s="5"/>
      <c r="F932" s="5"/>
      <c r="G932" s="5"/>
      <c r="H932" s="25"/>
      <c r="I932" s="21"/>
      <c r="J932" s="18"/>
      <c r="K932" s="5"/>
      <c r="L932" s="5"/>
      <c r="M932" s="5"/>
      <c r="N932" s="5"/>
      <c r="O932" s="5"/>
      <c r="P932" s="5"/>
      <c r="Q932" s="5"/>
      <c r="R932" s="5"/>
      <c r="S932" s="5"/>
      <c r="T932" s="5"/>
      <c r="U932" s="5"/>
      <c r="V932" s="5"/>
      <c r="W932" s="5"/>
      <c r="X932" s="5"/>
      <c r="Y932" s="5"/>
    </row>
    <row r="933" spans="1:25" ht="15" thickBot="1" x14ac:dyDescent="0.35">
      <c r="A933" s="5"/>
      <c r="B933" s="5"/>
      <c r="C933" s="5"/>
      <c r="D933" s="5"/>
      <c r="E933" s="5"/>
      <c r="F933" s="5"/>
      <c r="G933" s="5"/>
      <c r="H933" s="25"/>
      <c r="I933" s="21"/>
      <c r="J933" s="18"/>
      <c r="K933" s="5"/>
      <c r="L933" s="5"/>
      <c r="M933" s="5"/>
      <c r="N933" s="5"/>
      <c r="O933" s="5"/>
      <c r="P933" s="5"/>
      <c r="Q933" s="5"/>
      <c r="R933" s="5"/>
      <c r="S933" s="5"/>
      <c r="T933" s="5"/>
      <c r="U933" s="5"/>
      <c r="V933" s="5"/>
      <c r="W933" s="5"/>
      <c r="X933" s="5"/>
      <c r="Y933" s="5"/>
    </row>
    <row r="934" spans="1:25" ht="15" thickBot="1" x14ac:dyDescent="0.35">
      <c r="A934" s="5"/>
      <c r="B934" s="5"/>
      <c r="C934" s="5"/>
      <c r="D934" s="5"/>
      <c r="E934" s="5"/>
      <c r="F934" s="5"/>
      <c r="G934" s="5"/>
      <c r="H934" s="25"/>
      <c r="I934" s="21"/>
      <c r="J934" s="18"/>
      <c r="K934" s="5"/>
      <c r="L934" s="5"/>
      <c r="M934" s="5"/>
      <c r="N934" s="5"/>
      <c r="O934" s="5"/>
      <c r="P934" s="5"/>
      <c r="Q934" s="5"/>
      <c r="R934" s="5"/>
      <c r="S934" s="5"/>
      <c r="T934" s="5"/>
      <c r="U934" s="5"/>
      <c r="V934" s="5"/>
      <c r="W934" s="5"/>
      <c r="X934" s="5"/>
      <c r="Y934" s="5"/>
    </row>
    <row r="935" spans="1:25" ht="15" thickBot="1" x14ac:dyDescent="0.35">
      <c r="A935" s="5"/>
      <c r="B935" s="5"/>
      <c r="C935" s="5"/>
      <c r="D935" s="5"/>
      <c r="E935" s="5"/>
      <c r="F935" s="5"/>
      <c r="G935" s="5"/>
      <c r="H935" s="25"/>
      <c r="I935" s="21"/>
      <c r="J935" s="18"/>
      <c r="K935" s="5"/>
      <c r="L935" s="5"/>
      <c r="M935" s="5"/>
      <c r="N935" s="5"/>
      <c r="O935" s="5"/>
      <c r="P935" s="5"/>
      <c r="Q935" s="5"/>
      <c r="R935" s="5"/>
      <c r="S935" s="5"/>
      <c r="T935" s="5"/>
      <c r="U935" s="5"/>
      <c r="V935" s="5"/>
      <c r="W935" s="5"/>
      <c r="X935" s="5"/>
      <c r="Y935" s="5"/>
    </row>
    <row r="936" spans="1:25" ht="15" thickBot="1" x14ac:dyDescent="0.35">
      <c r="A936" s="5"/>
      <c r="B936" s="5"/>
      <c r="C936" s="5"/>
      <c r="D936" s="5"/>
      <c r="E936" s="5"/>
      <c r="F936" s="5"/>
      <c r="G936" s="5"/>
      <c r="H936" s="25"/>
      <c r="I936" s="21"/>
      <c r="J936" s="18"/>
      <c r="K936" s="5"/>
      <c r="L936" s="5"/>
      <c r="M936" s="5"/>
      <c r="N936" s="5"/>
      <c r="O936" s="5"/>
      <c r="P936" s="5"/>
      <c r="Q936" s="5"/>
      <c r="R936" s="5"/>
      <c r="S936" s="5"/>
      <c r="T936" s="5"/>
      <c r="U936" s="5"/>
      <c r="V936" s="5"/>
      <c r="W936" s="5"/>
      <c r="X936" s="5"/>
      <c r="Y936" s="5"/>
    </row>
    <row r="937" spans="1:25" ht="15" thickBot="1" x14ac:dyDescent="0.35">
      <c r="A937" s="5"/>
      <c r="B937" s="5"/>
      <c r="C937" s="5"/>
      <c r="D937" s="5"/>
      <c r="E937" s="5"/>
      <c r="F937" s="5"/>
      <c r="G937" s="5"/>
      <c r="H937" s="25"/>
      <c r="I937" s="21"/>
      <c r="J937" s="18"/>
      <c r="K937" s="5"/>
      <c r="L937" s="5"/>
      <c r="M937" s="5"/>
      <c r="N937" s="5"/>
      <c r="O937" s="5"/>
      <c r="P937" s="5"/>
      <c r="Q937" s="5"/>
      <c r="R937" s="5"/>
      <c r="S937" s="5"/>
      <c r="T937" s="5"/>
      <c r="U937" s="5"/>
      <c r="V937" s="5"/>
      <c r="W937" s="5"/>
      <c r="X937" s="5"/>
      <c r="Y937" s="5"/>
    </row>
    <row r="938" spans="1:25" ht="15" thickBot="1" x14ac:dyDescent="0.35">
      <c r="A938" s="5"/>
      <c r="B938" s="5"/>
      <c r="C938" s="5"/>
      <c r="D938" s="5"/>
      <c r="E938" s="5"/>
      <c r="F938" s="5"/>
      <c r="G938" s="5"/>
      <c r="H938" s="25"/>
      <c r="I938" s="21"/>
      <c r="J938" s="18"/>
      <c r="K938" s="5"/>
      <c r="L938" s="5"/>
      <c r="M938" s="5"/>
      <c r="N938" s="5"/>
      <c r="O938" s="5"/>
      <c r="P938" s="5"/>
      <c r="Q938" s="5"/>
      <c r="R938" s="5"/>
      <c r="S938" s="5"/>
      <c r="T938" s="5"/>
      <c r="U938" s="5"/>
      <c r="V938" s="5"/>
      <c r="W938" s="5"/>
      <c r="X938" s="5"/>
      <c r="Y938" s="5"/>
    </row>
    <row r="939" spans="1:25" ht="15" thickBot="1" x14ac:dyDescent="0.35">
      <c r="A939" s="5"/>
      <c r="B939" s="5"/>
      <c r="C939" s="5"/>
      <c r="D939" s="5"/>
      <c r="E939" s="5"/>
      <c r="F939" s="5"/>
      <c r="G939" s="5"/>
      <c r="H939" s="25"/>
      <c r="I939" s="21"/>
      <c r="J939" s="18"/>
      <c r="K939" s="5"/>
      <c r="L939" s="5"/>
      <c r="M939" s="5"/>
      <c r="N939" s="5"/>
      <c r="O939" s="5"/>
      <c r="P939" s="5"/>
      <c r="Q939" s="5"/>
      <c r="R939" s="5"/>
      <c r="S939" s="5"/>
      <c r="T939" s="5"/>
      <c r="U939" s="5"/>
      <c r="V939" s="5"/>
      <c r="W939" s="5"/>
      <c r="X939" s="5"/>
      <c r="Y939" s="5"/>
    </row>
    <row r="940" spans="1:25" ht="15" thickBot="1" x14ac:dyDescent="0.35">
      <c r="A940" s="5"/>
      <c r="B940" s="5"/>
      <c r="C940" s="5"/>
      <c r="D940" s="5"/>
      <c r="E940" s="5"/>
      <c r="F940" s="5"/>
      <c r="G940" s="5"/>
      <c r="H940" s="25"/>
      <c r="I940" s="21"/>
      <c r="J940" s="18"/>
      <c r="K940" s="5"/>
      <c r="L940" s="5"/>
      <c r="M940" s="5"/>
      <c r="N940" s="5"/>
      <c r="O940" s="5"/>
      <c r="P940" s="5"/>
      <c r="Q940" s="5"/>
      <c r="R940" s="5"/>
      <c r="S940" s="5"/>
      <c r="T940" s="5"/>
      <c r="U940" s="5"/>
      <c r="V940" s="5"/>
      <c r="W940" s="5"/>
      <c r="X940" s="5"/>
      <c r="Y940" s="5"/>
    </row>
    <row r="941" spans="1:25" ht="15" thickBot="1" x14ac:dyDescent="0.35">
      <c r="A941" s="5"/>
      <c r="B941" s="5"/>
      <c r="C941" s="5"/>
      <c r="D941" s="5"/>
      <c r="E941" s="5"/>
      <c r="F941" s="5"/>
      <c r="G941" s="5"/>
      <c r="H941" s="25"/>
      <c r="I941" s="21"/>
      <c r="J941" s="18"/>
      <c r="K941" s="5"/>
      <c r="L941" s="5"/>
      <c r="M941" s="5"/>
      <c r="N941" s="5"/>
      <c r="O941" s="5"/>
      <c r="P941" s="5"/>
      <c r="Q941" s="5"/>
      <c r="R941" s="5"/>
      <c r="S941" s="5"/>
      <c r="T941" s="5"/>
      <c r="U941" s="5"/>
      <c r="V941" s="5"/>
      <c r="W941" s="5"/>
      <c r="X941" s="5"/>
      <c r="Y941" s="5"/>
    </row>
    <row r="942" spans="1:25" ht="15" thickBot="1" x14ac:dyDescent="0.35">
      <c r="A942" s="5"/>
      <c r="B942" s="5"/>
      <c r="C942" s="5"/>
      <c r="D942" s="5"/>
      <c r="E942" s="5"/>
      <c r="F942" s="5"/>
      <c r="G942" s="5"/>
      <c r="H942" s="25"/>
      <c r="I942" s="21"/>
      <c r="J942" s="18"/>
      <c r="K942" s="5"/>
      <c r="L942" s="5"/>
      <c r="M942" s="5"/>
      <c r="N942" s="5"/>
      <c r="O942" s="5"/>
      <c r="P942" s="5"/>
      <c r="Q942" s="5"/>
      <c r="R942" s="5"/>
      <c r="S942" s="5"/>
      <c r="T942" s="5"/>
      <c r="U942" s="5"/>
      <c r="V942" s="5"/>
      <c r="W942" s="5"/>
      <c r="X942" s="5"/>
      <c r="Y942" s="5"/>
    </row>
    <row r="943" spans="1:25" ht="15" thickBot="1" x14ac:dyDescent="0.35">
      <c r="A943" s="5"/>
      <c r="B943" s="5"/>
      <c r="C943" s="5"/>
      <c r="D943" s="5"/>
      <c r="E943" s="5"/>
      <c r="F943" s="5"/>
      <c r="G943" s="5"/>
      <c r="H943" s="25"/>
      <c r="I943" s="21"/>
      <c r="J943" s="18"/>
      <c r="K943" s="5"/>
      <c r="L943" s="5"/>
      <c r="M943" s="5"/>
      <c r="N943" s="5"/>
      <c r="O943" s="5"/>
      <c r="P943" s="5"/>
      <c r="Q943" s="5"/>
      <c r="R943" s="5"/>
      <c r="S943" s="5"/>
      <c r="T943" s="5"/>
      <c r="U943" s="5"/>
      <c r="V943" s="5"/>
      <c r="W943" s="5"/>
      <c r="X943" s="5"/>
      <c r="Y943" s="5"/>
    </row>
    <row r="944" spans="1:25" ht="15" thickBot="1" x14ac:dyDescent="0.35">
      <c r="A944" s="5"/>
      <c r="B944" s="5"/>
      <c r="C944" s="5"/>
      <c r="D944" s="5"/>
      <c r="E944" s="5"/>
      <c r="F944" s="5"/>
      <c r="G944" s="5"/>
      <c r="H944" s="25"/>
      <c r="I944" s="21"/>
      <c r="J944" s="18"/>
      <c r="K944" s="5"/>
      <c r="L944" s="5"/>
      <c r="M944" s="5"/>
      <c r="N944" s="5"/>
      <c r="O944" s="5"/>
      <c r="P944" s="5"/>
      <c r="Q944" s="5"/>
      <c r="R944" s="5"/>
      <c r="S944" s="5"/>
      <c r="T944" s="5"/>
      <c r="U944" s="5"/>
      <c r="V944" s="5"/>
      <c r="W944" s="5"/>
      <c r="X944" s="5"/>
      <c r="Y944" s="5"/>
    </row>
    <row r="945" spans="1:25" ht="15" thickBot="1" x14ac:dyDescent="0.35">
      <c r="A945" s="5"/>
      <c r="B945" s="5"/>
      <c r="C945" s="5"/>
      <c r="D945" s="5"/>
      <c r="E945" s="5"/>
      <c r="F945" s="5"/>
      <c r="G945" s="5"/>
      <c r="H945" s="25"/>
      <c r="I945" s="21"/>
      <c r="J945" s="18"/>
      <c r="K945" s="5"/>
      <c r="L945" s="5"/>
      <c r="M945" s="5"/>
      <c r="N945" s="5"/>
      <c r="O945" s="5"/>
      <c r="P945" s="5"/>
      <c r="Q945" s="5"/>
      <c r="R945" s="5"/>
      <c r="S945" s="5"/>
      <c r="T945" s="5"/>
      <c r="U945" s="5"/>
      <c r="V945" s="5"/>
      <c r="W945" s="5"/>
      <c r="X945" s="5"/>
      <c r="Y945" s="5"/>
    </row>
    <row r="946" spans="1:25" ht="15" thickBot="1" x14ac:dyDescent="0.35">
      <c r="A946" s="5"/>
      <c r="B946" s="5"/>
      <c r="C946" s="5"/>
      <c r="D946" s="5"/>
      <c r="E946" s="5"/>
      <c r="F946" s="5"/>
      <c r="G946" s="5"/>
      <c r="H946" s="25"/>
      <c r="I946" s="21"/>
      <c r="J946" s="18"/>
      <c r="K946" s="5"/>
      <c r="L946" s="5"/>
      <c r="M946" s="5"/>
      <c r="N946" s="5"/>
      <c r="O946" s="5"/>
      <c r="P946" s="5"/>
      <c r="Q946" s="5"/>
      <c r="R946" s="5"/>
      <c r="S946" s="5"/>
      <c r="T946" s="5"/>
      <c r="U946" s="5"/>
      <c r="V946" s="5"/>
      <c r="W946" s="5"/>
      <c r="X946" s="5"/>
      <c r="Y946" s="5"/>
    </row>
    <row r="947" spans="1:25" ht="15" thickBot="1" x14ac:dyDescent="0.35">
      <c r="A947" s="5"/>
      <c r="B947" s="5"/>
      <c r="C947" s="5"/>
      <c r="D947" s="5"/>
      <c r="E947" s="5"/>
      <c r="F947" s="5"/>
      <c r="G947" s="5"/>
      <c r="H947" s="25"/>
      <c r="I947" s="21"/>
      <c r="J947" s="18"/>
      <c r="K947" s="5"/>
      <c r="L947" s="5"/>
      <c r="M947" s="5"/>
      <c r="N947" s="5"/>
      <c r="O947" s="5"/>
      <c r="P947" s="5"/>
      <c r="Q947" s="5"/>
      <c r="R947" s="5"/>
      <c r="S947" s="5"/>
      <c r="T947" s="5"/>
      <c r="U947" s="5"/>
      <c r="V947" s="5"/>
      <c r="W947" s="5"/>
      <c r="X947" s="5"/>
      <c r="Y947" s="5"/>
    </row>
    <row r="948" spans="1:25" ht="15" thickBot="1" x14ac:dyDescent="0.35">
      <c r="A948" s="5"/>
      <c r="B948" s="5"/>
      <c r="C948" s="5"/>
      <c r="D948" s="5"/>
      <c r="E948" s="5"/>
      <c r="F948" s="5"/>
      <c r="G948" s="5"/>
      <c r="H948" s="25"/>
      <c r="I948" s="21"/>
      <c r="J948" s="18"/>
      <c r="K948" s="5"/>
      <c r="L948" s="5"/>
      <c r="M948" s="5"/>
      <c r="N948" s="5"/>
      <c r="O948" s="5"/>
      <c r="P948" s="5"/>
      <c r="Q948" s="5"/>
      <c r="R948" s="5"/>
      <c r="S948" s="5"/>
      <c r="T948" s="5"/>
      <c r="U948" s="5"/>
      <c r="V948" s="5"/>
      <c r="W948" s="5"/>
      <c r="X948" s="5"/>
      <c r="Y948" s="5"/>
    </row>
    <row r="949" spans="1:25" ht="15" thickBot="1" x14ac:dyDescent="0.35">
      <c r="A949" s="5"/>
      <c r="B949" s="5"/>
      <c r="C949" s="5"/>
      <c r="D949" s="5"/>
      <c r="E949" s="5"/>
      <c r="F949" s="5"/>
      <c r="G949" s="5"/>
      <c r="H949" s="25"/>
      <c r="I949" s="21"/>
      <c r="J949" s="18"/>
      <c r="K949" s="5"/>
      <c r="L949" s="5"/>
      <c r="M949" s="5"/>
      <c r="N949" s="5"/>
      <c r="O949" s="5"/>
      <c r="P949" s="5"/>
      <c r="Q949" s="5"/>
      <c r="R949" s="5"/>
      <c r="S949" s="5"/>
      <c r="T949" s="5"/>
      <c r="U949" s="5"/>
      <c r="V949" s="5"/>
      <c r="W949" s="5"/>
      <c r="X949" s="5"/>
      <c r="Y949" s="5"/>
    </row>
    <row r="950" spans="1:25" ht="15" thickBot="1" x14ac:dyDescent="0.35">
      <c r="A950" s="5"/>
      <c r="B950" s="5"/>
      <c r="C950" s="5"/>
      <c r="D950" s="5"/>
      <c r="E950" s="5"/>
      <c r="F950" s="5"/>
      <c r="G950" s="5"/>
      <c r="H950" s="25"/>
      <c r="I950" s="21"/>
      <c r="J950" s="18"/>
      <c r="K950" s="5"/>
      <c r="L950" s="5"/>
      <c r="M950" s="5"/>
      <c r="N950" s="5"/>
      <c r="O950" s="5"/>
      <c r="P950" s="5"/>
      <c r="Q950" s="5"/>
      <c r="R950" s="5"/>
      <c r="S950" s="5"/>
      <c r="T950" s="5"/>
      <c r="U950" s="5"/>
      <c r="V950" s="5"/>
      <c r="W950" s="5"/>
      <c r="X950" s="5"/>
      <c r="Y950" s="5"/>
    </row>
    <row r="951" spans="1:25" ht="15" thickBot="1" x14ac:dyDescent="0.35">
      <c r="A951" s="5"/>
      <c r="B951" s="5"/>
      <c r="C951" s="5"/>
      <c r="D951" s="5"/>
      <c r="E951" s="5"/>
      <c r="F951" s="5"/>
      <c r="G951" s="5"/>
      <c r="H951" s="25"/>
      <c r="I951" s="21"/>
      <c r="J951" s="18"/>
      <c r="K951" s="5"/>
      <c r="L951" s="5"/>
      <c r="M951" s="5"/>
      <c r="N951" s="5"/>
      <c r="O951" s="5"/>
      <c r="P951" s="5"/>
      <c r="Q951" s="5"/>
      <c r="R951" s="5"/>
      <c r="S951" s="5"/>
      <c r="T951" s="5"/>
      <c r="U951" s="5"/>
      <c r="V951" s="5"/>
      <c r="W951" s="5"/>
      <c r="X951" s="5"/>
      <c r="Y951" s="5"/>
    </row>
    <row r="952" spans="1:25" ht="15" thickBot="1" x14ac:dyDescent="0.35">
      <c r="A952" s="5"/>
      <c r="B952" s="5"/>
      <c r="C952" s="5"/>
      <c r="D952" s="5"/>
      <c r="E952" s="5"/>
      <c r="F952" s="5"/>
      <c r="G952" s="5"/>
      <c r="H952" s="25"/>
      <c r="I952" s="21"/>
      <c r="J952" s="18"/>
      <c r="K952" s="5"/>
      <c r="L952" s="5"/>
      <c r="M952" s="5"/>
      <c r="N952" s="5"/>
      <c r="O952" s="5"/>
      <c r="P952" s="5"/>
      <c r="Q952" s="5"/>
      <c r="R952" s="5"/>
      <c r="S952" s="5"/>
      <c r="T952" s="5"/>
      <c r="U952" s="5"/>
      <c r="V952" s="5"/>
      <c r="W952" s="5"/>
      <c r="X952" s="5"/>
      <c r="Y952" s="5"/>
    </row>
    <row r="953" spans="1:25" ht="15" thickBot="1" x14ac:dyDescent="0.35">
      <c r="A953" s="5"/>
      <c r="B953" s="5"/>
      <c r="C953" s="5"/>
      <c r="D953" s="5"/>
      <c r="E953" s="5"/>
      <c r="F953" s="5"/>
      <c r="G953" s="5"/>
      <c r="H953" s="25"/>
      <c r="I953" s="21"/>
      <c r="J953" s="18"/>
      <c r="K953" s="5"/>
      <c r="L953" s="5"/>
      <c r="M953" s="5"/>
      <c r="N953" s="5"/>
      <c r="O953" s="5"/>
      <c r="P953" s="5"/>
      <c r="Q953" s="5"/>
      <c r="R953" s="5"/>
      <c r="S953" s="5"/>
      <c r="T953" s="5"/>
      <c r="U953" s="5"/>
      <c r="V953" s="5"/>
      <c r="W953" s="5"/>
      <c r="X953" s="5"/>
      <c r="Y953" s="5"/>
    </row>
    <row r="954" spans="1:25" ht="15" thickBot="1" x14ac:dyDescent="0.35">
      <c r="A954" s="5"/>
      <c r="B954" s="5"/>
      <c r="C954" s="5"/>
      <c r="D954" s="5"/>
      <c r="E954" s="5"/>
      <c r="F954" s="5"/>
      <c r="G954" s="5"/>
      <c r="H954" s="25"/>
      <c r="I954" s="21"/>
      <c r="J954" s="18"/>
      <c r="K954" s="5"/>
      <c r="L954" s="5"/>
      <c r="M954" s="5"/>
      <c r="N954" s="5"/>
      <c r="O954" s="5"/>
      <c r="P954" s="5"/>
      <c r="Q954" s="5"/>
      <c r="R954" s="5"/>
      <c r="S954" s="5"/>
      <c r="T954" s="5"/>
      <c r="U954" s="5"/>
      <c r="V954" s="5"/>
      <c r="W954" s="5"/>
      <c r="X954" s="5"/>
      <c r="Y954" s="5"/>
    </row>
    <row r="955" spans="1:25" ht="15" thickBot="1" x14ac:dyDescent="0.35">
      <c r="A955" s="5"/>
      <c r="B955" s="5"/>
      <c r="C955" s="5"/>
      <c r="D955" s="5"/>
      <c r="E955" s="5"/>
      <c r="F955" s="5"/>
      <c r="G955" s="5"/>
      <c r="H955" s="25"/>
      <c r="I955" s="21"/>
      <c r="J955" s="18"/>
      <c r="K955" s="5"/>
      <c r="L955" s="5"/>
      <c r="M955" s="5"/>
      <c r="N955" s="5"/>
      <c r="O955" s="5"/>
      <c r="P955" s="5"/>
      <c r="Q955" s="5"/>
      <c r="R955" s="5"/>
      <c r="S955" s="5"/>
      <c r="T955" s="5"/>
      <c r="U955" s="5"/>
      <c r="V955" s="5"/>
      <c r="W955" s="5"/>
      <c r="X955" s="5"/>
      <c r="Y955" s="5"/>
    </row>
    <row r="956" spans="1:25" ht="15" thickBot="1" x14ac:dyDescent="0.35">
      <c r="A956" s="5"/>
      <c r="B956" s="5"/>
      <c r="C956" s="5"/>
      <c r="D956" s="5"/>
      <c r="E956" s="5"/>
      <c r="F956" s="5"/>
      <c r="G956" s="5"/>
      <c r="H956" s="25"/>
      <c r="I956" s="21"/>
      <c r="J956" s="18"/>
      <c r="K956" s="5"/>
      <c r="L956" s="5"/>
      <c r="M956" s="5"/>
      <c r="N956" s="5"/>
      <c r="O956" s="5"/>
      <c r="P956" s="5"/>
      <c r="Q956" s="5"/>
      <c r="R956" s="5"/>
      <c r="S956" s="5"/>
      <c r="T956" s="5"/>
      <c r="U956" s="5"/>
      <c r="V956" s="5"/>
      <c r="W956" s="5"/>
      <c r="X956" s="5"/>
      <c r="Y956" s="5"/>
    </row>
    <row r="957" spans="1:25" ht="15" thickBot="1" x14ac:dyDescent="0.35">
      <c r="A957" s="5"/>
      <c r="B957" s="5"/>
      <c r="C957" s="5"/>
      <c r="D957" s="5"/>
      <c r="E957" s="5"/>
      <c r="F957" s="5"/>
      <c r="G957" s="5"/>
      <c r="H957" s="25"/>
      <c r="I957" s="21"/>
      <c r="J957" s="18"/>
      <c r="K957" s="5"/>
      <c r="L957" s="5"/>
      <c r="M957" s="5"/>
      <c r="N957" s="5"/>
      <c r="O957" s="5"/>
      <c r="P957" s="5"/>
      <c r="Q957" s="5"/>
      <c r="R957" s="5"/>
      <c r="S957" s="5"/>
      <c r="T957" s="5"/>
      <c r="U957" s="5"/>
      <c r="V957" s="5"/>
      <c r="W957" s="5"/>
      <c r="X957" s="5"/>
      <c r="Y957" s="5"/>
    </row>
    <row r="958" spans="1:25" ht="15" thickBot="1" x14ac:dyDescent="0.35">
      <c r="A958" s="5"/>
      <c r="B958" s="5"/>
      <c r="C958" s="5"/>
      <c r="D958" s="5"/>
      <c r="E958" s="5"/>
      <c r="F958" s="5"/>
      <c r="G958" s="5"/>
      <c r="H958" s="25"/>
      <c r="I958" s="21"/>
      <c r="J958" s="18"/>
      <c r="K958" s="5"/>
      <c r="L958" s="5"/>
      <c r="M958" s="5"/>
      <c r="N958" s="5"/>
      <c r="O958" s="5"/>
      <c r="P958" s="5"/>
      <c r="Q958" s="5"/>
      <c r="R958" s="5"/>
      <c r="S958" s="5"/>
      <c r="T958" s="5"/>
      <c r="U958" s="5"/>
      <c r="V958" s="5"/>
      <c r="W958" s="5"/>
      <c r="X958" s="5"/>
      <c r="Y958" s="5"/>
    </row>
    <row r="959" spans="1:25" ht="15" thickBot="1" x14ac:dyDescent="0.35">
      <c r="A959" s="5"/>
      <c r="B959" s="5"/>
      <c r="C959" s="5"/>
      <c r="D959" s="5"/>
      <c r="E959" s="5"/>
      <c r="F959" s="5"/>
      <c r="G959" s="5"/>
      <c r="H959" s="25"/>
      <c r="I959" s="21"/>
      <c r="J959" s="18"/>
      <c r="K959" s="5"/>
      <c r="L959" s="5"/>
      <c r="M959" s="5"/>
      <c r="N959" s="5"/>
      <c r="O959" s="5"/>
      <c r="P959" s="5"/>
      <c r="Q959" s="5"/>
      <c r="R959" s="5"/>
      <c r="S959" s="5"/>
      <c r="T959" s="5"/>
      <c r="U959" s="5"/>
      <c r="V959" s="5"/>
      <c r="W959" s="5"/>
      <c r="X959" s="5"/>
      <c r="Y959" s="5"/>
    </row>
    <row r="960" spans="1:25" ht="15" thickBot="1" x14ac:dyDescent="0.35">
      <c r="A960" s="5"/>
      <c r="B960" s="5"/>
      <c r="C960" s="5"/>
      <c r="D960" s="5"/>
      <c r="E960" s="5"/>
      <c r="F960" s="5"/>
      <c r="G960" s="5"/>
      <c r="H960" s="25"/>
      <c r="I960" s="21"/>
      <c r="J960" s="18"/>
      <c r="K960" s="5"/>
      <c r="L960" s="5"/>
      <c r="M960" s="5"/>
      <c r="N960" s="5"/>
      <c r="O960" s="5"/>
      <c r="P960" s="5"/>
      <c r="Q960" s="5"/>
      <c r="R960" s="5"/>
      <c r="S960" s="5"/>
      <c r="T960" s="5"/>
      <c r="U960" s="5"/>
      <c r="V960" s="5"/>
      <c r="W960" s="5"/>
      <c r="X960" s="5"/>
      <c r="Y960" s="5"/>
    </row>
    <row r="961" spans="1:25" ht="15" thickBot="1" x14ac:dyDescent="0.35">
      <c r="A961" s="5"/>
      <c r="B961" s="5"/>
      <c r="C961" s="5"/>
      <c r="D961" s="5"/>
      <c r="E961" s="5"/>
      <c r="F961" s="5"/>
      <c r="G961" s="5"/>
      <c r="H961" s="25"/>
      <c r="I961" s="21"/>
      <c r="J961" s="18"/>
      <c r="K961" s="5"/>
      <c r="L961" s="5"/>
      <c r="M961" s="5"/>
      <c r="N961" s="5"/>
      <c r="O961" s="5"/>
      <c r="P961" s="5"/>
      <c r="Q961" s="5"/>
      <c r="R961" s="5"/>
      <c r="S961" s="5"/>
      <c r="T961" s="5"/>
      <c r="U961" s="5"/>
      <c r="V961" s="5"/>
      <c r="W961" s="5"/>
      <c r="X961" s="5"/>
      <c r="Y961" s="5"/>
    </row>
    <row r="962" spans="1:25" ht="15" thickBot="1" x14ac:dyDescent="0.35">
      <c r="A962" s="5"/>
      <c r="B962" s="5"/>
      <c r="C962" s="5"/>
      <c r="D962" s="5"/>
      <c r="E962" s="5"/>
      <c r="F962" s="5"/>
      <c r="G962" s="5"/>
      <c r="H962" s="25"/>
      <c r="I962" s="21"/>
      <c r="J962" s="18"/>
      <c r="K962" s="5"/>
      <c r="L962" s="5"/>
      <c r="M962" s="5"/>
      <c r="N962" s="5"/>
      <c r="O962" s="5"/>
      <c r="P962" s="5"/>
      <c r="Q962" s="5"/>
      <c r="R962" s="5"/>
      <c r="S962" s="5"/>
      <c r="T962" s="5"/>
      <c r="U962" s="5"/>
      <c r="V962" s="5"/>
      <c r="W962" s="5"/>
      <c r="X962" s="5"/>
      <c r="Y962" s="5"/>
    </row>
    <row r="963" spans="1:25" ht="15" thickBot="1" x14ac:dyDescent="0.35">
      <c r="A963" s="5"/>
      <c r="B963" s="5"/>
      <c r="C963" s="5"/>
      <c r="D963" s="5"/>
      <c r="E963" s="5"/>
      <c r="F963" s="5"/>
      <c r="G963" s="5"/>
      <c r="H963" s="25"/>
      <c r="I963" s="21"/>
      <c r="J963" s="18"/>
      <c r="K963" s="5"/>
      <c r="L963" s="5"/>
      <c r="M963" s="5"/>
      <c r="N963" s="5"/>
      <c r="O963" s="5"/>
      <c r="P963" s="5"/>
      <c r="Q963" s="5"/>
      <c r="R963" s="5"/>
      <c r="S963" s="5"/>
      <c r="T963" s="5"/>
      <c r="U963" s="5"/>
      <c r="V963" s="5"/>
      <c r="W963" s="5"/>
      <c r="X963" s="5"/>
      <c r="Y963" s="5"/>
    </row>
    <row r="964" spans="1:25" ht="15" thickBot="1" x14ac:dyDescent="0.35">
      <c r="A964" s="5"/>
      <c r="B964" s="5"/>
      <c r="C964" s="5"/>
      <c r="D964" s="5"/>
      <c r="E964" s="5"/>
      <c r="F964" s="5"/>
      <c r="G964" s="5"/>
      <c r="H964" s="25"/>
      <c r="I964" s="21"/>
      <c r="J964" s="18"/>
      <c r="K964" s="5"/>
      <c r="L964" s="5"/>
      <c r="M964" s="5"/>
      <c r="N964" s="5"/>
      <c r="O964" s="5"/>
      <c r="P964" s="5"/>
      <c r="Q964" s="5"/>
      <c r="R964" s="5"/>
      <c r="S964" s="5"/>
      <c r="T964" s="5"/>
      <c r="U964" s="5"/>
      <c r="V964" s="5"/>
      <c r="W964" s="5"/>
      <c r="X964" s="5"/>
      <c r="Y964" s="5"/>
    </row>
    <row r="965" spans="1:25" ht="15" thickBot="1" x14ac:dyDescent="0.35">
      <c r="A965" s="5"/>
      <c r="B965" s="5"/>
      <c r="C965" s="5"/>
      <c r="D965" s="5"/>
      <c r="E965" s="5"/>
      <c r="F965" s="5"/>
      <c r="G965" s="5"/>
      <c r="H965" s="25"/>
      <c r="I965" s="21"/>
      <c r="J965" s="18"/>
      <c r="K965" s="5"/>
      <c r="L965" s="5"/>
      <c r="M965" s="5"/>
      <c r="N965" s="5"/>
      <c r="O965" s="5"/>
      <c r="P965" s="5"/>
      <c r="Q965" s="5"/>
      <c r="R965" s="5"/>
      <c r="S965" s="5"/>
      <c r="T965" s="5"/>
      <c r="U965" s="5"/>
      <c r="V965" s="5"/>
      <c r="W965" s="5"/>
      <c r="X965" s="5"/>
      <c r="Y965" s="5"/>
    </row>
    <row r="966" spans="1:25" ht="15" thickBot="1" x14ac:dyDescent="0.35">
      <c r="A966" s="5"/>
      <c r="B966" s="5"/>
      <c r="C966" s="5"/>
      <c r="D966" s="5"/>
      <c r="E966" s="5"/>
      <c r="F966" s="5"/>
      <c r="G966" s="5"/>
      <c r="H966" s="25"/>
      <c r="I966" s="21"/>
      <c r="J966" s="18"/>
      <c r="K966" s="5"/>
      <c r="L966" s="5"/>
      <c r="M966" s="5"/>
      <c r="N966" s="5"/>
      <c r="O966" s="5"/>
      <c r="P966" s="5"/>
      <c r="Q966" s="5"/>
      <c r="R966" s="5"/>
      <c r="S966" s="5"/>
      <c r="T966" s="5"/>
      <c r="U966" s="5"/>
      <c r="V966" s="5"/>
      <c r="W966" s="5"/>
      <c r="X966" s="5"/>
      <c r="Y966" s="5"/>
    </row>
    <row r="967" spans="1:25" ht="15" thickBot="1" x14ac:dyDescent="0.35">
      <c r="A967" s="5"/>
      <c r="B967" s="5"/>
      <c r="C967" s="5"/>
      <c r="D967" s="5"/>
      <c r="E967" s="5"/>
      <c r="F967" s="5"/>
      <c r="G967" s="5"/>
      <c r="H967" s="25"/>
      <c r="I967" s="21"/>
      <c r="J967" s="18"/>
      <c r="K967" s="5"/>
      <c r="L967" s="5"/>
      <c r="M967" s="5"/>
      <c r="N967" s="5"/>
      <c r="O967" s="5"/>
      <c r="P967" s="5"/>
      <c r="Q967" s="5"/>
      <c r="R967" s="5"/>
      <c r="S967" s="5"/>
      <c r="T967" s="5"/>
      <c r="U967" s="5"/>
      <c r="V967" s="5"/>
      <c r="W967" s="5"/>
      <c r="X967" s="5"/>
      <c r="Y967" s="5"/>
    </row>
    <row r="968" spans="1:25" ht="15" thickBot="1" x14ac:dyDescent="0.35">
      <c r="A968" s="5"/>
      <c r="B968" s="5"/>
      <c r="C968" s="5"/>
      <c r="D968" s="5"/>
      <c r="E968" s="5"/>
      <c r="F968" s="5"/>
      <c r="G968" s="5"/>
      <c r="H968" s="25"/>
      <c r="I968" s="21"/>
      <c r="J968" s="18"/>
      <c r="K968" s="5"/>
      <c r="L968" s="5"/>
      <c r="M968" s="5"/>
      <c r="N968" s="5"/>
      <c r="O968" s="5"/>
      <c r="P968" s="5"/>
      <c r="Q968" s="5"/>
      <c r="R968" s="5"/>
      <c r="S968" s="5"/>
      <c r="T968" s="5"/>
      <c r="U968" s="5"/>
      <c r="V968" s="5"/>
      <c r="W968" s="5"/>
      <c r="X968" s="5"/>
      <c r="Y968" s="5"/>
    </row>
    <row r="969" spans="1:25" ht="15" thickBot="1" x14ac:dyDescent="0.35">
      <c r="A969" s="5"/>
      <c r="B969" s="5"/>
      <c r="C969" s="5"/>
      <c r="D969" s="5"/>
      <c r="E969" s="5"/>
      <c r="F969" s="5"/>
      <c r="G969" s="5"/>
      <c r="H969" s="25"/>
      <c r="I969" s="21"/>
      <c r="J969" s="18"/>
      <c r="K969" s="5"/>
      <c r="L969" s="5"/>
      <c r="M969" s="5"/>
      <c r="N969" s="5"/>
      <c r="O969" s="5"/>
      <c r="P969" s="5"/>
      <c r="Q969" s="5"/>
      <c r="R969" s="5"/>
      <c r="S969" s="5"/>
      <c r="T969" s="5"/>
      <c r="U969" s="5"/>
      <c r="V969" s="5"/>
      <c r="W969" s="5"/>
      <c r="X969" s="5"/>
      <c r="Y969" s="5"/>
    </row>
    <row r="970" spans="1:25" ht="15" thickBot="1" x14ac:dyDescent="0.35">
      <c r="A970" s="5"/>
      <c r="B970" s="5"/>
      <c r="C970" s="5"/>
      <c r="D970" s="5"/>
      <c r="E970" s="5"/>
      <c r="F970" s="5"/>
      <c r="G970" s="5"/>
      <c r="H970" s="25"/>
      <c r="I970" s="21"/>
      <c r="J970" s="18"/>
      <c r="K970" s="5"/>
      <c r="L970" s="5"/>
      <c r="M970" s="5"/>
      <c r="N970" s="5"/>
      <c r="O970" s="5"/>
      <c r="P970" s="5"/>
      <c r="Q970" s="5"/>
      <c r="R970" s="5"/>
      <c r="S970" s="5"/>
      <c r="T970" s="5"/>
      <c r="U970" s="5"/>
      <c r="V970" s="5"/>
      <c r="W970" s="5"/>
      <c r="X970" s="5"/>
      <c r="Y970" s="5"/>
    </row>
    <row r="971" spans="1:25" ht="15" thickBot="1" x14ac:dyDescent="0.35">
      <c r="A971" s="5"/>
      <c r="B971" s="5"/>
      <c r="C971" s="5"/>
      <c r="D971" s="5"/>
      <c r="E971" s="5"/>
      <c r="F971" s="5"/>
      <c r="G971" s="5"/>
      <c r="H971" s="25"/>
      <c r="I971" s="21"/>
      <c r="J971" s="18"/>
      <c r="K971" s="5"/>
      <c r="L971" s="5"/>
      <c r="M971" s="5"/>
      <c r="N971" s="5"/>
      <c r="O971" s="5"/>
      <c r="P971" s="5"/>
      <c r="Q971" s="5"/>
      <c r="R971" s="5"/>
      <c r="S971" s="5"/>
      <c r="T971" s="5"/>
      <c r="U971" s="5"/>
      <c r="V971" s="5"/>
      <c r="W971" s="5"/>
      <c r="X971" s="5"/>
      <c r="Y971" s="5"/>
    </row>
    <row r="972" spans="1:25" ht="15" thickBot="1" x14ac:dyDescent="0.35">
      <c r="A972" s="5"/>
      <c r="B972" s="5"/>
      <c r="C972" s="5"/>
      <c r="D972" s="5"/>
      <c r="E972" s="5"/>
      <c r="F972" s="5"/>
      <c r="G972" s="5"/>
      <c r="H972" s="25"/>
      <c r="I972" s="21"/>
      <c r="J972" s="18"/>
      <c r="K972" s="5"/>
      <c r="L972" s="5"/>
      <c r="M972" s="5"/>
      <c r="N972" s="5"/>
      <c r="O972" s="5"/>
      <c r="P972" s="5"/>
      <c r="Q972" s="5"/>
      <c r="R972" s="5"/>
      <c r="S972" s="5"/>
      <c r="T972" s="5"/>
      <c r="U972" s="5"/>
      <c r="V972" s="5"/>
      <c r="W972" s="5"/>
      <c r="X972" s="5"/>
      <c r="Y972" s="5"/>
    </row>
    <row r="973" spans="1:25" ht="15" thickBot="1" x14ac:dyDescent="0.35">
      <c r="A973" s="5"/>
      <c r="B973" s="5"/>
      <c r="C973" s="5"/>
      <c r="D973" s="5"/>
      <c r="E973" s="5"/>
      <c r="F973" s="5"/>
      <c r="G973" s="5"/>
      <c r="H973" s="25"/>
      <c r="I973" s="21"/>
      <c r="J973" s="18"/>
      <c r="K973" s="5"/>
      <c r="L973" s="5"/>
      <c r="M973" s="5"/>
      <c r="N973" s="5"/>
      <c r="O973" s="5"/>
      <c r="P973" s="5"/>
      <c r="Q973" s="5"/>
      <c r="R973" s="5"/>
      <c r="S973" s="5"/>
      <c r="T973" s="5"/>
      <c r="U973" s="5"/>
      <c r="V973" s="5"/>
      <c r="W973" s="5"/>
      <c r="X973" s="5"/>
      <c r="Y973" s="5"/>
    </row>
    <row r="974" spans="1:25" ht="15" thickBot="1" x14ac:dyDescent="0.35">
      <c r="A974" s="5"/>
      <c r="B974" s="5"/>
      <c r="C974" s="5"/>
      <c r="D974" s="5"/>
      <c r="E974" s="5"/>
      <c r="F974" s="5"/>
      <c r="G974" s="5"/>
      <c r="H974" s="25"/>
      <c r="I974" s="21"/>
      <c r="J974" s="18"/>
      <c r="K974" s="5"/>
      <c r="L974" s="5"/>
      <c r="M974" s="5"/>
      <c r="N974" s="5"/>
      <c r="O974" s="5"/>
      <c r="P974" s="5"/>
      <c r="Q974" s="5"/>
      <c r="R974" s="5"/>
      <c r="S974" s="5"/>
      <c r="T974" s="5"/>
      <c r="U974" s="5"/>
      <c r="V974" s="5"/>
      <c r="W974" s="5"/>
      <c r="X974" s="5"/>
      <c r="Y974" s="5"/>
    </row>
    <row r="975" spans="1:25" ht="15" thickBot="1" x14ac:dyDescent="0.35">
      <c r="A975" s="5"/>
      <c r="B975" s="5"/>
      <c r="C975" s="5"/>
      <c r="D975" s="5"/>
      <c r="E975" s="5"/>
      <c r="F975" s="5"/>
      <c r="G975" s="5"/>
      <c r="H975" s="25"/>
      <c r="I975" s="21"/>
      <c r="J975" s="18"/>
      <c r="K975" s="5"/>
      <c r="L975" s="5"/>
      <c r="M975" s="5"/>
      <c r="N975" s="5"/>
      <c r="O975" s="5"/>
      <c r="P975" s="5"/>
      <c r="Q975" s="5"/>
      <c r="R975" s="5"/>
      <c r="S975" s="5"/>
      <c r="T975" s="5"/>
      <c r="U975" s="5"/>
      <c r="V975" s="5"/>
      <c r="W975" s="5"/>
      <c r="X975" s="5"/>
      <c r="Y975" s="5"/>
    </row>
    <row r="976" spans="1:25" ht="15" thickBot="1" x14ac:dyDescent="0.35">
      <c r="A976" s="5"/>
      <c r="B976" s="5"/>
      <c r="C976" s="5"/>
      <c r="D976" s="5"/>
      <c r="E976" s="5"/>
      <c r="F976" s="5"/>
      <c r="G976" s="5"/>
      <c r="H976" s="25"/>
      <c r="I976" s="21"/>
      <c r="J976" s="18"/>
      <c r="K976" s="5"/>
      <c r="L976" s="5"/>
      <c r="M976" s="5"/>
      <c r="N976" s="5"/>
      <c r="O976" s="5"/>
      <c r="P976" s="5"/>
      <c r="Q976" s="5"/>
      <c r="R976" s="5"/>
      <c r="S976" s="5"/>
      <c r="T976" s="5"/>
      <c r="U976" s="5"/>
      <c r="V976" s="5"/>
      <c r="W976" s="5"/>
      <c r="X976" s="5"/>
      <c r="Y976" s="5"/>
    </row>
    <row r="977" spans="1:25" ht="15" thickBot="1" x14ac:dyDescent="0.35">
      <c r="A977" s="5"/>
      <c r="B977" s="5"/>
      <c r="C977" s="5"/>
      <c r="D977" s="5"/>
      <c r="E977" s="5"/>
      <c r="F977" s="5"/>
      <c r="G977" s="5"/>
      <c r="H977" s="25"/>
      <c r="I977" s="21"/>
      <c r="J977" s="18"/>
      <c r="K977" s="5"/>
      <c r="L977" s="5"/>
      <c r="M977" s="5"/>
      <c r="N977" s="5"/>
      <c r="O977" s="5"/>
      <c r="P977" s="5"/>
      <c r="Q977" s="5"/>
      <c r="R977" s="5"/>
      <c r="S977" s="5"/>
      <c r="T977" s="5"/>
      <c r="U977" s="5"/>
      <c r="V977" s="5"/>
      <c r="W977" s="5"/>
      <c r="X977" s="5"/>
      <c r="Y977" s="5"/>
    </row>
    <row r="978" spans="1:25" ht="15" thickBot="1" x14ac:dyDescent="0.35">
      <c r="A978" s="5"/>
      <c r="B978" s="5"/>
      <c r="C978" s="5"/>
      <c r="D978" s="5"/>
      <c r="E978" s="5"/>
      <c r="F978" s="5"/>
      <c r="G978" s="5"/>
      <c r="H978" s="25"/>
      <c r="I978" s="21"/>
      <c r="J978" s="18"/>
      <c r="K978" s="5"/>
      <c r="L978" s="5"/>
      <c r="M978" s="5"/>
      <c r="N978" s="5"/>
      <c r="O978" s="5"/>
      <c r="P978" s="5"/>
      <c r="Q978" s="5"/>
      <c r="R978" s="5"/>
      <c r="S978" s="5"/>
      <c r="T978" s="5"/>
      <c r="U978" s="5"/>
      <c r="V978" s="5"/>
      <c r="W978" s="5"/>
      <c r="X978" s="5"/>
      <c r="Y978" s="5"/>
    </row>
    <row r="979" spans="1:25" ht="15" thickBot="1" x14ac:dyDescent="0.35">
      <c r="A979" s="5"/>
      <c r="B979" s="5"/>
      <c r="C979" s="5"/>
      <c r="D979" s="5"/>
      <c r="E979" s="5"/>
      <c r="F979" s="5"/>
      <c r="G979" s="5"/>
      <c r="H979" s="25"/>
      <c r="I979" s="21"/>
      <c r="J979" s="18"/>
      <c r="K979" s="5"/>
      <c r="L979" s="5"/>
      <c r="M979" s="5"/>
      <c r="N979" s="5"/>
      <c r="O979" s="5"/>
      <c r="P979" s="5"/>
      <c r="Q979" s="5"/>
      <c r="R979" s="5"/>
      <c r="S979" s="5"/>
      <c r="T979" s="5"/>
      <c r="U979" s="5"/>
      <c r="V979" s="5"/>
      <c r="W979" s="5"/>
      <c r="X979" s="5"/>
      <c r="Y979" s="5"/>
    </row>
    <row r="980" spans="1:25" ht="15" thickBot="1" x14ac:dyDescent="0.35">
      <c r="A980" s="5"/>
      <c r="B980" s="5"/>
      <c r="C980" s="5"/>
      <c r="D980" s="5"/>
      <c r="E980" s="5"/>
      <c r="F980" s="5"/>
      <c r="G980" s="5"/>
      <c r="H980" s="25"/>
      <c r="I980" s="21"/>
      <c r="J980" s="18"/>
      <c r="K980" s="5"/>
      <c r="L980" s="5"/>
      <c r="M980" s="5"/>
      <c r="N980" s="5"/>
      <c r="O980" s="5"/>
      <c r="P980" s="5"/>
      <c r="Q980" s="5"/>
      <c r="R980" s="5"/>
      <c r="S980" s="5"/>
      <c r="T980" s="5"/>
      <c r="U980" s="5"/>
      <c r="V980" s="5"/>
      <c r="W980" s="5"/>
      <c r="X980" s="5"/>
      <c r="Y980" s="5"/>
    </row>
    <row r="981" spans="1:25" ht="15" thickBot="1" x14ac:dyDescent="0.35">
      <c r="A981" s="5"/>
      <c r="B981" s="5"/>
      <c r="C981" s="5"/>
      <c r="D981" s="5"/>
      <c r="E981" s="5"/>
      <c r="F981" s="5"/>
      <c r="G981" s="5"/>
      <c r="H981" s="25"/>
      <c r="I981" s="21"/>
      <c r="J981" s="18"/>
      <c r="K981" s="5"/>
      <c r="L981" s="5"/>
      <c r="M981" s="5"/>
      <c r="N981" s="5"/>
      <c r="O981" s="5"/>
      <c r="P981" s="5"/>
      <c r="Q981" s="5"/>
      <c r="R981" s="5"/>
      <c r="S981" s="5"/>
      <c r="T981" s="5"/>
      <c r="U981" s="5"/>
      <c r="V981" s="5"/>
      <c r="W981" s="5"/>
      <c r="X981" s="5"/>
      <c r="Y981" s="5"/>
    </row>
    <row r="982" spans="1:25" ht="15" thickBot="1" x14ac:dyDescent="0.35">
      <c r="A982" s="5"/>
      <c r="B982" s="5"/>
      <c r="C982" s="5"/>
      <c r="D982" s="5"/>
      <c r="E982" s="5"/>
      <c r="F982" s="5"/>
      <c r="G982" s="5"/>
      <c r="H982" s="25"/>
      <c r="I982" s="21"/>
      <c r="J982" s="18"/>
      <c r="K982" s="5"/>
      <c r="L982" s="5"/>
      <c r="M982" s="5"/>
      <c r="N982" s="5"/>
      <c r="O982" s="5"/>
      <c r="P982" s="5"/>
      <c r="Q982" s="5"/>
      <c r="R982" s="5"/>
      <c r="S982" s="5"/>
      <c r="T982" s="5"/>
      <c r="U982" s="5"/>
      <c r="V982" s="5"/>
      <c r="W982" s="5"/>
      <c r="X982" s="5"/>
      <c r="Y982" s="5"/>
    </row>
    <row r="983" spans="1:25" ht="15" thickBot="1" x14ac:dyDescent="0.35">
      <c r="A983" s="5"/>
      <c r="B983" s="5"/>
      <c r="C983" s="5"/>
      <c r="D983" s="5"/>
      <c r="E983" s="5"/>
      <c r="F983" s="5"/>
      <c r="G983" s="5"/>
      <c r="H983" s="25"/>
      <c r="I983" s="21"/>
      <c r="J983" s="18"/>
      <c r="K983" s="5"/>
      <c r="L983" s="5"/>
      <c r="M983" s="5"/>
      <c r="N983" s="5"/>
      <c r="O983" s="5"/>
      <c r="P983" s="5"/>
      <c r="Q983" s="5"/>
      <c r="R983" s="5"/>
      <c r="S983" s="5"/>
      <c r="T983" s="5"/>
      <c r="U983" s="5"/>
      <c r="V983" s="5"/>
      <c r="W983" s="5"/>
      <c r="X983" s="5"/>
      <c r="Y983" s="5"/>
    </row>
    <row r="984" spans="1:25" ht="15" thickBot="1" x14ac:dyDescent="0.35">
      <c r="A984" s="5"/>
      <c r="B984" s="5"/>
      <c r="C984" s="5"/>
      <c r="D984" s="5"/>
      <c r="E984" s="5"/>
      <c r="F984" s="5"/>
      <c r="G984" s="5"/>
      <c r="H984" s="25"/>
      <c r="I984" s="21"/>
      <c r="J984" s="18"/>
      <c r="K984" s="5"/>
      <c r="L984" s="5"/>
      <c r="M984" s="5"/>
      <c r="N984" s="5"/>
      <c r="O984" s="5"/>
      <c r="P984" s="5"/>
      <c r="Q984" s="5"/>
      <c r="R984" s="5"/>
      <c r="S984" s="5"/>
      <c r="T984" s="5"/>
      <c r="U984" s="5"/>
      <c r="V984" s="5"/>
      <c r="W984" s="5"/>
      <c r="X984" s="5"/>
      <c r="Y984" s="5"/>
    </row>
    <row r="985" spans="1:25" ht="15" thickBot="1" x14ac:dyDescent="0.35">
      <c r="A985" s="5"/>
      <c r="B985" s="5"/>
      <c r="C985" s="5"/>
      <c r="D985" s="5"/>
      <c r="E985" s="5"/>
      <c r="F985" s="5"/>
      <c r="G985" s="5"/>
      <c r="H985" s="25"/>
      <c r="I985" s="21"/>
      <c r="J985" s="18"/>
      <c r="K985" s="5"/>
      <c r="L985" s="5"/>
      <c r="M985" s="5"/>
      <c r="N985" s="5"/>
      <c r="O985" s="5"/>
      <c r="P985" s="5"/>
      <c r="Q985" s="5"/>
      <c r="R985" s="5"/>
      <c r="S985" s="5"/>
      <c r="T985" s="5"/>
      <c r="U985" s="5"/>
      <c r="V985" s="5"/>
      <c r="W985" s="5"/>
      <c r="X985" s="5"/>
      <c r="Y985" s="5"/>
    </row>
    <row r="986" spans="1:25" ht="15" thickBot="1" x14ac:dyDescent="0.35">
      <c r="A986" s="5"/>
      <c r="B986" s="5"/>
      <c r="C986" s="5"/>
      <c r="D986" s="5"/>
      <c r="E986" s="5"/>
      <c r="F986" s="5"/>
      <c r="G986" s="5"/>
      <c r="H986" s="25"/>
      <c r="I986" s="21"/>
      <c r="J986" s="18"/>
      <c r="K986" s="5"/>
      <c r="L986" s="5"/>
      <c r="M986" s="5"/>
      <c r="N986" s="5"/>
      <c r="O986" s="5"/>
      <c r="P986" s="5"/>
      <c r="Q986" s="5"/>
      <c r="R986" s="5"/>
      <c r="S986" s="5"/>
      <c r="T986" s="5"/>
      <c r="U986" s="5"/>
      <c r="V986" s="5"/>
      <c r="W986" s="5"/>
      <c r="X986" s="5"/>
      <c r="Y986" s="5"/>
    </row>
    <row r="987" spans="1:25" ht="15" thickBot="1" x14ac:dyDescent="0.35">
      <c r="A987" s="5"/>
      <c r="B987" s="5"/>
      <c r="C987" s="5"/>
      <c r="D987" s="5"/>
      <c r="E987" s="5"/>
      <c r="F987" s="5"/>
      <c r="G987" s="5"/>
      <c r="H987" s="25"/>
      <c r="I987" s="21"/>
      <c r="J987" s="18"/>
      <c r="K987" s="5"/>
      <c r="L987" s="5"/>
      <c r="M987" s="5"/>
      <c r="N987" s="5"/>
      <c r="O987" s="5"/>
      <c r="P987" s="5"/>
      <c r="Q987" s="5"/>
      <c r="R987" s="5"/>
      <c r="S987" s="5"/>
      <c r="T987" s="5"/>
      <c r="U987" s="5"/>
      <c r="V987" s="5"/>
      <c r="W987" s="5"/>
      <c r="X987" s="5"/>
      <c r="Y987" s="5"/>
    </row>
    <row r="988" spans="1:25" ht="15" thickBot="1" x14ac:dyDescent="0.35">
      <c r="A988" s="5"/>
      <c r="B988" s="5"/>
      <c r="C988" s="5"/>
      <c r="D988" s="5"/>
      <c r="E988" s="5"/>
      <c r="F988" s="5"/>
      <c r="G988" s="5"/>
      <c r="H988" s="25"/>
      <c r="I988" s="21"/>
      <c r="J988" s="18"/>
      <c r="K988" s="5"/>
      <c r="L988" s="5"/>
      <c r="M988" s="5"/>
      <c r="N988" s="5"/>
      <c r="O988" s="5"/>
      <c r="P988" s="5"/>
      <c r="Q988" s="5"/>
      <c r="R988" s="5"/>
      <c r="S988" s="5"/>
      <c r="T988" s="5"/>
      <c r="U988" s="5"/>
      <c r="V988" s="5"/>
      <c r="W988" s="5"/>
      <c r="X988" s="5"/>
      <c r="Y988" s="5"/>
    </row>
    <row r="989" spans="1:25" ht="15" thickBot="1" x14ac:dyDescent="0.35">
      <c r="A989" s="5"/>
      <c r="B989" s="5"/>
      <c r="C989" s="5"/>
      <c r="D989" s="5"/>
      <c r="E989" s="5"/>
      <c r="F989" s="5"/>
      <c r="G989" s="5"/>
      <c r="H989" s="25"/>
      <c r="I989" s="21"/>
      <c r="J989" s="18"/>
      <c r="K989" s="5"/>
      <c r="L989" s="5"/>
      <c r="M989" s="5"/>
      <c r="N989" s="5"/>
      <c r="O989" s="5"/>
      <c r="P989" s="5"/>
      <c r="Q989" s="5"/>
      <c r="R989" s="5"/>
      <c r="S989" s="5"/>
      <c r="T989" s="5"/>
      <c r="U989" s="5"/>
      <c r="V989" s="5"/>
      <c r="W989" s="5"/>
      <c r="X989" s="5"/>
      <c r="Y989" s="5"/>
    </row>
    <row r="990" spans="1:25" ht="15" thickBot="1" x14ac:dyDescent="0.35">
      <c r="A990" s="5"/>
      <c r="B990" s="5"/>
      <c r="C990" s="5"/>
      <c r="D990" s="5"/>
      <c r="E990" s="5"/>
      <c r="F990" s="5"/>
      <c r="G990" s="5"/>
      <c r="H990" s="25"/>
      <c r="I990" s="21"/>
      <c r="J990" s="18"/>
      <c r="K990" s="5"/>
      <c r="L990" s="5"/>
      <c r="M990" s="5"/>
      <c r="N990" s="5"/>
      <c r="O990" s="5"/>
      <c r="P990" s="5"/>
      <c r="Q990" s="5"/>
      <c r="R990" s="5"/>
      <c r="S990" s="5"/>
      <c r="T990" s="5"/>
      <c r="U990" s="5"/>
      <c r="V990" s="5"/>
      <c r="W990" s="5"/>
      <c r="X990" s="5"/>
      <c r="Y990" s="5"/>
    </row>
    <row r="991" spans="1:25" ht="15" thickBot="1" x14ac:dyDescent="0.35">
      <c r="A991" s="5"/>
      <c r="B991" s="5"/>
      <c r="C991" s="5"/>
      <c r="D991" s="5"/>
      <c r="E991" s="5"/>
      <c r="F991" s="5"/>
      <c r="G991" s="5"/>
      <c r="H991" s="25"/>
      <c r="I991" s="21"/>
      <c r="J991" s="18"/>
      <c r="K991" s="5"/>
      <c r="L991" s="5"/>
      <c r="M991" s="5"/>
      <c r="N991" s="5"/>
      <c r="O991" s="5"/>
      <c r="P991" s="5"/>
      <c r="Q991" s="5"/>
      <c r="R991" s="5"/>
      <c r="S991" s="5"/>
      <c r="T991" s="5"/>
      <c r="U991" s="5"/>
      <c r="V991" s="5"/>
      <c r="W991" s="5"/>
      <c r="X991" s="5"/>
      <c r="Y991" s="5"/>
    </row>
    <row r="992" spans="1:25" ht="15" thickBot="1" x14ac:dyDescent="0.35">
      <c r="A992" s="5"/>
      <c r="B992" s="5"/>
      <c r="C992" s="5"/>
      <c r="D992" s="5"/>
      <c r="E992" s="5"/>
      <c r="F992" s="5"/>
      <c r="G992" s="5"/>
      <c r="H992" s="25"/>
      <c r="I992" s="21"/>
      <c r="J992" s="18"/>
      <c r="K992" s="5"/>
      <c r="L992" s="5"/>
      <c r="M992" s="5"/>
      <c r="N992" s="5"/>
      <c r="O992" s="5"/>
      <c r="P992" s="5"/>
      <c r="Q992" s="5"/>
      <c r="R992" s="5"/>
      <c r="S992" s="5"/>
      <c r="T992" s="5"/>
      <c r="U992" s="5"/>
      <c r="V992" s="5"/>
      <c r="W992" s="5"/>
      <c r="X992" s="5"/>
      <c r="Y992" s="5"/>
    </row>
    <row r="993" spans="1:25" ht="15" thickBot="1" x14ac:dyDescent="0.35">
      <c r="A993" s="5"/>
      <c r="B993" s="5"/>
      <c r="C993" s="5"/>
      <c r="D993" s="5"/>
      <c r="E993" s="5"/>
      <c r="F993" s="5"/>
      <c r="G993" s="5"/>
      <c r="H993" s="25"/>
      <c r="I993" s="21"/>
      <c r="J993" s="18"/>
      <c r="K993" s="5"/>
      <c r="L993" s="5"/>
      <c r="M993" s="5"/>
      <c r="N993" s="5"/>
      <c r="O993" s="5"/>
      <c r="P993" s="5"/>
      <c r="Q993" s="5"/>
      <c r="R993" s="5"/>
      <c r="S993" s="5"/>
      <c r="T993" s="5"/>
      <c r="U993" s="5"/>
      <c r="V993" s="5"/>
      <c r="W993" s="5"/>
      <c r="X993" s="5"/>
      <c r="Y993" s="5"/>
    </row>
    <row r="994" spans="1:25" ht="15" thickBot="1" x14ac:dyDescent="0.35">
      <c r="A994" s="5"/>
      <c r="B994" s="5"/>
      <c r="C994" s="5"/>
      <c r="D994" s="5"/>
      <c r="E994" s="5"/>
      <c r="F994" s="5"/>
      <c r="G994" s="5"/>
      <c r="H994" s="25"/>
      <c r="I994" s="21"/>
      <c r="J994" s="18"/>
      <c r="K994" s="5"/>
      <c r="L994" s="5"/>
      <c r="M994" s="5"/>
      <c r="N994" s="5"/>
      <c r="O994" s="5"/>
      <c r="P994" s="5"/>
      <c r="Q994" s="5"/>
      <c r="R994" s="5"/>
      <c r="S994" s="5"/>
      <c r="T994" s="5"/>
      <c r="U994" s="5"/>
      <c r="V994" s="5"/>
      <c r="W994" s="5"/>
      <c r="X994" s="5"/>
      <c r="Y994" s="5"/>
    </row>
    <row r="995" spans="1:25" ht="15" thickBot="1" x14ac:dyDescent="0.35">
      <c r="A995" s="5"/>
      <c r="B995" s="5"/>
      <c r="C995" s="5"/>
      <c r="D995" s="5"/>
      <c r="E995" s="5"/>
      <c r="F995" s="5"/>
      <c r="G995" s="5"/>
      <c r="H995" s="25"/>
      <c r="I995" s="21"/>
      <c r="J995" s="18"/>
      <c r="K995" s="5"/>
      <c r="L995" s="5"/>
      <c r="M995" s="5"/>
      <c r="N995" s="5"/>
      <c r="O995" s="5"/>
      <c r="P995" s="5"/>
      <c r="Q995" s="5"/>
      <c r="R995" s="5"/>
      <c r="S995" s="5"/>
      <c r="T995" s="5"/>
      <c r="U995" s="5"/>
      <c r="V995" s="5"/>
      <c r="W995" s="5"/>
      <c r="X995" s="5"/>
      <c r="Y995" s="5"/>
    </row>
    <row r="996" spans="1:25" ht="15" thickBot="1" x14ac:dyDescent="0.35">
      <c r="A996" s="5"/>
      <c r="B996" s="5"/>
      <c r="C996" s="5"/>
      <c r="D996" s="5"/>
      <c r="E996" s="5"/>
      <c r="F996" s="5"/>
      <c r="G996" s="5"/>
      <c r="H996" s="25"/>
      <c r="I996" s="21"/>
      <c r="J996" s="18"/>
      <c r="K996" s="5"/>
      <c r="L996" s="5"/>
      <c r="M996" s="5"/>
      <c r="N996" s="5"/>
      <c r="O996" s="5"/>
      <c r="P996" s="5"/>
      <c r="Q996" s="5"/>
      <c r="R996" s="5"/>
      <c r="S996" s="5"/>
      <c r="T996" s="5"/>
      <c r="U996" s="5"/>
      <c r="V996" s="5"/>
      <c r="W996" s="5"/>
      <c r="X996" s="5"/>
      <c r="Y996" s="5"/>
    </row>
    <row r="997" spans="1:25" ht="15" thickBot="1" x14ac:dyDescent="0.35">
      <c r="A997" s="5"/>
      <c r="B997" s="5"/>
      <c r="C997" s="5"/>
      <c r="D997" s="5"/>
      <c r="E997" s="5"/>
      <c r="F997" s="5"/>
      <c r="G997" s="5"/>
      <c r="H997" s="25"/>
      <c r="I997" s="21"/>
      <c r="J997" s="18"/>
      <c r="K997" s="5"/>
      <c r="L997" s="5"/>
      <c r="M997" s="5"/>
      <c r="N997" s="5"/>
      <c r="O997" s="5"/>
      <c r="P997" s="5"/>
      <c r="Q997" s="5"/>
      <c r="R997" s="5"/>
      <c r="S997" s="5"/>
      <c r="T997" s="5"/>
      <c r="U997" s="5"/>
      <c r="V997" s="5"/>
      <c r="W997" s="5"/>
      <c r="X997" s="5"/>
      <c r="Y997" s="5"/>
    </row>
    <row r="998" spans="1:25" ht="15" thickBot="1" x14ac:dyDescent="0.35">
      <c r="A998" s="5"/>
      <c r="B998" s="5"/>
      <c r="C998" s="5"/>
      <c r="D998" s="5"/>
      <c r="E998" s="5"/>
      <c r="F998" s="5"/>
      <c r="G998" s="5"/>
      <c r="H998" s="25"/>
      <c r="I998" s="21"/>
      <c r="J998" s="18"/>
      <c r="K998" s="5"/>
      <c r="L998" s="5"/>
      <c r="M998" s="5"/>
      <c r="N998" s="5"/>
      <c r="O998" s="5"/>
      <c r="P998" s="5"/>
      <c r="Q998" s="5"/>
      <c r="R998" s="5"/>
      <c r="S998" s="5"/>
      <c r="T998" s="5"/>
      <c r="U998" s="5"/>
      <c r="V998" s="5"/>
      <c r="W998" s="5"/>
      <c r="X998" s="5"/>
      <c r="Y998" s="5"/>
    </row>
    <row r="999" spans="1:25" ht="15" thickBot="1" x14ac:dyDescent="0.35">
      <c r="A999" s="5"/>
      <c r="B999" s="5"/>
      <c r="C999" s="5"/>
      <c r="D999" s="5"/>
      <c r="E999" s="5"/>
      <c r="F999" s="5"/>
      <c r="G999" s="5"/>
      <c r="H999" s="25"/>
      <c r="I999" s="21"/>
      <c r="J999" s="18"/>
      <c r="K999" s="5"/>
      <c r="L999" s="5"/>
      <c r="M999" s="5"/>
      <c r="N999" s="5"/>
      <c r="O999" s="5"/>
      <c r="P999" s="5"/>
      <c r="Q999" s="5"/>
      <c r="R999" s="5"/>
      <c r="S999" s="5"/>
      <c r="T999" s="5"/>
      <c r="U999" s="5"/>
      <c r="V999" s="5"/>
      <c r="W999" s="5"/>
      <c r="X999" s="5"/>
      <c r="Y999" s="5"/>
    </row>
    <row r="1000" spans="1:25" ht="15" thickBot="1" x14ac:dyDescent="0.35">
      <c r="A1000" s="5"/>
      <c r="B1000" s="5"/>
      <c r="C1000" s="5"/>
      <c r="D1000" s="5"/>
      <c r="E1000" s="5"/>
      <c r="F1000" s="5"/>
      <c r="G1000" s="5"/>
      <c r="H1000" s="25"/>
      <c r="I1000" s="21"/>
      <c r="J1000" s="18"/>
      <c r="K1000" s="5"/>
      <c r="L1000" s="5"/>
      <c r="M1000" s="5"/>
      <c r="N1000" s="5"/>
      <c r="O1000" s="5"/>
      <c r="P1000" s="5"/>
      <c r="Q1000" s="5"/>
      <c r="R1000" s="5"/>
      <c r="S1000" s="5"/>
      <c r="T1000" s="5"/>
      <c r="U1000" s="5"/>
      <c r="V1000" s="5"/>
      <c r="W1000" s="5"/>
      <c r="X1000" s="5"/>
      <c r="Y1000" s="5"/>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0487-88D4-411E-89C9-A3DFEE7F0B9E}">
  <dimension ref="A1:Y1000"/>
  <sheetViews>
    <sheetView zoomScale="85" zoomScaleNormal="85" workbookViewId="0">
      <selection activeCell="N3" sqref="N3"/>
    </sheetView>
  </sheetViews>
  <sheetFormatPr defaultRowHeight="14.4" x14ac:dyDescent="0.3"/>
  <cols>
    <col min="1" max="1" width="11.21875" customWidth="1"/>
    <col min="2" max="2" width="13.77734375" customWidth="1"/>
    <col min="3" max="3" width="13.109375" customWidth="1"/>
    <col min="4" max="4" width="12.5546875" customWidth="1"/>
    <col min="5" max="5" width="12" customWidth="1"/>
    <col min="6" max="6" width="9.88671875" customWidth="1"/>
    <col min="7" max="7" width="11.109375" customWidth="1"/>
    <col min="8" max="8" width="10.88671875" customWidth="1"/>
    <col min="9" max="9" width="13" customWidth="1"/>
    <col min="12" max="12" width="11.5546875" customWidth="1"/>
    <col min="13" max="13" width="10" customWidth="1"/>
    <col min="15" max="15" width="12.5546875" customWidth="1"/>
    <col min="16" max="16" width="11.21875" customWidth="1"/>
    <col min="17" max="17" width="10.6640625" customWidth="1"/>
    <col min="18" max="18" width="11.88671875" bestFit="1" customWidth="1"/>
  </cols>
  <sheetData>
    <row r="1" spans="1:25" ht="40.799999999999997" thickBot="1" x14ac:dyDescent="0.35">
      <c r="A1" s="1" t="s">
        <v>0</v>
      </c>
      <c r="B1" s="1" t="s">
        <v>1</v>
      </c>
      <c r="C1" s="1" t="s">
        <v>2</v>
      </c>
      <c r="D1" s="1" t="s">
        <v>3</v>
      </c>
      <c r="E1" s="1" t="s">
        <v>4</v>
      </c>
      <c r="F1" s="1" t="s">
        <v>5</v>
      </c>
      <c r="G1" s="1" t="s">
        <v>6</v>
      </c>
      <c r="H1" s="1" t="s">
        <v>7</v>
      </c>
      <c r="I1" s="1" t="s">
        <v>8</v>
      </c>
      <c r="J1" s="1" t="s">
        <v>9</v>
      </c>
      <c r="K1" s="1" t="s">
        <v>12</v>
      </c>
      <c r="L1" s="1" t="s">
        <v>13</v>
      </c>
      <c r="M1" s="1" t="s">
        <v>14</v>
      </c>
      <c r="N1" s="1" t="s">
        <v>15</v>
      </c>
      <c r="O1" s="1" t="s">
        <v>16</v>
      </c>
      <c r="P1" s="1" t="s">
        <v>17</v>
      </c>
      <c r="Q1" s="1" t="s">
        <v>43</v>
      </c>
      <c r="R1" s="1" t="s">
        <v>42</v>
      </c>
      <c r="S1" s="1"/>
      <c r="T1" s="1"/>
      <c r="U1" s="1"/>
      <c r="V1" s="1"/>
      <c r="W1" s="1"/>
      <c r="X1" s="1"/>
      <c r="Y1" s="1"/>
    </row>
    <row r="2" spans="1:25" ht="15" thickBot="1" x14ac:dyDescent="0.35">
      <c r="A2" s="2">
        <v>611</v>
      </c>
      <c r="B2" s="2" t="s">
        <v>10</v>
      </c>
      <c r="C2" s="2">
        <v>1</v>
      </c>
      <c r="D2" s="2">
        <v>0</v>
      </c>
      <c r="E2" s="2">
        <v>1</v>
      </c>
      <c r="F2" s="2">
        <v>16</v>
      </c>
      <c r="G2" s="4" t="b">
        <v>0</v>
      </c>
      <c r="H2" s="2">
        <v>5</v>
      </c>
      <c r="I2" s="2">
        <v>1</v>
      </c>
      <c r="J2" s="2">
        <v>0.22</v>
      </c>
      <c r="K2" s="2">
        <v>0.2727</v>
      </c>
      <c r="L2" s="2">
        <v>0.8</v>
      </c>
      <c r="M2" s="43">
        <v>0.1794158974358977</v>
      </c>
      <c r="N2" s="2">
        <v>10</v>
      </c>
      <c r="O2" s="2">
        <v>70</v>
      </c>
      <c r="P2" s="2">
        <v>80</v>
      </c>
      <c r="Q2" s="1"/>
      <c r="R2" s="1"/>
      <c r="S2" s="1"/>
      <c r="T2" s="1"/>
      <c r="U2" s="1"/>
      <c r="V2" s="1"/>
      <c r="W2" s="1"/>
      <c r="X2" s="1"/>
      <c r="Y2" s="1"/>
    </row>
    <row r="3" spans="1:25" ht="15" thickBot="1" x14ac:dyDescent="0.35">
      <c r="A3" s="2">
        <v>612</v>
      </c>
      <c r="B3" s="2" t="s">
        <v>10</v>
      </c>
      <c r="C3" s="2">
        <v>1</v>
      </c>
      <c r="D3" s="2">
        <v>0</v>
      </c>
      <c r="E3" s="2">
        <v>1</v>
      </c>
      <c r="F3" s="2">
        <v>17</v>
      </c>
      <c r="G3" s="4" t="b">
        <v>0</v>
      </c>
      <c r="H3" s="2">
        <v>5</v>
      </c>
      <c r="I3" s="2">
        <v>1</v>
      </c>
      <c r="J3" s="2">
        <v>0.24</v>
      </c>
      <c r="K3" s="2">
        <v>0.2424</v>
      </c>
      <c r="L3" s="2">
        <v>0.75</v>
      </c>
      <c r="M3" s="44">
        <v>0.1343</v>
      </c>
      <c r="N3" s="2">
        <v>2</v>
      </c>
      <c r="O3" s="2">
        <v>147</v>
      </c>
      <c r="P3" s="2">
        <v>149</v>
      </c>
      <c r="Q3" s="1"/>
      <c r="R3" s="1"/>
      <c r="S3" s="1"/>
      <c r="T3" s="1"/>
      <c r="U3" s="1"/>
      <c r="V3" s="1"/>
      <c r="W3" s="1"/>
      <c r="X3" s="1"/>
      <c r="Y3" s="1"/>
    </row>
    <row r="4" spans="1:25" ht="15" thickBot="1" x14ac:dyDescent="0.35">
      <c r="A4" s="2">
        <v>613</v>
      </c>
      <c r="B4" s="2" t="s">
        <v>10</v>
      </c>
      <c r="C4" s="2">
        <v>1</v>
      </c>
      <c r="D4" s="2">
        <v>0</v>
      </c>
      <c r="E4" s="2">
        <v>1</v>
      </c>
      <c r="F4" s="2">
        <v>18</v>
      </c>
      <c r="G4" s="4" t="b">
        <v>0</v>
      </c>
      <c r="H4" s="2">
        <v>5</v>
      </c>
      <c r="I4" s="2">
        <v>1</v>
      </c>
      <c r="J4" s="2">
        <v>0.24</v>
      </c>
      <c r="K4" s="2">
        <v>0.2273</v>
      </c>
      <c r="L4" s="2">
        <v>0.75</v>
      </c>
      <c r="M4" s="44">
        <v>0.19400000000000001</v>
      </c>
      <c r="N4" s="2">
        <v>2</v>
      </c>
      <c r="O4" s="2">
        <v>107</v>
      </c>
      <c r="P4" s="2">
        <v>109</v>
      </c>
      <c r="Q4" s="1"/>
      <c r="R4" s="1"/>
      <c r="S4" s="1"/>
      <c r="T4" s="1"/>
      <c r="U4" s="1"/>
      <c r="V4" s="1"/>
      <c r="W4" s="1"/>
      <c r="X4" s="1"/>
      <c r="Y4" s="1"/>
    </row>
    <row r="5" spans="1:25" ht="15" thickBot="1" x14ac:dyDescent="0.35">
      <c r="A5" s="2">
        <v>614</v>
      </c>
      <c r="B5" s="2" t="s">
        <v>10</v>
      </c>
      <c r="C5" s="2">
        <v>1</v>
      </c>
      <c r="D5" s="2">
        <v>0</v>
      </c>
      <c r="E5" s="2">
        <v>1</v>
      </c>
      <c r="F5" s="2">
        <v>19</v>
      </c>
      <c r="G5" s="4" t="b">
        <v>0</v>
      </c>
      <c r="H5" s="2">
        <v>5</v>
      </c>
      <c r="I5" s="2">
        <v>2</v>
      </c>
      <c r="J5" s="2">
        <v>0.24</v>
      </c>
      <c r="K5" s="2">
        <v>0.2424</v>
      </c>
      <c r="L5" s="2">
        <v>0.75</v>
      </c>
      <c r="M5" s="44">
        <v>0.1343</v>
      </c>
      <c r="N5" s="2">
        <v>5</v>
      </c>
      <c r="O5" s="2">
        <v>84</v>
      </c>
      <c r="P5" s="2">
        <v>89</v>
      </c>
      <c r="Q5" s="1"/>
      <c r="R5" s="1"/>
      <c r="S5" s="1"/>
      <c r="T5" s="1"/>
      <c r="U5" s="1"/>
      <c r="V5" s="1"/>
      <c r="W5" s="1"/>
      <c r="X5" s="1"/>
      <c r="Y5" s="1"/>
    </row>
    <row r="6" spans="1:25" ht="15" thickBot="1" x14ac:dyDescent="0.35">
      <c r="A6" s="2">
        <v>615</v>
      </c>
      <c r="B6" s="2" t="s">
        <v>10</v>
      </c>
      <c r="C6" s="2">
        <v>1</v>
      </c>
      <c r="D6" s="2">
        <v>0</v>
      </c>
      <c r="E6" s="2">
        <v>1</v>
      </c>
      <c r="F6" s="2">
        <v>20</v>
      </c>
      <c r="G6" s="4" t="b">
        <v>0</v>
      </c>
      <c r="H6" s="2">
        <v>5</v>
      </c>
      <c r="I6" s="2">
        <v>2</v>
      </c>
      <c r="J6" s="2">
        <v>0.24</v>
      </c>
      <c r="K6" s="2">
        <v>0.2273</v>
      </c>
      <c r="L6" s="2">
        <v>0.7</v>
      </c>
      <c r="M6" s="44">
        <v>0.19400000000000001</v>
      </c>
      <c r="N6" s="2">
        <v>1</v>
      </c>
      <c r="O6" s="2">
        <v>61</v>
      </c>
      <c r="P6" s="2">
        <v>62</v>
      </c>
      <c r="Q6" s="1"/>
      <c r="R6" s="1"/>
      <c r="S6" s="1"/>
      <c r="T6" s="1"/>
      <c r="U6" s="1"/>
      <c r="V6" s="1"/>
      <c r="W6" s="1"/>
      <c r="X6" s="1"/>
      <c r="Y6" s="1"/>
    </row>
    <row r="7" spans="1:25" ht="15" thickBot="1" x14ac:dyDescent="0.35">
      <c r="A7" s="2">
        <v>616</v>
      </c>
      <c r="B7" s="2" t="s">
        <v>10</v>
      </c>
      <c r="C7" s="2">
        <v>1</v>
      </c>
      <c r="D7" s="2">
        <v>0</v>
      </c>
      <c r="E7" s="2">
        <v>1</v>
      </c>
      <c r="F7" s="2">
        <v>21</v>
      </c>
      <c r="G7" s="4" t="b">
        <v>0</v>
      </c>
      <c r="H7" s="2">
        <v>5</v>
      </c>
      <c r="I7" s="2">
        <v>2</v>
      </c>
      <c r="J7" s="2">
        <v>0.22</v>
      </c>
      <c r="K7" s="2">
        <v>0.2273</v>
      </c>
      <c r="L7" s="2">
        <v>0.75</v>
      </c>
      <c r="M7" s="44">
        <v>0.1343</v>
      </c>
      <c r="N7" s="2">
        <v>1</v>
      </c>
      <c r="O7" s="2">
        <v>57</v>
      </c>
      <c r="P7" s="2">
        <v>58</v>
      </c>
      <c r="Q7" s="1"/>
      <c r="R7" s="1"/>
      <c r="S7" s="1"/>
      <c r="T7" s="1"/>
      <c r="U7" s="1"/>
      <c r="V7" s="1"/>
      <c r="W7" s="1"/>
      <c r="X7" s="1"/>
      <c r="Y7" s="1"/>
    </row>
    <row r="8" spans="1:25" ht="15" thickBot="1" x14ac:dyDescent="0.35">
      <c r="A8" s="2">
        <v>617</v>
      </c>
      <c r="B8" s="2" t="s">
        <v>10</v>
      </c>
      <c r="C8" s="2">
        <v>1</v>
      </c>
      <c r="D8" s="2">
        <v>0</v>
      </c>
      <c r="E8" s="2">
        <v>1</v>
      </c>
      <c r="F8" s="2">
        <v>22</v>
      </c>
      <c r="G8" s="4" t="b">
        <v>0</v>
      </c>
      <c r="H8" s="2">
        <v>5</v>
      </c>
      <c r="I8" s="2">
        <v>1</v>
      </c>
      <c r="J8" s="2">
        <v>0.24</v>
      </c>
      <c r="K8" s="2">
        <v>0.21210000000000001</v>
      </c>
      <c r="L8" s="2">
        <v>0.65</v>
      </c>
      <c r="M8" s="44">
        <v>0.35820000000000002</v>
      </c>
      <c r="N8" s="2">
        <v>0</v>
      </c>
      <c r="O8" s="2">
        <v>26</v>
      </c>
      <c r="P8" s="2">
        <v>26</v>
      </c>
      <c r="Q8" s="1"/>
      <c r="R8" s="1"/>
      <c r="S8" s="1"/>
      <c r="T8" s="1"/>
      <c r="U8" s="1"/>
      <c r="V8" s="1"/>
      <c r="W8" s="1"/>
      <c r="X8" s="1"/>
      <c r="Y8" s="1"/>
    </row>
    <row r="9" spans="1:25" ht="15" thickBot="1" x14ac:dyDescent="0.35">
      <c r="A9" s="2">
        <v>618</v>
      </c>
      <c r="B9" s="2" t="s">
        <v>10</v>
      </c>
      <c r="C9" s="2">
        <v>1</v>
      </c>
      <c r="D9" s="2">
        <v>0</v>
      </c>
      <c r="E9" s="2">
        <v>1</v>
      </c>
      <c r="F9" s="2">
        <v>23</v>
      </c>
      <c r="G9" s="4" t="b">
        <v>0</v>
      </c>
      <c r="H9" s="2">
        <v>5</v>
      </c>
      <c r="I9" s="2">
        <v>1</v>
      </c>
      <c r="J9" s="2">
        <v>0.24</v>
      </c>
      <c r="K9" s="2">
        <v>0.2273</v>
      </c>
      <c r="L9" s="2">
        <v>0.6</v>
      </c>
      <c r="M9" s="44">
        <v>0.22389999999999999</v>
      </c>
      <c r="N9" s="2">
        <v>1</v>
      </c>
      <c r="O9" s="2">
        <v>22</v>
      </c>
      <c r="P9" s="2">
        <v>23</v>
      </c>
      <c r="Q9" s="1"/>
      <c r="R9" s="1"/>
      <c r="S9" s="1"/>
      <c r="T9" s="1"/>
      <c r="U9" s="1"/>
      <c r="V9" s="1"/>
      <c r="W9" s="1"/>
      <c r="X9" s="1"/>
      <c r="Y9" s="1"/>
    </row>
    <row r="10" spans="1:25" ht="15" thickBot="1" x14ac:dyDescent="0.35">
      <c r="A10" s="2">
        <v>619</v>
      </c>
      <c r="B10" s="2" t="s">
        <v>18</v>
      </c>
      <c r="C10" s="2">
        <v>1</v>
      </c>
      <c r="D10" s="2">
        <v>0</v>
      </c>
      <c r="E10" s="2">
        <v>1</v>
      </c>
      <c r="F10" s="2">
        <v>0</v>
      </c>
      <c r="G10" s="4" t="b">
        <v>0</v>
      </c>
      <c r="H10" s="2">
        <v>6</v>
      </c>
      <c r="I10" s="2">
        <v>1</v>
      </c>
      <c r="J10" s="2">
        <v>0.22</v>
      </c>
      <c r="K10" s="2">
        <v>0.19700000000000001</v>
      </c>
      <c r="L10" s="2">
        <v>0.64</v>
      </c>
      <c r="M10" s="44">
        <v>0.35820000000000002</v>
      </c>
      <c r="N10" s="2">
        <v>2</v>
      </c>
      <c r="O10" s="2">
        <v>26</v>
      </c>
      <c r="P10" s="2">
        <v>28</v>
      </c>
      <c r="Q10" s="1"/>
      <c r="R10" s="1"/>
      <c r="S10" s="1"/>
      <c r="T10" s="1"/>
      <c r="U10" s="1"/>
      <c r="V10" s="1"/>
      <c r="W10" s="1"/>
      <c r="X10" s="1"/>
      <c r="Y10" s="1"/>
    </row>
    <row r="11" spans="1:25" ht="15" thickBot="1" x14ac:dyDescent="0.35">
      <c r="A11" s="2">
        <v>620</v>
      </c>
      <c r="B11" s="2" t="s">
        <v>18</v>
      </c>
      <c r="C11" s="2">
        <v>1</v>
      </c>
      <c r="D11" s="2">
        <v>0</v>
      </c>
      <c r="E11" s="2">
        <v>1</v>
      </c>
      <c r="F11" s="2">
        <v>1</v>
      </c>
      <c r="G11" s="4" t="b">
        <v>0</v>
      </c>
      <c r="H11" s="2">
        <v>6</v>
      </c>
      <c r="I11" s="2">
        <v>1</v>
      </c>
      <c r="J11" s="2">
        <v>0.22</v>
      </c>
      <c r="K11" s="2">
        <v>0.2273</v>
      </c>
      <c r="L11" s="2">
        <v>0.64</v>
      </c>
      <c r="M11" s="44">
        <v>0.19400000000000001</v>
      </c>
      <c r="N11" s="2">
        <v>0</v>
      </c>
      <c r="O11" s="2">
        <v>20</v>
      </c>
      <c r="P11" s="2">
        <v>20</v>
      </c>
      <c r="Q11" s="78">
        <f>AVERAGE(M11:M391)</f>
        <v>0.21395741839962343</v>
      </c>
      <c r="R11" s="1">
        <v>0.179415897435898</v>
      </c>
      <c r="S11" s="1"/>
      <c r="T11" s="1"/>
      <c r="U11" s="1"/>
      <c r="V11" s="1"/>
      <c r="W11" s="1"/>
      <c r="X11" s="1"/>
      <c r="Y11" s="1"/>
    </row>
    <row r="12" spans="1:25" ht="15" thickBot="1" x14ac:dyDescent="0.35">
      <c r="A12" s="2">
        <v>621</v>
      </c>
      <c r="B12" s="2" t="s">
        <v>18</v>
      </c>
      <c r="C12" s="2">
        <v>1</v>
      </c>
      <c r="D12" s="2">
        <v>0</v>
      </c>
      <c r="E12" s="2">
        <v>1</v>
      </c>
      <c r="F12" s="2">
        <v>2</v>
      </c>
      <c r="G12" s="4" t="b">
        <v>0</v>
      </c>
      <c r="H12" s="2">
        <v>6</v>
      </c>
      <c r="I12" s="2">
        <v>1</v>
      </c>
      <c r="J12" s="2">
        <v>0.22</v>
      </c>
      <c r="K12" s="2">
        <v>0.2273</v>
      </c>
      <c r="L12" s="2">
        <v>0.64</v>
      </c>
      <c r="M12" s="44">
        <v>0.16420000000000001</v>
      </c>
      <c r="N12" s="2">
        <v>0</v>
      </c>
      <c r="O12" s="2">
        <v>15</v>
      </c>
      <c r="P12" s="2">
        <v>15</v>
      </c>
      <c r="Q12" s="1"/>
      <c r="R12" s="1"/>
      <c r="S12" s="1"/>
      <c r="T12" s="1"/>
      <c r="U12" s="1"/>
      <c r="V12" s="1"/>
      <c r="W12" s="1"/>
      <c r="X12" s="1"/>
      <c r="Y12" s="1"/>
    </row>
    <row r="13" spans="1:25" ht="15" thickBot="1" x14ac:dyDescent="0.35">
      <c r="A13" s="2">
        <v>622</v>
      </c>
      <c r="B13" s="2" t="s">
        <v>18</v>
      </c>
      <c r="C13" s="2">
        <v>1</v>
      </c>
      <c r="D13" s="2">
        <v>0</v>
      </c>
      <c r="E13" s="2">
        <v>1</v>
      </c>
      <c r="F13" s="2">
        <v>3</v>
      </c>
      <c r="G13" s="4" t="b">
        <v>0</v>
      </c>
      <c r="H13" s="2">
        <v>6</v>
      </c>
      <c r="I13" s="2">
        <v>1</v>
      </c>
      <c r="J13" s="2">
        <v>0.2</v>
      </c>
      <c r="K13" s="2">
        <v>0.21210000000000001</v>
      </c>
      <c r="L13" s="2">
        <v>0.64</v>
      </c>
      <c r="M13" s="44">
        <v>0.1343</v>
      </c>
      <c r="N13" s="2">
        <v>3</v>
      </c>
      <c r="O13" s="2">
        <v>5</v>
      </c>
      <c r="P13" s="2">
        <v>8</v>
      </c>
      <c r="Q13" s="1"/>
      <c r="R13" s="1"/>
      <c r="S13" s="1"/>
      <c r="T13" s="1"/>
      <c r="U13" s="1"/>
      <c r="V13" s="1"/>
      <c r="W13" s="1"/>
      <c r="X13" s="1"/>
      <c r="Y13" s="1"/>
    </row>
    <row r="14" spans="1:25" ht="15" thickBot="1" x14ac:dyDescent="0.35">
      <c r="A14" s="2">
        <v>623</v>
      </c>
      <c r="B14" s="2" t="s">
        <v>18</v>
      </c>
      <c r="C14" s="2">
        <v>1</v>
      </c>
      <c r="D14" s="2">
        <v>0</v>
      </c>
      <c r="E14" s="2">
        <v>1</v>
      </c>
      <c r="F14" s="2">
        <v>4</v>
      </c>
      <c r="G14" s="4" t="b">
        <v>0</v>
      </c>
      <c r="H14" s="2">
        <v>6</v>
      </c>
      <c r="I14" s="2">
        <v>1</v>
      </c>
      <c r="J14" s="2">
        <v>0.16</v>
      </c>
      <c r="K14" s="2">
        <v>0.18179999999999999</v>
      </c>
      <c r="L14" s="2">
        <v>0.69</v>
      </c>
      <c r="M14" s="44">
        <v>0.1045</v>
      </c>
      <c r="N14" s="2">
        <v>1</v>
      </c>
      <c r="O14" s="2">
        <v>2</v>
      </c>
      <c r="P14" s="2">
        <v>3</v>
      </c>
      <c r="Q14" s="1"/>
      <c r="R14" s="1"/>
      <c r="S14" s="1"/>
      <c r="T14" s="1"/>
      <c r="U14" s="1"/>
      <c r="V14" s="1"/>
      <c r="W14" s="1"/>
      <c r="X14" s="1"/>
      <c r="Y14" s="1"/>
    </row>
    <row r="15" spans="1:25" ht="15" thickBot="1" x14ac:dyDescent="0.35">
      <c r="A15" s="2">
        <v>624</v>
      </c>
      <c r="B15" s="2" t="s">
        <v>18</v>
      </c>
      <c r="C15" s="2">
        <v>1</v>
      </c>
      <c r="D15" s="2">
        <v>0</v>
      </c>
      <c r="E15" s="2">
        <v>1</v>
      </c>
      <c r="F15" s="2">
        <v>6</v>
      </c>
      <c r="G15" s="4" t="b">
        <v>0</v>
      </c>
      <c r="H15" s="2">
        <v>6</v>
      </c>
      <c r="I15" s="2">
        <v>1</v>
      </c>
      <c r="J15" s="2">
        <v>0.16</v>
      </c>
      <c r="K15" s="2">
        <v>0.18179999999999999</v>
      </c>
      <c r="L15" s="2">
        <v>0.64</v>
      </c>
      <c r="M15" s="44">
        <v>0.1343</v>
      </c>
      <c r="N15" s="2">
        <v>0</v>
      </c>
      <c r="O15" s="2">
        <v>2</v>
      </c>
      <c r="P15" s="2">
        <v>2</v>
      </c>
      <c r="Q15" s="1"/>
      <c r="R15" s="1"/>
      <c r="S15" s="1"/>
      <c r="T15" s="1"/>
      <c r="U15" s="1"/>
      <c r="V15" s="1"/>
      <c r="W15" s="1"/>
      <c r="X15" s="1"/>
      <c r="Y15" s="1"/>
    </row>
    <row r="16" spans="1:25" ht="15" thickBot="1" x14ac:dyDescent="0.35">
      <c r="A16" s="2">
        <v>625</v>
      </c>
      <c r="B16" s="2" t="s">
        <v>18</v>
      </c>
      <c r="C16" s="2">
        <v>1</v>
      </c>
      <c r="D16" s="2">
        <v>0</v>
      </c>
      <c r="E16" s="2">
        <v>1</v>
      </c>
      <c r="F16" s="2">
        <v>7</v>
      </c>
      <c r="G16" s="4" t="b">
        <v>0</v>
      </c>
      <c r="H16" s="2">
        <v>6</v>
      </c>
      <c r="I16" s="2">
        <v>1</v>
      </c>
      <c r="J16" s="2">
        <v>0.16</v>
      </c>
      <c r="K16" s="2">
        <v>0.18179999999999999</v>
      </c>
      <c r="L16" s="2">
        <v>0.59</v>
      </c>
      <c r="M16" s="44">
        <v>0.1045</v>
      </c>
      <c r="N16" s="2">
        <v>1</v>
      </c>
      <c r="O16" s="2">
        <v>4</v>
      </c>
      <c r="P16" s="2">
        <v>5</v>
      </c>
      <c r="Q16" s="1"/>
      <c r="R16" s="1"/>
      <c r="S16" s="1"/>
      <c r="T16" s="1"/>
      <c r="U16" s="1"/>
      <c r="V16" s="1"/>
      <c r="W16" s="1"/>
      <c r="X16" s="1"/>
      <c r="Y16" s="1"/>
    </row>
    <row r="17" spans="1:25" ht="15" thickBot="1" x14ac:dyDescent="0.35">
      <c r="A17" s="2">
        <v>626</v>
      </c>
      <c r="B17" s="2" t="s">
        <v>18</v>
      </c>
      <c r="C17" s="2">
        <v>1</v>
      </c>
      <c r="D17" s="2">
        <v>0</v>
      </c>
      <c r="E17" s="2">
        <v>1</v>
      </c>
      <c r="F17" s="2">
        <v>8</v>
      </c>
      <c r="G17" s="4" t="b">
        <v>0</v>
      </c>
      <c r="H17" s="2">
        <v>6</v>
      </c>
      <c r="I17" s="2">
        <v>1</v>
      </c>
      <c r="J17" s="2">
        <v>0.18</v>
      </c>
      <c r="K17" s="2">
        <v>0.19700000000000001</v>
      </c>
      <c r="L17" s="2">
        <v>0.55000000000000004</v>
      </c>
      <c r="M17" s="44">
        <v>0.16420000000000001</v>
      </c>
      <c r="N17" s="2">
        <v>3</v>
      </c>
      <c r="O17" s="2">
        <v>31</v>
      </c>
      <c r="P17" s="2">
        <v>34</v>
      </c>
      <c r="Q17" s="1"/>
      <c r="R17" s="1"/>
      <c r="S17" s="1"/>
      <c r="T17" s="1"/>
      <c r="U17" s="1"/>
      <c r="V17" s="1"/>
      <c r="W17" s="1"/>
      <c r="X17" s="1"/>
      <c r="Y17" s="1"/>
    </row>
    <row r="18" spans="1:25" ht="15" thickBot="1" x14ac:dyDescent="0.35">
      <c r="A18" s="2">
        <v>627</v>
      </c>
      <c r="B18" s="2" t="s">
        <v>18</v>
      </c>
      <c r="C18" s="2">
        <v>1</v>
      </c>
      <c r="D18" s="2">
        <v>0</v>
      </c>
      <c r="E18" s="2">
        <v>1</v>
      </c>
      <c r="F18" s="2">
        <v>9</v>
      </c>
      <c r="G18" s="4" t="b">
        <v>0</v>
      </c>
      <c r="H18" s="2">
        <v>6</v>
      </c>
      <c r="I18" s="2">
        <v>1</v>
      </c>
      <c r="J18" s="2">
        <v>0.18</v>
      </c>
      <c r="K18" s="2">
        <v>0.21210000000000001</v>
      </c>
      <c r="L18" s="2">
        <v>0.59</v>
      </c>
      <c r="M18" s="44">
        <v>8.9599999999999999E-2</v>
      </c>
      <c r="N18" s="2">
        <v>0</v>
      </c>
      <c r="O18" s="2">
        <v>34</v>
      </c>
      <c r="P18" s="2">
        <v>34</v>
      </c>
      <c r="Q18" s="1"/>
      <c r="R18" s="1"/>
      <c r="S18" s="1"/>
      <c r="T18" s="1"/>
      <c r="U18" s="1"/>
      <c r="V18" s="1"/>
      <c r="W18" s="1"/>
      <c r="X18" s="1"/>
      <c r="Y18" s="1"/>
    </row>
    <row r="19" spans="1:25" ht="15" thickBot="1" x14ac:dyDescent="0.35">
      <c r="A19" s="2">
        <v>628</v>
      </c>
      <c r="B19" s="2" t="s">
        <v>18</v>
      </c>
      <c r="C19" s="2">
        <v>1</v>
      </c>
      <c r="D19" s="2">
        <v>0</v>
      </c>
      <c r="E19" s="2">
        <v>1</v>
      </c>
      <c r="F19" s="2">
        <v>10</v>
      </c>
      <c r="G19" s="4" t="b">
        <v>0</v>
      </c>
      <c r="H19" s="2">
        <v>6</v>
      </c>
      <c r="I19" s="2">
        <v>2</v>
      </c>
      <c r="J19" s="2">
        <v>0.18</v>
      </c>
      <c r="K19" s="2">
        <v>0.21210000000000001</v>
      </c>
      <c r="L19" s="2">
        <v>0.64</v>
      </c>
      <c r="M19" s="44">
        <v>0.1045</v>
      </c>
      <c r="N19" s="2">
        <v>4</v>
      </c>
      <c r="O19" s="2">
        <v>51</v>
      </c>
      <c r="P19" s="2">
        <v>55</v>
      </c>
      <c r="Q19" s="1"/>
      <c r="R19" s="1"/>
      <c r="S19" s="1"/>
      <c r="T19" s="1"/>
      <c r="U19" s="1"/>
      <c r="V19" s="1"/>
      <c r="W19" s="1"/>
      <c r="X19" s="1"/>
      <c r="Y19" s="1"/>
    </row>
    <row r="20" spans="1:25" ht="15" thickBot="1" x14ac:dyDescent="0.35">
      <c r="A20" s="2">
        <v>629</v>
      </c>
      <c r="B20" s="2" t="s">
        <v>18</v>
      </c>
      <c r="C20" s="2">
        <v>1</v>
      </c>
      <c r="D20" s="2">
        <v>0</v>
      </c>
      <c r="E20" s="2">
        <v>1</v>
      </c>
      <c r="F20" s="2">
        <v>11</v>
      </c>
      <c r="G20" s="4" t="b">
        <v>0</v>
      </c>
      <c r="H20" s="2">
        <v>6</v>
      </c>
      <c r="I20" s="2">
        <v>2</v>
      </c>
      <c r="J20" s="2">
        <v>0.18</v>
      </c>
      <c r="K20" s="2">
        <v>0.19700000000000001</v>
      </c>
      <c r="L20" s="2">
        <v>0.64</v>
      </c>
      <c r="M20" s="44">
        <v>0.1343</v>
      </c>
      <c r="N20" s="2">
        <v>4</v>
      </c>
      <c r="O20" s="2">
        <v>60</v>
      </c>
      <c r="P20" s="2">
        <v>64</v>
      </c>
      <c r="Q20" s="1"/>
      <c r="R20" s="1"/>
      <c r="S20" s="1"/>
      <c r="T20" s="1"/>
      <c r="U20" s="1"/>
      <c r="V20" s="1"/>
      <c r="W20" s="1"/>
      <c r="X20" s="1"/>
      <c r="Y20" s="1"/>
    </row>
    <row r="21" spans="1:25" ht="15" thickBot="1" x14ac:dyDescent="0.35">
      <c r="A21" s="2">
        <v>630</v>
      </c>
      <c r="B21" s="2" t="s">
        <v>18</v>
      </c>
      <c r="C21" s="2">
        <v>1</v>
      </c>
      <c r="D21" s="2">
        <v>0</v>
      </c>
      <c r="E21" s="2">
        <v>1</v>
      </c>
      <c r="F21" s="2">
        <v>12</v>
      </c>
      <c r="G21" s="4" t="b">
        <v>0</v>
      </c>
      <c r="H21" s="2">
        <v>6</v>
      </c>
      <c r="I21" s="2">
        <v>2</v>
      </c>
      <c r="J21" s="2">
        <v>0.2</v>
      </c>
      <c r="K21" s="2">
        <v>0.19700000000000001</v>
      </c>
      <c r="L21" s="2">
        <v>0.59</v>
      </c>
      <c r="M21" s="44">
        <v>0.19400000000000001</v>
      </c>
      <c r="N21" s="2">
        <v>12</v>
      </c>
      <c r="O21" s="2">
        <v>66</v>
      </c>
      <c r="P21" s="2">
        <v>78</v>
      </c>
      <c r="Q21" s="1"/>
      <c r="R21" s="1"/>
      <c r="S21" s="1"/>
      <c r="T21" s="1"/>
      <c r="U21" s="1"/>
      <c r="V21" s="1"/>
      <c r="W21" s="1"/>
      <c r="X21" s="1"/>
      <c r="Y21" s="1"/>
    </row>
    <row r="22" spans="1:25" ht="15" thickBot="1" x14ac:dyDescent="0.35">
      <c r="A22" s="2">
        <v>631</v>
      </c>
      <c r="B22" s="2" t="s">
        <v>18</v>
      </c>
      <c r="C22" s="2">
        <v>1</v>
      </c>
      <c r="D22" s="2">
        <v>0</v>
      </c>
      <c r="E22" s="2">
        <v>1</v>
      </c>
      <c r="F22" s="2">
        <v>13</v>
      </c>
      <c r="G22" s="4" t="b">
        <v>0</v>
      </c>
      <c r="H22" s="2">
        <v>6</v>
      </c>
      <c r="I22" s="2">
        <v>2</v>
      </c>
      <c r="J22" s="2">
        <v>0.22</v>
      </c>
      <c r="K22" s="2">
        <v>0.2273</v>
      </c>
      <c r="L22" s="2">
        <v>0.55000000000000004</v>
      </c>
      <c r="M22" s="44">
        <v>0.16420000000000001</v>
      </c>
      <c r="N22" s="2">
        <v>9</v>
      </c>
      <c r="O22" s="2">
        <v>56</v>
      </c>
      <c r="P22" s="2">
        <v>65</v>
      </c>
      <c r="Q22" s="1"/>
      <c r="R22" s="1"/>
      <c r="S22" s="1"/>
      <c r="T22" s="1"/>
      <c r="U22" s="1"/>
      <c r="V22" s="1"/>
      <c r="W22" s="1"/>
      <c r="X22" s="1"/>
      <c r="Y22" s="1"/>
    </row>
    <row r="23" spans="1:25" ht="15" thickBot="1" x14ac:dyDescent="0.35">
      <c r="A23" s="2">
        <v>632</v>
      </c>
      <c r="B23" s="2" t="s">
        <v>18</v>
      </c>
      <c r="C23" s="2">
        <v>1</v>
      </c>
      <c r="D23" s="2">
        <v>0</v>
      </c>
      <c r="E23" s="2">
        <v>1</v>
      </c>
      <c r="F23" s="2">
        <v>14</v>
      </c>
      <c r="G23" s="4" t="b">
        <v>0</v>
      </c>
      <c r="H23" s="2">
        <v>6</v>
      </c>
      <c r="I23" s="2">
        <v>2</v>
      </c>
      <c r="J23" s="2">
        <v>0.22</v>
      </c>
      <c r="K23" s="2">
        <v>0.2273</v>
      </c>
      <c r="L23" s="2">
        <v>0.6</v>
      </c>
      <c r="M23" s="44">
        <v>0.1343</v>
      </c>
      <c r="N23" s="2">
        <v>10</v>
      </c>
      <c r="O23" s="2">
        <v>89</v>
      </c>
      <c r="P23" s="2">
        <v>99</v>
      </c>
      <c r="Q23" s="1"/>
      <c r="R23" s="1"/>
      <c r="S23" s="1"/>
      <c r="T23" s="1"/>
      <c r="U23" s="1"/>
      <c r="V23" s="1"/>
      <c r="W23" s="1"/>
      <c r="X23" s="1"/>
      <c r="Y23" s="1"/>
    </row>
    <row r="24" spans="1:25" ht="15" thickBot="1" x14ac:dyDescent="0.35">
      <c r="A24" s="2">
        <v>633</v>
      </c>
      <c r="B24" s="2" t="s">
        <v>18</v>
      </c>
      <c r="C24" s="2">
        <v>1</v>
      </c>
      <c r="D24" s="2">
        <v>0</v>
      </c>
      <c r="E24" s="2">
        <v>1</v>
      </c>
      <c r="F24" s="2">
        <v>15</v>
      </c>
      <c r="G24" s="4" t="b">
        <v>0</v>
      </c>
      <c r="H24" s="2">
        <v>6</v>
      </c>
      <c r="I24" s="2">
        <v>1</v>
      </c>
      <c r="J24" s="2">
        <v>0.22</v>
      </c>
      <c r="K24" s="2">
        <v>0.21210000000000001</v>
      </c>
      <c r="L24" s="2">
        <v>0.69</v>
      </c>
      <c r="M24" s="44">
        <v>0.25369999999999998</v>
      </c>
      <c r="N24" s="2">
        <v>22</v>
      </c>
      <c r="O24" s="2">
        <v>98</v>
      </c>
      <c r="P24" s="2">
        <v>120</v>
      </c>
      <c r="Q24" s="1"/>
      <c r="R24" s="1"/>
      <c r="S24" s="1"/>
      <c r="T24" s="1"/>
      <c r="U24" s="1"/>
      <c r="V24" s="1"/>
      <c r="W24" s="1"/>
      <c r="X24" s="1"/>
      <c r="Y24" s="1"/>
    </row>
    <row r="25" spans="1:25" ht="15" thickBot="1" x14ac:dyDescent="0.35">
      <c r="A25" s="2">
        <v>634</v>
      </c>
      <c r="B25" s="2" t="s">
        <v>18</v>
      </c>
      <c r="C25" s="2">
        <v>1</v>
      </c>
      <c r="D25" s="2">
        <v>0</v>
      </c>
      <c r="E25" s="2">
        <v>1</v>
      </c>
      <c r="F25" s="2">
        <v>16</v>
      </c>
      <c r="G25" s="4" t="b">
        <v>0</v>
      </c>
      <c r="H25" s="2">
        <v>6</v>
      </c>
      <c r="I25" s="2">
        <v>1</v>
      </c>
      <c r="J25" s="2">
        <v>0.24</v>
      </c>
      <c r="K25" s="2">
        <v>0.2424</v>
      </c>
      <c r="L25" s="2">
        <v>0.6</v>
      </c>
      <c r="M25" s="44">
        <v>0.16420000000000001</v>
      </c>
      <c r="N25" s="2">
        <v>19</v>
      </c>
      <c r="O25" s="2">
        <v>88</v>
      </c>
      <c r="P25" s="2">
        <v>107</v>
      </c>
      <c r="Q25" s="1"/>
      <c r="R25" s="1"/>
      <c r="S25" s="1"/>
      <c r="T25" s="1"/>
      <c r="U25" s="1"/>
      <c r="V25" s="1"/>
      <c r="W25" s="1"/>
      <c r="X25" s="1"/>
      <c r="Y25" s="1"/>
    </row>
    <row r="26" spans="1:25" ht="15" thickBot="1" x14ac:dyDescent="0.35">
      <c r="A26" s="2">
        <v>635</v>
      </c>
      <c r="B26" s="2" t="s">
        <v>18</v>
      </c>
      <c r="C26" s="2">
        <v>1</v>
      </c>
      <c r="D26" s="2">
        <v>0</v>
      </c>
      <c r="E26" s="2">
        <v>1</v>
      </c>
      <c r="F26" s="2">
        <v>17</v>
      </c>
      <c r="G26" s="4" t="b">
        <v>0</v>
      </c>
      <c r="H26" s="2">
        <v>6</v>
      </c>
      <c r="I26" s="2">
        <v>1</v>
      </c>
      <c r="J26" s="2">
        <v>0.24</v>
      </c>
      <c r="K26" s="2">
        <v>0.28789999999999999</v>
      </c>
      <c r="L26" s="2">
        <v>0.6</v>
      </c>
      <c r="M26" s="43">
        <v>0.1794158974358977</v>
      </c>
      <c r="N26" s="2">
        <v>9</v>
      </c>
      <c r="O26" s="2">
        <v>82</v>
      </c>
      <c r="P26" s="2">
        <v>91</v>
      </c>
      <c r="Q26" s="1"/>
      <c r="R26" s="1"/>
      <c r="S26" s="1"/>
      <c r="T26" s="1"/>
      <c r="U26" s="1"/>
      <c r="V26" s="1"/>
      <c r="W26" s="1"/>
      <c r="X26" s="1"/>
      <c r="Y26" s="1"/>
    </row>
    <row r="27" spans="1:25" ht="15" thickBot="1" x14ac:dyDescent="0.35">
      <c r="A27" s="2">
        <v>636</v>
      </c>
      <c r="B27" s="2" t="s">
        <v>18</v>
      </c>
      <c r="C27" s="2">
        <v>1</v>
      </c>
      <c r="D27" s="2">
        <v>0</v>
      </c>
      <c r="E27" s="2">
        <v>1</v>
      </c>
      <c r="F27" s="2">
        <v>18</v>
      </c>
      <c r="G27" s="4" t="b">
        <v>0</v>
      </c>
      <c r="H27" s="2">
        <v>6</v>
      </c>
      <c r="I27" s="2">
        <v>1</v>
      </c>
      <c r="J27" s="2">
        <v>0.22</v>
      </c>
      <c r="K27" s="2">
        <v>0.2273</v>
      </c>
      <c r="L27" s="2">
        <v>0.69</v>
      </c>
      <c r="M27" s="44">
        <v>0.1343</v>
      </c>
      <c r="N27" s="2">
        <v>9</v>
      </c>
      <c r="O27" s="2">
        <v>59</v>
      </c>
      <c r="P27" s="2">
        <v>68</v>
      </c>
      <c r="Q27" s="1"/>
      <c r="R27" s="1"/>
      <c r="S27" s="1"/>
      <c r="T27" s="1"/>
      <c r="U27" s="1"/>
      <c r="V27" s="1"/>
      <c r="W27" s="1"/>
      <c r="X27" s="1"/>
      <c r="Y27" s="1"/>
    </row>
    <row r="28" spans="1:25" ht="15" thickBot="1" x14ac:dyDescent="0.35">
      <c r="A28" s="2">
        <v>637</v>
      </c>
      <c r="B28" s="2" t="s">
        <v>18</v>
      </c>
      <c r="C28" s="2">
        <v>1</v>
      </c>
      <c r="D28" s="2">
        <v>0</v>
      </c>
      <c r="E28" s="2">
        <v>1</v>
      </c>
      <c r="F28" s="2">
        <v>19</v>
      </c>
      <c r="G28" s="4" t="b">
        <v>0</v>
      </c>
      <c r="H28" s="2">
        <v>6</v>
      </c>
      <c r="I28" s="2">
        <v>2</v>
      </c>
      <c r="J28" s="2">
        <v>0.22</v>
      </c>
      <c r="K28" s="2">
        <v>0.21210000000000001</v>
      </c>
      <c r="L28" s="2">
        <v>0.69</v>
      </c>
      <c r="M28" s="44">
        <v>0.25369999999999998</v>
      </c>
      <c r="N28" s="2">
        <v>6</v>
      </c>
      <c r="O28" s="2">
        <v>52</v>
      </c>
      <c r="P28" s="2">
        <v>58</v>
      </c>
      <c r="Q28" s="1"/>
      <c r="R28" s="1"/>
      <c r="S28" s="1"/>
      <c r="T28" s="1"/>
      <c r="U28" s="1"/>
      <c r="V28" s="1"/>
      <c r="W28" s="1"/>
      <c r="X28" s="1"/>
      <c r="Y28" s="1"/>
    </row>
    <row r="29" spans="1:25" ht="15" thickBot="1" x14ac:dyDescent="0.35">
      <c r="A29" s="2">
        <v>638</v>
      </c>
      <c r="B29" s="2" t="s">
        <v>18</v>
      </c>
      <c r="C29" s="2">
        <v>1</v>
      </c>
      <c r="D29" s="2">
        <v>0</v>
      </c>
      <c r="E29" s="2">
        <v>1</v>
      </c>
      <c r="F29" s="2">
        <v>20</v>
      </c>
      <c r="G29" s="4" t="b">
        <v>0</v>
      </c>
      <c r="H29" s="2">
        <v>6</v>
      </c>
      <c r="I29" s="2">
        <v>1</v>
      </c>
      <c r="J29" s="2">
        <v>0.18</v>
      </c>
      <c r="K29" s="2">
        <v>0.21210000000000001</v>
      </c>
      <c r="L29" s="2">
        <v>0.74</v>
      </c>
      <c r="M29" s="44">
        <v>8.9599999999999999E-2</v>
      </c>
      <c r="N29" s="2">
        <v>1</v>
      </c>
      <c r="O29" s="2">
        <v>42</v>
      </c>
      <c r="P29" s="2">
        <v>43</v>
      </c>
      <c r="Q29" s="1"/>
      <c r="R29" s="1"/>
      <c r="S29" s="1"/>
      <c r="T29" s="1"/>
      <c r="U29" s="1"/>
      <c r="V29" s="1"/>
      <c r="W29" s="1"/>
      <c r="X29" s="1"/>
      <c r="Y29" s="1"/>
    </row>
    <row r="30" spans="1:25" ht="15" thickBot="1" x14ac:dyDescent="0.35">
      <c r="A30" s="2">
        <v>639</v>
      </c>
      <c r="B30" s="2" t="s">
        <v>18</v>
      </c>
      <c r="C30" s="2">
        <v>1</v>
      </c>
      <c r="D30" s="2">
        <v>0</v>
      </c>
      <c r="E30" s="2">
        <v>1</v>
      </c>
      <c r="F30" s="2">
        <v>21</v>
      </c>
      <c r="G30" s="4" t="b">
        <v>0</v>
      </c>
      <c r="H30" s="2">
        <v>6</v>
      </c>
      <c r="I30" s="2">
        <v>1</v>
      </c>
      <c r="J30" s="2">
        <v>0.18</v>
      </c>
      <c r="K30" s="2">
        <v>0.21210000000000001</v>
      </c>
      <c r="L30" s="2">
        <v>0.74</v>
      </c>
      <c r="M30" s="44">
        <v>8.9599999999999999E-2</v>
      </c>
      <c r="N30" s="2">
        <v>1</v>
      </c>
      <c r="O30" s="2">
        <v>35</v>
      </c>
      <c r="P30" s="2">
        <v>36</v>
      </c>
      <c r="Q30" s="1"/>
      <c r="R30" s="1"/>
      <c r="S30" s="1"/>
      <c r="T30" s="1"/>
      <c r="U30" s="1"/>
      <c r="V30" s="1"/>
      <c r="W30" s="1"/>
      <c r="X30" s="1"/>
      <c r="Y30" s="1"/>
    </row>
    <row r="31" spans="1:25" ht="15" thickBot="1" x14ac:dyDescent="0.35">
      <c r="A31" s="2">
        <v>640</v>
      </c>
      <c r="B31" s="2" t="s">
        <v>18</v>
      </c>
      <c r="C31" s="2">
        <v>1</v>
      </c>
      <c r="D31" s="2">
        <v>0</v>
      </c>
      <c r="E31" s="2">
        <v>1</v>
      </c>
      <c r="F31" s="2">
        <v>22</v>
      </c>
      <c r="G31" s="4" t="b">
        <v>0</v>
      </c>
      <c r="H31" s="2">
        <v>6</v>
      </c>
      <c r="I31" s="2">
        <v>1</v>
      </c>
      <c r="J31" s="2">
        <v>0.16</v>
      </c>
      <c r="K31" s="2">
        <v>0.19700000000000001</v>
      </c>
      <c r="L31" s="2">
        <v>0.8</v>
      </c>
      <c r="M31" s="44">
        <v>8.9599999999999999E-2</v>
      </c>
      <c r="N31" s="2">
        <v>4</v>
      </c>
      <c r="O31" s="2">
        <v>28</v>
      </c>
      <c r="P31" s="2">
        <v>32</v>
      </c>
      <c r="Q31" s="1"/>
      <c r="R31" s="1"/>
      <c r="S31" s="1"/>
      <c r="T31" s="1"/>
      <c r="U31" s="1"/>
      <c r="V31" s="1"/>
      <c r="W31" s="1"/>
      <c r="X31" s="1"/>
      <c r="Y31" s="1"/>
    </row>
    <row r="32" spans="1:25" ht="15" thickBot="1" x14ac:dyDescent="0.35">
      <c r="A32" s="2">
        <v>641</v>
      </c>
      <c r="B32" s="2" t="s">
        <v>18</v>
      </c>
      <c r="C32" s="2">
        <v>1</v>
      </c>
      <c r="D32" s="2">
        <v>0</v>
      </c>
      <c r="E32" s="2">
        <v>1</v>
      </c>
      <c r="F32" s="2">
        <v>23</v>
      </c>
      <c r="G32" s="4" t="b">
        <v>0</v>
      </c>
      <c r="H32" s="2">
        <v>6</v>
      </c>
      <c r="I32" s="2">
        <v>1</v>
      </c>
      <c r="J32" s="2">
        <v>0.16</v>
      </c>
      <c r="K32" s="2">
        <v>0.19700000000000001</v>
      </c>
      <c r="L32" s="2">
        <v>0.8</v>
      </c>
      <c r="M32" s="44">
        <v>8.9599999999999999E-2</v>
      </c>
      <c r="N32" s="2">
        <v>3</v>
      </c>
      <c r="O32" s="2">
        <v>30</v>
      </c>
      <c r="P32" s="2">
        <v>33</v>
      </c>
      <c r="Q32" s="1"/>
      <c r="R32" s="1"/>
      <c r="S32" s="1"/>
      <c r="T32" s="1"/>
      <c r="U32" s="1"/>
      <c r="V32" s="1"/>
      <c r="W32" s="1"/>
      <c r="X32" s="1"/>
      <c r="Y32" s="1"/>
    </row>
    <row r="33" spans="1:25" ht="15" thickBot="1" x14ac:dyDescent="0.35">
      <c r="A33" s="2">
        <v>642</v>
      </c>
      <c r="B33" s="2" t="s">
        <v>19</v>
      </c>
      <c r="C33" s="2">
        <v>1</v>
      </c>
      <c r="D33" s="2">
        <v>0</v>
      </c>
      <c r="E33" s="2">
        <v>1</v>
      </c>
      <c r="F33" s="2">
        <v>0</v>
      </c>
      <c r="G33" s="4" t="b">
        <v>0</v>
      </c>
      <c r="H33" s="2">
        <v>0</v>
      </c>
      <c r="I33" s="2">
        <v>1</v>
      </c>
      <c r="J33" s="2">
        <v>0.16</v>
      </c>
      <c r="K33" s="2">
        <v>0.18179999999999999</v>
      </c>
      <c r="L33" s="2">
        <v>0.8</v>
      </c>
      <c r="M33" s="44">
        <v>0.1045</v>
      </c>
      <c r="N33" s="2">
        <v>0</v>
      </c>
      <c r="O33" s="2">
        <v>33</v>
      </c>
      <c r="P33" s="2">
        <v>33</v>
      </c>
      <c r="Q33" s="1"/>
      <c r="R33" s="1"/>
      <c r="S33" s="1"/>
      <c r="T33" s="1"/>
      <c r="U33" s="1"/>
      <c r="V33" s="1"/>
      <c r="W33" s="1"/>
      <c r="X33" s="1"/>
      <c r="Y33" s="1"/>
    </row>
    <row r="34" spans="1:25" ht="15" thickBot="1" x14ac:dyDescent="0.35">
      <c r="A34" s="2">
        <v>643</v>
      </c>
      <c r="B34" s="2" t="s">
        <v>19</v>
      </c>
      <c r="C34" s="2">
        <v>1</v>
      </c>
      <c r="D34" s="2">
        <v>0</v>
      </c>
      <c r="E34" s="2">
        <v>1</v>
      </c>
      <c r="F34" s="2">
        <v>1</v>
      </c>
      <c r="G34" s="4" t="b">
        <v>0</v>
      </c>
      <c r="H34" s="2">
        <v>0</v>
      </c>
      <c r="I34" s="2">
        <v>1</v>
      </c>
      <c r="J34" s="2">
        <v>0.14000000000000001</v>
      </c>
      <c r="K34" s="2">
        <v>0.21210000000000001</v>
      </c>
      <c r="L34" s="2">
        <v>0.8</v>
      </c>
      <c r="M34" s="43">
        <v>0.1794158974358977</v>
      </c>
      <c r="N34" s="2">
        <v>7</v>
      </c>
      <c r="O34" s="2">
        <v>22</v>
      </c>
      <c r="P34" s="2">
        <v>29</v>
      </c>
      <c r="Q34" s="1"/>
      <c r="R34" s="1"/>
      <c r="S34" s="1"/>
      <c r="T34" s="1"/>
      <c r="U34" s="1"/>
      <c r="V34" s="1"/>
      <c r="W34" s="1"/>
      <c r="X34" s="1"/>
      <c r="Y34" s="1"/>
    </row>
    <row r="35" spans="1:25" ht="15" thickBot="1" x14ac:dyDescent="0.35">
      <c r="A35" s="2">
        <v>644</v>
      </c>
      <c r="B35" s="2" t="s">
        <v>19</v>
      </c>
      <c r="C35" s="2">
        <v>1</v>
      </c>
      <c r="D35" s="2">
        <v>0</v>
      </c>
      <c r="E35" s="2">
        <v>1</v>
      </c>
      <c r="F35" s="2">
        <v>2</v>
      </c>
      <c r="G35" s="4" t="b">
        <v>0</v>
      </c>
      <c r="H35" s="2">
        <v>0</v>
      </c>
      <c r="I35" s="2">
        <v>1</v>
      </c>
      <c r="J35" s="2">
        <v>0.16</v>
      </c>
      <c r="K35" s="2">
        <v>0.2273</v>
      </c>
      <c r="L35" s="2">
        <v>0.8</v>
      </c>
      <c r="M35" s="43">
        <v>0.1794158974358977</v>
      </c>
      <c r="N35" s="2">
        <v>1</v>
      </c>
      <c r="O35" s="2">
        <v>10</v>
      </c>
      <c r="P35" s="2">
        <v>11</v>
      </c>
      <c r="Q35" s="1"/>
      <c r="R35" s="1"/>
      <c r="S35" s="1"/>
      <c r="T35" s="1"/>
      <c r="U35" s="1"/>
      <c r="V35" s="1"/>
      <c r="W35" s="1"/>
      <c r="X35" s="1"/>
      <c r="Y35" s="1"/>
    </row>
    <row r="36" spans="1:25" ht="15" thickBot="1" x14ac:dyDescent="0.35">
      <c r="A36" s="2">
        <v>645</v>
      </c>
      <c r="B36" s="2" t="s">
        <v>19</v>
      </c>
      <c r="C36" s="2">
        <v>1</v>
      </c>
      <c r="D36" s="2">
        <v>0</v>
      </c>
      <c r="E36" s="2">
        <v>1</v>
      </c>
      <c r="F36" s="2">
        <v>3</v>
      </c>
      <c r="G36" s="4" t="b">
        <v>0</v>
      </c>
      <c r="H36" s="2">
        <v>0</v>
      </c>
      <c r="I36" s="2">
        <v>1</v>
      </c>
      <c r="J36" s="2">
        <v>0.14000000000000001</v>
      </c>
      <c r="K36" s="2">
        <v>0.21210000000000001</v>
      </c>
      <c r="L36" s="2">
        <v>0.93</v>
      </c>
      <c r="M36" s="43">
        <v>0.1794158974358977</v>
      </c>
      <c r="N36" s="2">
        <v>1</v>
      </c>
      <c r="O36" s="2">
        <v>7</v>
      </c>
      <c r="P36" s="2">
        <v>8</v>
      </c>
      <c r="Q36" s="1"/>
      <c r="R36" s="1"/>
      <c r="S36" s="1"/>
      <c r="T36" s="1"/>
      <c r="U36" s="1"/>
      <c r="V36" s="1"/>
      <c r="W36" s="1"/>
      <c r="X36" s="1"/>
      <c r="Y36" s="1"/>
    </row>
    <row r="37" spans="1:25" ht="15" thickBot="1" x14ac:dyDescent="0.35">
      <c r="A37" s="2">
        <v>646</v>
      </c>
      <c r="B37" s="2" t="s">
        <v>19</v>
      </c>
      <c r="C37" s="2">
        <v>1</v>
      </c>
      <c r="D37" s="2">
        <v>0</v>
      </c>
      <c r="E37" s="2">
        <v>1</v>
      </c>
      <c r="F37" s="2">
        <v>4</v>
      </c>
      <c r="G37" s="4" t="b">
        <v>0</v>
      </c>
      <c r="H37" s="2">
        <v>0</v>
      </c>
      <c r="I37" s="2">
        <v>1</v>
      </c>
      <c r="J37" s="2">
        <v>0.14000000000000001</v>
      </c>
      <c r="K37" s="2">
        <v>0.21210000000000001</v>
      </c>
      <c r="L37" s="2">
        <v>0.93</v>
      </c>
      <c r="M37" s="43">
        <v>0.1794158974358977</v>
      </c>
      <c r="N37" s="2">
        <v>0</v>
      </c>
      <c r="O37" s="2">
        <v>1</v>
      </c>
      <c r="P37" s="2">
        <v>1</v>
      </c>
      <c r="Q37" s="1"/>
      <c r="R37" s="1"/>
      <c r="S37" s="1"/>
      <c r="T37" s="1"/>
      <c r="U37" s="1"/>
      <c r="V37" s="1"/>
      <c r="W37" s="1"/>
      <c r="X37" s="1"/>
      <c r="Y37" s="1"/>
    </row>
    <row r="38" spans="1:25" ht="15" thickBot="1" x14ac:dyDescent="0.35">
      <c r="A38" s="2">
        <v>647</v>
      </c>
      <c r="B38" s="2" t="s">
        <v>19</v>
      </c>
      <c r="C38" s="2">
        <v>1</v>
      </c>
      <c r="D38" s="2">
        <v>0</v>
      </c>
      <c r="E38" s="2">
        <v>1</v>
      </c>
      <c r="F38" s="2">
        <v>5</v>
      </c>
      <c r="G38" s="4" t="b">
        <v>0</v>
      </c>
      <c r="H38" s="2">
        <v>0</v>
      </c>
      <c r="I38" s="2">
        <v>1</v>
      </c>
      <c r="J38" s="2">
        <v>0.14000000000000001</v>
      </c>
      <c r="K38" s="2">
        <v>0.21210000000000001</v>
      </c>
      <c r="L38" s="2">
        <v>0.86</v>
      </c>
      <c r="M38" s="43">
        <v>0.1794158974358977</v>
      </c>
      <c r="N38" s="2">
        <v>0</v>
      </c>
      <c r="O38" s="2">
        <v>3</v>
      </c>
      <c r="P38" s="2">
        <v>3</v>
      </c>
      <c r="Q38" s="1"/>
      <c r="R38" s="1"/>
      <c r="S38" s="1"/>
      <c r="T38" s="1"/>
      <c r="U38" s="1"/>
      <c r="V38" s="1"/>
      <c r="W38" s="1"/>
      <c r="X38" s="1"/>
      <c r="Y38" s="1"/>
    </row>
    <row r="39" spans="1:25" ht="15" thickBot="1" x14ac:dyDescent="0.35">
      <c r="A39" s="2">
        <v>648</v>
      </c>
      <c r="B39" s="2" t="s">
        <v>19</v>
      </c>
      <c r="C39" s="2">
        <v>1</v>
      </c>
      <c r="D39" s="2">
        <v>0</v>
      </c>
      <c r="E39" s="2">
        <v>1</v>
      </c>
      <c r="F39" s="2">
        <v>7</v>
      </c>
      <c r="G39" s="4" t="b">
        <v>0</v>
      </c>
      <c r="H39" s="2">
        <v>0</v>
      </c>
      <c r="I39" s="2">
        <v>1</v>
      </c>
      <c r="J39" s="2">
        <v>0.14000000000000001</v>
      </c>
      <c r="K39" s="2">
        <v>0.21210000000000001</v>
      </c>
      <c r="L39" s="2">
        <v>0.86</v>
      </c>
      <c r="M39" s="43">
        <v>0.1794158974358977</v>
      </c>
      <c r="N39" s="2">
        <v>0</v>
      </c>
      <c r="O39" s="2">
        <v>3</v>
      </c>
      <c r="P39" s="2">
        <v>3</v>
      </c>
      <c r="Q39" s="1"/>
      <c r="R39" s="1"/>
      <c r="S39" s="1"/>
      <c r="T39" s="1"/>
      <c r="U39" s="1"/>
      <c r="V39" s="1"/>
      <c r="W39" s="1"/>
      <c r="X39" s="1"/>
      <c r="Y39" s="1"/>
    </row>
    <row r="40" spans="1:25" ht="15" thickBot="1" x14ac:dyDescent="0.35">
      <c r="A40" s="2">
        <v>649</v>
      </c>
      <c r="B40" s="2" t="s">
        <v>19</v>
      </c>
      <c r="C40" s="2">
        <v>1</v>
      </c>
      <c r="D40" s="2">
        <v>0</v>
      </c>
      <c r="E40" s="2">
        <v>1</v>
      </c>
      <c r="F40" s="2">
        <v>8</v>
      </c>
      <c r="G40" s="4" t="b">
        <v>0</v>
      </c>
      <c r="H40" s="2">
        <v>0</v>
      </c>
      <c r="I40" s="2">
        <v>2</v>
      </c>
      <c r="J40" s="2">
        <v>0.14000000000000001</v>
      </c>
      <c r="K40" s="2">
        <v>0.21210000000000001</v>
      </c>
      <c r="L40" s="2">
        <v>0.86</v>
      </c>
      <c r="M40" s="43">
        <v>0.1794158974358977</v>
      </c>
      <c r="N40" s="2">
        <v>1</v>
      </c>
      <c r="O40" s="2">
        <v>11</v>
      </c>
      <c r="P40" s="2">
        <v>12</v>
      </c>
      <c r="Q40" s="1"/>
      <c r="R40" s="1"/>
      <c r="S40" s="1"/>
      <c r="T40" s="1"/>
      <c r="U40" s="1"/>
      <c r="V40" s="1"/>
      <c r="W40" s="1"/>
      <c r="X40" s="1"/>
      <c r="Y40" s="1"/>
    </row>
    <row r="41" spans="1:25" ht="15" thickBot="1" x14ac:dyDescent="0.35">
      <c r="A41" s="2">
        <v>650</v>
      </c>
      <c r="B41" s="2" t="s">
        <v>19</v>
      </c>
      <c r="C41" s="2">
        <v>1</v>
      </c>
      <c r="D41" s="2">
        <v>0</v>
      </c>
      <c r="E41" s="2">
        <v>1</v>
      </c>
      <c r="F41" s="2">
        <v>9</v>
      </c>
      <c r="G41" s="4" t="b">
        <v>0</v>
      </c>
      <c r="H41" s="2">
        <v>0</v>
      </c>
      <c r="I41" s="2">
        <v>2</v>
      </c>
      <c r="J41" s="2">
        <v>0.16</v>
      </c>
      <c r="K41" s="2">
        <v>0.2273</v>
      </c>
      <c r="L41" s="2">
        <v>0.8</v>
      </c>
      <c r="M41" s="43">
        <v>0.1794158974358977</v>
      </c>
      <c r="N41" s="2">
        <v>4</v>
      </c>
      <c r="O41" s="2">
        <v>34</v>
      </c>
      <c r="P41" s="2">
        <v>38</v>
      </c>
      <c r="Q41" s="1"/>
      <c r="R41" s="1"/>
      <c r="S41" s="1"/>
      <c r="T41" s="1"/>
      <c r="U41" s="1"/>
      <c r="V41" s="1"/>
      <c r="W41" s="1"/>
      <c r="X41" s="1"/>
      <c r="Y41" s="1"/>
    </row>
    <row r="42" spans="1:25" ht="15" thickBot="1" x14ac:dyDescent="0.35">
      <c r="A42" s="2">
        <v>651</v>
      </c>
      <c r="B42" s="2" t="s">
        <v>19</v>
      </c>
      <c r="C42" s="2">
        <v>1</v>
      </c>
      <c r="D42" s="2">
        <v>0</v>
      </c>
      <c r="E42" s="2">
        <v>1</v>
      </c>
      <c r="F42" s="2">
        <v>10</v>
      </c>
      <c r="G42" s="4" t="b">
        <v>0</v>
      </c>
      <c r="H42" s="2">
        <v>0</v>
      </c>
      <c r="I42" s="2">
        <v>2</v>
      </c>
      <c r="J42" s="2">
        <v>0.18</v>
      </c>
      <c r="K42" s="2">
        <v>0.2424</v>
      </c>
      <c r="L42" s="2">
        <v>0.8</v>
      </c>
      <c r="M42" s="43">
        <v>0.1794158974358977</v>
      </c>
      <c r="N42" s="2">
        <v>7</v>
      </c>
      <c r="O42" s="2">
        <v>57</v>
      </c>
      <c r="P42" s="2">
        <v>64</v>
      </c>
      <c r="Q42" s="1"/>
      <c r="R42" s="1"/>
      <c r="S42" s="1"/>
      <c r="T42" s="1"/>
      <c r="U42" s="1"/>
      <c r="V42" s="1"/>
      <c r="W42" s="1"/>
      <c r="X42" s="1"/>
      <c r="Y42" s="1"/>
    </row>
    <row r="43" spans="1:25" ht="15" thickBot="1" x14ac:dyDescent="0.35">
      <c r="A43" s="2">
        <v>652</v>
      </c>
      <c r="B43" s="2" t="s">
        <v>19</v>
      </c>
      <c r="C43" s="2">
        <v>1</v>
      </c>
      <c r="D43" s="2">
        <v>0</v>
      </c>
      <c r="E43" s="2">
        <v>1</v>
      </c>
      <c r="F43" s="2">
        <v>11</v>
      </c>
      <c r="G43" s="4" t="b">
        <v>0</v>
      </c>
      <c r="H43" s="2">
        <v>0</v>
      </c>
      <c r="I43" s="2">
        <v>1</v>
      </c>
      <c r="J43" s="2">
        <v>0.22</v>
      </c>
      <c r="K43" s="2">
        <v>0.2727</v>
      </c>
      <c r="L43" s="2">
        <v>0.75</v>
      </c>
      <c r="M43" s="43">
        <v>0.1794158974358977</v>
      </c>
      <c r="N43" s="2">
        <v>9</v>
      </c>
      <c r="O43" s="2">
        <v>50</v>
      </c>
      <c r="P43" s="2">
        <v>59</v>
      </c>
      <c r="Q43" s="1"/>
      <c r="R43" s="1"/>
      <c r="S43" s="1"/>
      <c r="T43" s="1"/>
      <c r="U43" s="1"/>
      <c r="V43" s="1"/>
      <c r="W43" s="1"/>
      <c r="X43" s="1"/>
      <c r="Y43" s="1"/>
    </row>
    <row r="44" spans="1:25" ht="15" thickBot="1" x14ac:dyDescent="0.35">
      <c r="A44" s="2">
        <v>653</v>
      </c>
      <c r="B44" s="2" t="s">
        <v>19</v>
      </c>
      <c r="C44" s="2">
        <v>1</v>
      </c>
      <c r="D44" s="2">
        <v>0</v>
      </c>
      <c r="E44" s="2">
        <v>1</v>
      </c>
      <c r="F44" s="2">
        <v>12</v>
      </c>
      <c r="G44" s="4" t="b">
        <v>0</v>
      </c>
      <c r="H44" s="2">
        <v>0</v>
      </c>
      <c r="I44" s="2">
        <v>1</v>
      </c>
      <c r="J44" s="2">
        <v>0.3</v>
      </c>
      <c r="K44" s="2">
        <v>0.31819999999999998</v>
      </c>
      <c r="L44" s="2">
        <v>0.52</v>
      </c>
      <c r="M44" s="44">
        <v>0.1045</v>
      </c>
      <c r="N44" s="2">
        <v>10</v>
      </c>
      <c r="O44" s="2">
        <v>87</v>
      </c>
      <c r="P44" s="2">
        <v>97</v>
      </c>
      <c r="Q44" s="1"/>
      <c r="R44" s="1"/>
      <c r="S44" s="1"/>
      <c r="T44" s="1"/>
      <c r="U44" s="1"/>
      <c r="V44" s="1"/>
      <c r="W44" s="1"/>
      <c r="X44" s="1"/>
      <c r="Y44" s="1"/>
    </row>
    <row r="45" spans="1:25" ht="15" thickBot="1" x14ac:dyDescent="0.35">
      <c r="A45" s="2">
        <v>654</v>
      </c>
      <c r="B45" s="2" t="s">
        <v>19</v>
      </c>
      <c r="C45" s="2">
        <v>1</v>
      </c>
      <c r="D45" s="2">
        <v>0</v>
      </c>
      <c r="E45" s="2">
        <v>1</v>
      </c>
      <c r="F45" s="2">
        <v>13</v>
      </c>
      <c r="G45" s="4" t="b">
        <v>0</v>
      </c>
      <c r="H45" s="2">
        <v>0</v>
      </c>
      <c r="I45" s="2">
        <v>1</v>
      </c>
      <c r="J45" s="2">
        <v>0.28000000000000003</v>
      </c>
      <c r="K45" s="2">
        <v>0.28789999999999999</v>
      </c>
      <c r="L45" s="2">
        <v>0.61</v>
      </c>
      <c r="M45" s="44">
        <v>0.1045</v>
      </c>
      <c r="N45" s="2">
        <v>13</v>
      </c>
      <c r="O45" s="2">
        <v>71</v>
      </c>
      <c r="P45" s="2">
        <v>84</v>
      </c>
      <c r="Q45" s="1"/>
      <c r="R45" s="1"/>
      <c r="S45" s="1"/>
      <c r="T45" s="1"/>
      <c r="U45" s="1"/>
      <c r="V45" s="1"/>
      <c r="W45" s="1"/>
      <c r="X45" s="1"/>
      <c r="Y45" s="1"/>
    </row>
    <row r="46" spans="1:25" ht="15" thickBot="1" x14ac:dyDescent="0.35">
      <c r="A46" s="2">
        <v>655</v>
      </c>
      <c r="B46" s="2" t="s">
        <v>19</v>
      </c>
      <c r="C46" s="2">
        <v>1</v>
      </c>
      <c r="D46" s="2">
        <v>0</v>
      </c>
      <c r="E46" s="2">
        <v>1</v>
      </c>
      <c r="F46" s="2">
        <v>14</v>
      </c>
      <c r="G46" s="4" t="b">
        <v>0</v>
      </c>
      <c r="H46" s="2">
        <v>0</v>
      </c>
      <c r="I46" s="2">
        <v>1</v>
      </c>
      <c r="J46" s="2">
        <v>0.28000000000000003</v>
      </c>
      <c r="K46" s="2">
        <v>0.30299999999999999</v>
      </c>
      <c r="L46" s="2">
        <v>0.61</v>
      </c>
      <c r="M46" s="44">
        <v>8.9599999999999999E-2</v>
      </c>
      <c r="N46" s="2">
        <v>18</v>
      </c>
      <c r="O46" s="2">
        <v>104</v>
      </c>
      <c r="P46" s="2">
        <v>122</v>
      </c>
      <c r="Q46" s="1"/>
      <c r="R46" s="1"/>
      <c r="S46" s="1"/>
      <c r="T46" s="1"/>
      <c r="U46" s="1"/>
      <c r="V46" s="1"/>
      <c r="W46" s="1"/>
      <c r="X46" s="1"/>
      <c r="Y46" s="1"/>
    </row>
    <row r="47" spans="1:25" ht="15" thickBot="1" x14ac:dyDescent="0.35">
      <c r="A47" s="2">
        <v>656</v>
      </c>
      <c r="B47" s="2" t="s">
        <v>19</v>
      </c>
      <c r="C47" s="2">
        <v>1</v>
      </c>
      <c r="D47" s="2">
        <v>0</v>
      </c>
      <c r="E47" s="2">
        <v>1</v>
      </c>
      <c r="F47" s="2">
        <v>15</v>
      </c>
      <c r="G47" s="4" t="b">
        <v>0</v>
      </c>
      <c r="H47" s="2">
        <v>0</v>
      </c>
      <c r="I47" s="2">
        <v>1</v>
      </c>
      <c r="J47" s="2">
        <v>0.3</v>
      </c>
      <c r="K47" s="2">
        <v>0.33329999999999999</v>
      </c>
      <c r="L47" s="2">
        <v>0.56000000000000005</v>
      </c>
      <c r="M47" s="43">
        <v>0.1794158974358977</v>
      </c>
      <c r="N47" s="2">
        <v>14</v>
      </c>
      <c r="O47" s="2">
        <v>95</v>
      </c>
      <c r="P47" s="2">
        <v>109</v>
      </c>
      <c r="Q47" s="1"/>
      <c r="R47" s="1"/>
      <c r="S47" s="1"/>
      <c r="T47" s="1"/>
      <c r="U47" s="1"/>
      <c r="V47" s="1"/>
      <c r="W47" s="1"/>
      <c r="X47" s="1"/>
      <c r="Y47" s="1"/>
    </row>
    <row r="48" spans="1:25" ht="15" thickBot="1" x14ac:dyDescent="0.35">
      <c r="A48" s="2">
        <v>657</v>
      </c>
      <c r="B48" s="2" t="s">
        <v>19</v>
      </c>
      <c r="C48" s="2">
        <v>1</v>
      </c>
      <c r="D48" s="2">
        <v>0</v>
      </c>
      <c r="E48" s="2">
        <v>1</v>
      </c>
      <c r="F48" s="2">
        <v>16</v>
      </c>
      <c r="G48" s="4" t="b">
        <v>0</v>
      </c>
      <c r="H48" s="2">
        <v>0</v>
      </c>
      <c r="I48" s="2">
        <v>1</v>
      </c>
      <c r="J48" s="2">
        <v>0.3</v>
      </c>
      <c r="K48" s="2">
        <v>0.33329999999999999</v>
      </c>
      <c r="L48" s="2">
        <v>0.56000000000000005</v>
      </c>
      <c r="M48" s="43">
        <v>0.1794158974358977</v>
      </c>
      <c r="N48" s="2">
        <v>19</v>
      </c>
      <c r="O48" s="2">
        <v>104</v>
      </c>
      <c r="P48" s="2">
        <v>123</v>
      </c>
      <c r="Q48" s="1"/>
      <c r="R48" s="1"/>
      <c r="S48" s="1"/>
      <c r="T48" s="1"/>
      <c r="U48" s="1"/>
      <c r="V48" s="1"/>
      <c r="W48" s="1"/>
      <c r="X48" s="1"/>
      <c r="Y48" s="1"/>
    </row>
    <row r="49" spans="1:25" ht="15" thickBot="1" x14ac:dyDescent="0.35">
      <c r="A49" s="2">
        <v>658</v>
      </c>
      <c r="B49" s="2" t="s">
        <v>19</v>
      </c>
      <c r="C49" s="2">
        <v>1</v>
      </c>
      <c r="D49" s="2">
        <v>0</v>
      </c>
      <c r="E49" s="2">
        <v>1</v>
      </c>
      <c r="F49" s="2">
        <v>17</v>
      </c>
      <c r="G49" s="4" t="b">
        <v>0</v>
      </c>
      <c r="H49" s="2">
        <v>0</v>
      </c>
      <c r="I49" s="2">
        <v>1</v>
      </c>
      <c r="J49" s="2">
        <v>0.3</v>
      </c>
      <c r="K49" s="2">
        <v>0.28789999999999999</v>
      </c>
      <c r="L49" s="2">
        <v>0.56000000000000005</v>
      </c>
      <c r="M49" s="44">
        <v>0.19400000000000001</v>
      </c>
      <c r="N49" s="2">
        <v>6</v>
      </c>
      <c r="O49" s="2">
        <v>71</v>
      </c>
      <c r="P49" s="2">
        <v>77</v>
      </c>
      <c r="Q49" s="1"/>
      <c r="R49" s="1"/>
      <c r="S49" s="1"/>
      <c r="T49" s="1"/>
      <c r="U49" s="1"/>
      <c r="V49" s="1"/>
      <c r="W49" s="1"/>
      <c r="X49" s="1"/>
      <c r="Y49" s="1"/>
    </row>
    <row r="50" spans="1:25" ht="15" thickBot="1" x14ac:dyDescent="0.35">
      <c r="A50" s="2">
        <v>659</v>
      </c>
      <c r="B50" s="2" t="s">
        <v>19</v>
      </c>
      <c r="C50" s="2">
        <v>1</v>
      </c>
      <c r="D50" s="2">
        <v>0</v>
      </c>
      <c r="E50" s="2">
        <v>1</v>
      </c>
      <c r="F50" s="2">
        <v>18</v>
      </c>
      <c r="G50" s="4" t="b">
        <v>0</v>
      </c>
      <c r="H50" s="2">
        <v>0</v>
      </c>
      <c r="I50" s="2">
        <v>1</v>
      </c>
      <c r="J50" s="2">
        <v>0.26</v>
      </c>
      <c r="K50" s="2">
        <v>0.2576</v>
      </c>
      <c r="L50" s="2">
        <v>0.65</v>
      </c>
      <c r="M50" s="44">
        <v>0.16420000000000001</v>
      </c>
      <c r="N50" s="2">
        <v>8</v>
      </c>
      <c r="O50" s="2">
        <v>57</v>
      </c>
      <c r="P50" s="2">
        <v>65</v>
      </c>
      <c r="Q50" s="1"/>
      <c r="R50" s="1"/>
      <c r="S50" s="1"/>
      <c r="T50" s="1"/>
      <c r="U50" s="1"/>
      <c r="V50" s="1"/>
      <c r="W50" s="1"/>
      <c r="X50" s="1"/>
      <c r="Y50" s="1"/>
    </row>
    <row r="51" spans="1:25" ht="15" thickBot="1" x14ac:dyDescent="0.35">
      <c r="A51" s="2">
        <v>660</v>
      </c>
      <c r="B51" s="2" t="s">
        <v>19</v>
      </c>
      <c r="C51" s="2">
        <v>1</v>
      </c>
      <c r="D51" s="2">
        <v>0</v>
      </c>
      <c r="E51" s="2">
        <v>1</v>
      </c>
      <c r="F51" s="2">
        <v>19</v>
      </c>
      <c r="G51" s="4" t="b">
        <v>0</v>
      </c>
      <c r="H51" s="2">
        <v>0</v>
      </c>
      <c r="I51" s="2">
        <v>1</v>
      </c>
      <c r="J51" s="2">
        <v>0.26</v>
      </c>
      <c r="K51" s="2">
        <v>0.2576</v>
      </c>
      <c r="L51" s="2">
        <v>0.65</v>
      </c>
      <c r="M51" s="44">
        <v>0.19400000000000001</v>
      </c>
      <c r="N51" s="2">
        <v>9</v>
      </c>
      <c r="O51" s="2">
        <v>46</v>
      </c>
      <c r="P51" s="2">
        <v>55</v>
      </c>
      <c r="Q51" s="1"/>
      <c r="R51" s="1"/>
      <c r="S51" s="1"/>
      <c r="T51" s="1"/>
      <c r="U51" s="1"/>
      <c r="V51" s="1"/>
      <c r="W51" s="1"/>
      <c r="X51" s="1"/>
      <c r="Y51" s="1"/>
    </row>
    <row r="52" spans="1:25" ht="15" thickBot="1" x14ac:dyDescent="0.35">
      <c r="A52" s="2">
        <v>661</v>
      </c>
      <c r="B52" s="2" t="s">
        <v>19</v>
      </c>
      <c r="C52" s="2">
        <v>1</v>
      </c>
      <c r="D52" s="2">
        <v>0</v>
      </c>
      <c r="E52" s="2">
        <v>1</v>
      </c>
      <c r="F52" s="2">
        <v>20</v>
      </c>
      <c r="G52" s="4" t="b">
        <v>0</v>
      </c>
      <c r="H52" s="2">
        <v>0</v>
      </c>
      <c r="I52" s="2">
        <v>2</v>
      </c>
      <c r="J52" s="2">
        <v>0.26</v>
      </c>
      <c r="K52" s="2">
        <v>0.2727</v>
      </c>
      <c r="L52" s="2">
        <v>0.65</v>
      </c>
      <c r="M52" s="44">
        <v>0.1045</v>
      </c>
      <c r="N52" s="2">
        <v>3</v>
      </c>
      <c r="O52" s="2">
        <v>30</v>
      </c>
      <c r="P52" s="2">
        <v>33</v>
      </c>
      <c r="Q52" s="1"/>
      <c r="R52" s="1"/>
      <c r="S52" s="1"/>
      <c r="T52" s="1"/>
      <c r="U52" s="1"/>
      <c r="V52" s="1"/>
      <c r="W52" s="1"/>
      <c r="X52" s="1"/>
      <c r="Y52" s="1"/>
    </row>
    <row r="53" spans="1:25" ht="15" thickBot="1" x14ac:dyDescent="0.35">
      <c r="A53" s="2">
        <v>662</v>
      </c>
      <c r="B53" s="2" t="s">
        <v>19</v>
      </c>
      <c r="C53" s="2">
        <v>1</v>
      </c>
      <c r="D53" s="2">
        <v>0</v>
      </c>
      <c r="E53" s="2">
        <v>1</v>
      </c>
      <c r="F53" s="2">
        <v>21</v>
      </c>
      <c r="G53" s="4" t="b">
        <v>0</v>
      </c>
      <c r="H53" s="2">
        <v>0</v>
      </c>
      <c r="I53" s="2">
        <v>2</v>
      </c>
      <c r="J53" s="2">
        <v>0.24</v>
      </c>
      <c r="K53" s="2">
        <v>0.2424</v>
      </c>
      <c r="L53" s="2">
        <v>0.7</v>
      </c>
      <c r="M53" s="44">
        <v>0.16420000000000001</v>
      </c>
      <c r="N53" s="2">
        <v>3</v>
      </c>
      <c r="O53" s="2">
        <v>25</v>
      </c>
      <c r="P53" s="2">
        <v>28</v>
      </c>
      <c r="Q53" s="1"/>
      <c r="R53" s="1"/>
      <c r="S53" s="1"/>
      <c r="T53" s="1"/>
      <c r="U53" s="1"/>
      <c r="V53" s="1"/>
      <c r="W53" s="1"/>
      <c r="X53" s="1"/>
      <c r="Y53" s="1"/>
    </row>
    <row r="54" spans="1:25" ht="15" thickBot="1" x14ac:dyDescent="0.35">
      <c r="A54" s="2">
        <v>663</v>
      </c>
      <c r="B54" s="2" t="s">
        <v>19</v>
      </c>
      <c r="C54" s="2">
        <v>1</v>
      </c>
      <c r="D54" s="2">
        <v>0</v>
      </c>
      <c r="E54" s="2">
        <v>1</v>
      </c>
      <c r="F54" s="2">
        <v>22</v>
      </c>
      <c r="G54" s="4" t="b">
        <v>0</v>
      </c>
      <c r="H54" s="2">
        <v>0</v>
      </c>
      <c r="I54" s="2">
        <v>2</v>
      </c>
      <c r="J54" s="2">
        <v>0.24</v>
      </c>
      <c r="K54" s="2">
        <v>0.2273</v>
      </c>
      <c r="L54" s="2">
        <v>0.7</v>
      </c>
      <c r="M54" s="44">
        <v>0.19400000000000001</v>
      </c>
      <c r="N54" s="2">
        <v>2</v>
      </c>
      <c r="O54" s="2">
        <v>19</v>
      </c>
      <c r="P54" s="2">
        <v>21</v>
      </c>
      <c r="Q54" s="1"/>
      <c r="R54" s="1"/>
      <c r="S54" s="1"/>
      <c r="T54" s="1"/>
      <c r="U54" s="1"/>
      <c r="V54" s="1"/>
      <c r="W54" s="1"/>
      <c r="X54" s="1"/>
      <c r="Y54" s="1"/>
    </row>
    <row r="55" spans="1:25" ht="15" thickBot="1" x14ac:dyDescent="0.35">
      <c r="A55" s="2">
        <v>664</v>
      </c>
      <c r="B55" s="2" t="s">
        <v>19</v>
      </c>
      <c r="C55" s="2">
        <v>1</v>
      </c>
      <c r="D55" s="2">
        <v>0</v>
      </c>
      <c r="E55" s="2">
        <v>1</v>
      </c>
      <c r="F55" s="2">
        <v>23</v>
      </c>
      <c r="G55" s="4" t="b">
        <v>0</v>
      </c>
      <c r="H55" s="2">
        <v>0</v>
      </c>
      <c r="I55" s="2">
        <v>2</v>
      </c>
      <c r="J55" s="2">
        <v>0.24</v>
      </c>
      <c r="K55" s="2">
        <v>0.21210000000000001</v>
      </c>
      <c r="L55" s="2">
        <v>0.65</v>
      </c>
      <c r="M55" s="44">
        <v>0.28360000000000002</v>
      </c>
      <c r="N55" s="2">
        <v>5</v>
      </c>
      <c r="O55" s="2">
        <v>16</v>
      </c>
      <c r="P55" s="2">
        <v>21</v>
      </c>
      <c r="Q55" s="1"/>
      <c r="R55" s="1"/>
      <c r="S55" s="1"/>
      <c r="T55" s="1"/>
      <c r="U55" s="1"/>
      <c r="V55" s="1"/>
      <c r="W55" s="1"/>
      <c r="X55" s="1"/>
      <c r="Y55" s="1"/>
    </row>
    <row r="56" spans="1:25" ht="15" thickBot="1" x14ac:dyDescent="0.35">
      <c r="A56" s="2">
        <v>665</v>
      </c>
      <c r="B56" s="2" t="s">
        <v>20</v>
      </c>
      <c r="C56" s="2">
        <v>1</v>
      </c>
      <c r="D56" s="2">
        <v>0</v>
      </c>
      <c r="E56" s="2">
        <v>1</v>
      </c>
      <c r="F56" s="2">
        <v>0</v>
      </c>
      <c r="G56" s="4" t="b">
        <v>0</v>
      </c>
      <c r="H56" s="2">
        <v>1</v>
      </c>
      <c r="I56" s="2">
        <v>2</v>
      </c>
      <c r="J56" s="2">
        <v>0.24</v>
      </c>
      <c r="K56" s="2">
        <v>0.2273</v>
      </c>
      <c r="L56" s="2">
        <v>0.65</v>
      </c>
      <c r="M56" s="44">
        <v>0.22389999999999999</v>
      </c>
      <c r="N56" s="2">
        <v>1</v>
      </c>
      <c r="O56" s="2">
        <v>6</v>
      </c>
      <c r="P56" s="2">
        <v>7</v>
      </c>
      <c r="Q56" s="1"/>
      <c r="R56" s="1"/>
      <c r="S56" s="1"/>
      <c r="T56" s="1"/>
      <c r="U56" s="1"/>
      <c r="V56" s="1"/>
      <c r="W56" s="1"/>
      <c r="X56" s="1"/>
      <c r="Y56" s="1"/>
    </row>
    <row r="57" spans="1:25" ht="15" thickBot="1" x14ac:dyDescent="0.35">
      <c r="A57" s="2">
        <v>666</v>
      </c>
      <c r="B57" s="2" t="s">
        <v>20</v>
      </c>
      <c r="C57" s="2">
        <v>1</v>
      </c>
      <c r="D57" s="2">
        <v>0</v>
      </c>
      <c r="E57" s="2">
        <v>1</v>
      </c>
      <c r="F57" s="2">
        <v>1</v>
      </c>
      <c r="G57" s="4" t="b">
        <v>0</v>
      </c>
      <c r="H57" s="2">
        <v>1</v>
      </c>
      <c r="I57" s="2">
        <v>1</v>
      </c>
      <c r="J57" s="2">
        <v>0.22</v>
      </c>
      <c r="K57" s="2">
        <v>0.21210000000000001</v>
      </c>
      <c r="L57" s="2">
        <v>0.64</v>
      </c>
      <c r="M57" s="44">
        <v>0.25369999999999998</v>
      </c>
      <c r="N57" s="2">
        <v>2</v>
      </c>
      <c r="O57" s="2">
        <v>5</v>
      </c>
      <c r="P57" s="2">
        <v>7</v>
      </c>
      <c r="Q57" s="1"/>
      <c r="R57" s="1"/>
      <c r="S57" s="1"/>
      <c r="T57" s="1"/>
      <c r="U57" s="1"/>
      <c r="V57" s="1"/>
      <c r="W57" s="1"/>
      <c r="X57" s="1"/>
      <c r="Y57" s="1"/>
    </row>
    <row r="58" spans="1:25" ht="15" thickBot="1" x14ac:dyDescent="0.35">
      <c r="A58" s="2">
        <v>667</v>
      </c>
      <c r="B58" s="2" t="s">
        <v>20</v>
      </c>
      <c r="C58" s="2">
        <v>1</v>
      </c>
      <c r="D58" s="2">
        <v>0</v>
      </c>
      <c r="E58" s="2">
        <v>1</v>
      </c>
      <c r="F58" s="2">
        <v>2</v>
      </c>
      <c r="G58" s="4" t="b">
        <v>0</v>
      </c>
      <c r="H58" s="2">
        <v>1</v>
      </c>
      <c r="I58" s="2">
        <v>1</v>
      </c>
      <c r="J58" s="2">
        <v>0.22</v>
      </c>
      <c r="K58" s="2">
        <v>0.2273</v>
      </c>
      <c r="L58" s="2">
        <v>0.64</v>
      </c>
      <c r="M58" s="44">
        <v>0.19400000000000001</v>
      </c>
      <c r="N58" s="2">
        <v>0</v>
      </c>
      <c r="O58" s="2">
        <v>1</v>
      </c>
      <c r="P58" s="2">
        <v>1</v>
      </c>
      <c r="Q58" s="1"/>
      <c r="R58" s="1"/>
      <c r="S58" s="1"/>
      <c r="T58" s="1"/>
      <c r="U58" s="1"/>
      <c r="V58" s="1"/>
      <c r="W58" s="1"/>
      <c r="X58" s="1"/>
      <c r="Y58" s="1"/>
    </row>
    <row r="59" spans="1:25" ht="15" thickBot="1" x14ac:dyDescent="0.35">
      <c r="A59" s="2">
        <v>668</v>
      </c>
      <c r="B59" s="2" t="s">
        <v>20</v>
      </c>
      <c r="C59" s="2">
        <v>1</v>
      </c>
      <c r="D59" s="2">
        <v>0</v>
      </c>
      <c r="E59" s="2">
        <v>1</v>
      </c>
      <c r="F59" s="2">
        <v>3</v>
      </c>
      <c r="G59" s="4" t="b">
        <v>0</v>
      </c>
      <c r="H59" s="2">
        <v>1</v>
      </c>
      <c r="I59" s="2">
        <v>1</v>
      </c>
      <c r="J59" s="2">
        <v>0.22</v>
      </c>
      <c r="K59" s="2">
        <v>0.2273</v>
      </c>
      <c r="L59" s="2">
        <v>0.64</v>
      </c>
      <c r="M59" s="44">
        <v>0.19400000000000001</v>
      </c>
      <c r="N59" s="2">
        <v>0</v>
      </c>
      <c r="O59" s="2">
        <v>2</v>
      </c>
      <c r="P59" s="2">
        <v>2</v>
      </c>
      <c r="Q59" s="1"/>
      <c r="R59" s="1"/>
      <c r="S59" s="1"/>
      <c r="T59" s="1"/>
      <c r="U59" s="1"/>
      <c r="V59" s="1"/>
      <c r="W59" s="1"/>
      <c r="X59" s="1"/>
      <c r="Y59" s="1"/>
    </row>
    <row r="60" spans="1:25" ht="15" thickBot="1" x14ac:dyDescent="0.35">
      <c r="A60" s="2">
        <v>669</v>
      </c>
      <c r="B60" s="2" t="s">
        <v>20</v>
      </c>
      <c r="C60" s="2">
        <v>1</v>
      </c>
      <c r="D60" s="2">
        <v>0</v>
      </c>
      <c r="E60" s="2">
        <v>1</v>
      </c>
      <c r="F60" s="2">
        <v>4</v>
      </c>
      <c r="G60" s="4" t="b">
        <v>0</v>
      </c>
      <c r="H60" s="2">
        <v>1</v>
      </c>
      <c r="I60" s="2">
        <v>1</v>
      </c>
      <c r="J60" s="2">
        <v>0.2</v>
      </c>
      <c r="K60" s="2">
        <v>0.19700000000000001</v>
      </c>
      <c r="L60" s="2">
        <v>0.59</v>
      </c>
      <c r="M60" s="44">
        <v>0.22389999999999999</v>
      </c>
      <c r="N60" s="2">
        <v>0</v>
      </c>
      <c r="O60" s="2">
        <v>2</v>
      </c>
      <c r="P60" s="2">
        <v>2</v>
      </c>
      <c r="Q60" s="1"/>
      <c r="R60" s="1"/>
      <c r="S60" s="1"/>
      <c r="T60" s="1"/>
      <c r="U60" s="1"/>
      <c r="V60" s="1"/>
      <c r="W60" s="1"/>
      <c r="X60" s="1"/>
      <c r="Y60" s="1"/>
    </row>
    <row r="61" spans="1:25" ht="15" thickBot="1" x14ac:dyDescent="0.35">
      <c r="A61" s="2">
        <v>670</v>
      </c>
      <c r="B61" s="2" t="s">
        <v>20</v>
      </c>
      <c r="C61" s="2">
        <v>1</v>
      </c>
      <c r="D61" s="2">
        <v>0</v>
      </c>
      <c r="E61" s="2">
        <v>1</v>
      </c>
      <c r="F61" s="2">
        <v>5</v>
      </c>
      <c r="G61" s="4" t="b">
        <v>0</v>
      </c>
      <c r="H61" s="2">
        <v>1</v>
      </c>
      <c r="I61" s="2">
        <v>1</v>
      </c>
      <c r="J61" s="2">
        <v>0.18</v>
      </c>
      <c r="K61" s="2">
        <v>0.16669999999999999</v>
      </c>
      <c r="L61" s="2">
        <v>0.64</v>
      </c>
      <c r="M61" s="44">
        <v>0.28360000000000002</v>
      </c>
      <c r="N61" s="2">
        <v>0</v>
      </c>
      <c r="O61" s="2">
        <v>8</v>
      </c>
      <c r="P61" s="2">
        <v>8</v>
      </c>
      <c r="Q61" s="1"/>
      <c r="R61" s="1"/>
      <c r="S61" s="1"/>
      <c r="T61" s="1"/>
      <c r="U61" s="1"/>
      <c r="V61" s="1"/>
      <c r="W61" s="1"/>
      <c r="X61" s="1"/>
      <c r="Y61" s="1"/>
    </row>
    <row r="62" spans="1:25" ht="15" thickBot="1" x14ac:dyDescent="0.35">
      <c r="A62" s="2">
        <v>671</v>
      </c>
      <c r="B62" s="2" t="s">
        <v>20</v>
      </c>
      <c r="C62" s="2">
        <v>1</v>
      </c>
      <c r="D62" s="2">
        <v>0</v>
      </c>
      <c r="E62" s="2">
        <v>1</v>
      </c>
      <c r="F62" s="2">
        <v>6</v>
      </c>
      <c r="G62" s="4" t="b">
        <v>0</v>
      </c>
      <c r="H62" s="2">
        <v>1</v>
      </c>
      <c r="I62" s="2">
        <v>1</v>
      </c>
      <c r="J62" s="2">
        <v>0.16</v>
      </c>
      <c r="K62" s="2">
        <v>0.13639999999999999</v>
      </c>
      <c r="L62" s="2">
        <v>0.69</v>
      </c>
      <c r="M62" s="44">
        <v>0.32840000000000003</v>
      </c>
      <c r="N62" s="2">
        <v>0</v>
      </c>
      <c r="O62" s="2">
        <v>37</v>
      </c>
      <c r="P62" s="2">
        <v>37</v>
      </c>
      <c r="Q62" s="1"/>
      <c r="R62" s="1"/>
      <c r="S62" s="1"/>
      <c r="T62" s="1"/>
      <c r="U62" s="1"/>
      <c r="V62" s="1"/>
      <c r="W62" s="1"/>
      <c r="X62" s="1"/>
      <c r="Y62" s="1"/>
    </row>
    <row r="63" spans="1:25" ht="15" thickBot="1" x14ac:dyDescent="0.35">
      <c r="A63" s="2">
        <v>672</v>
      </c>
      <c r="B63" s="2" t="s">
        <v>20</v>
      </c>
      <c r="C63" s="2">
        <v>1</v>
      </c>
      <c r="D63" s="2">
        <v>0</v>
      </c>
      <c r="E63" s="2">
        <v>1</v>
      </c>
      <c r="F63" s="2">
        <v>7</v>
      </c>
      <c r="G63" s="4" t="b">
        <v>0</v>
      </c>
      <c r="H63" s="2">
        <v>1</v>
      </c>
      <c r="I63" s="2">
        <v>2</v>
      </c>
      <c r="J63" s="2">
        <v>0.16</v>
      </c>
      <c r="K63" s="2">
        <v>0.13639999999999999</v>
      </c>
      <c r="L63" s="2">
        <v>0.64</v>
      </c>
      <c r="M63" s="44">
        <v>0.28360000000000002</v>
      </c>
      <c r="N63" s="2">
        <v>1</v>
      </c>
      <c r="O63" s="2">
        <v>71</v>
      </c>
      <c r="P63" s="2">
        <v>72</v>
      </c>
      <c r="Q63" s="1"/>
      <c r="R63" s="1"/>
      <c r="S63" s="1"/>
      <c r="T63" s="1"/>
      <c r="U63" s="1"/>
      <c r="V63" s="1"/>
      <c r="W63" s="1"/>
      <c r="X63" s="1"/>
      <c r="Y63" s="1"/>
    </row>
    <row r="64" spans="1:25" ht="15" thickBot="1" x14ac:dyDescent="0.35">
      <c r="A64" s="2">
        <v>673</v>
      </c>
      <c r="B64" s="2" t="s">
        <v>20</v>
      </c>
      <c r="C64" s="2">
        <v>1</v>
      </c>
      <c r="D64" s="2">
        <v>0</v>
      </c>
      <c r="E64" s="2">
        <v>1</v>
      </c>
      <c r="F64" s="2">
        <v>8</v>
      </c>
      <c r="G64" s="4" t="b">
        <v>0</v>
      </c>
      <c r="H64" s="2">
        <v>1</v>
      </c>
      <c r="I64" s="2">
        <v>2</v>
      </c>
      <c r="J64" s="2">
        <v>0.16</v>
      </c>
      <c r="K64" s="2">
        <v>0.13639999999999999</v>
      </c>
      <c r="L64" s="2">
        <v>0.59</v>
      </c>
      <c r="M64" s="44">
        <v>0.28360000000000002</v>
      </c>
      <c r="N64" s="2">
        <v>3</v>
      </c>
      <c r="O64" s="2">
        <v>182</v>
      </c>
      <c r="P64" s="2">
        <v>185</v>
      </c>
      <c r="Q64" s="1"/>
      <c r="R64" s="1"/>
      <c r="S64" s="1"/>
      <c r="T64" s="1"/>
      <c r="U64" s="1"/>
      <c r="V64" s="1"/>
      <c r="W64" s="1"/>
      <c r="X64" s="1"/>
      <c r="Y64" s="1"/>
    </row>
    <row r="65" spans="1:25" ht="15" thickBot="1" x14ac:dyDescent="0.35">
      <c r="A65" s="2">
        <v>674</v>
      </c>
      <c r="B65" s="2" t="s">
        <v>20</v>
      </c>
      <c r="C65" s="2">
        <v>1</v>
      </c>
      <c r="D65" s="2">
        <v>0</v>
      </c>
      <c r="E65" s="2">
        <v>1</v>
      </c>
      <c r="F65" s="2">
        <v>9</v>
      </c>
      <c r="G65" s="4" t="b">
        <v>0</v>
      </c>
      <c r="H65" s="2">
        <v>1</v>
      </c>
      <c r="I65" s="2">
        <v>2</v>
      </c>
      <c r="J65" s="2">
        <v>0.16</v>
      </c>
      <c r="K65" s="2">
        <v>0.13639999999999999</v>
      </c>
      <c r="L65" s="2">
        <v>0.59</v>
      </c>
      <c r="M65" s="44">
        <v>0.29849999999999999</v>
      </c>
      <c r="N65" s="2">
        <v>0</v>
      </c>
      <c r="O65" s="2">
        <v>112</v>
      </c>
      <c r="P65" s="2">
        <v>112</v>
      </c>
      <c r="Q65" s="1"/>
      <c r="R65" s="1"/>
      <c r="S65" s="1"/>
      <c r="T65" s="1"/>
      <c r="U65" s="1"/>
      <c r="V65" s="1"/>
      <c r="W65" s="1"/>
      <c r="X65" s="1"/>
      <c r="Y65" s="1"/>
    </row>
    <row r="66" spans="1:25" ht="15" thickBot="1" x14ac:dyDescent="0.35">
      <c r="A66" s="2">
        <v>675</v>
      </c>
      <c r="B66" s="2" t="s">
        <v>20</v>
      </c>
      <c r="C66" s="2">
        <v>1</v>
      </c>
      <c r="D66" s="2">
        <v>0</v>
      </c>
      <c r="E66" s="2">
        <v>1</v>
      </c>
      <c r="F66" s="2">
        <v>10</v>
      </c>
      <c r="G66" s="4" t="b">
        <v>0</v>
      </c>
      <c r="H66" s="2">
        <v>1</v>
      </c>
      <c r="I66" s="2">
        <v>2</v>
      </c>
      <c r="J66" s="2">
        <v>0.16</v>
      </c>
      <c r="K66" s="2">
        <v>0.1515</v>
      </c>
      <c r="L66" s="2">
        <v>0.59</v>
      </c>
      <c r="M66" s="44">
        <v>0.19400000000000001</v>
      </c>
      <c r="N66" s="2">
        <v>1</v>
      </c>
      <c r="O66" s="2">
        <v>68</v>
      </c>
      <c r="P66" s="2">
        <v>69</v>
      </c>
      <c r="Q66" s="1"/>
      <c r="R66" s="1"/>
      <c r="S66" s="1"/>
      <c r="T66" s="1"/>
      <c r="U66" s="1"/>
      <c r="V66" s="1"/>
      <c r="W66" s="1"/>
      <c r="X66" s="1"/>
      <c r="Y66" s="1"/>
    </row>
    <row r="67" spans="1:25" ht="15" thickBot="1" x14ac:dyDescent="0.35">
      <c r="A67" s="2">
        <v>676</v>
      </c>
      <c r="B67" s="2" t="s">
        <v>20</v>
      </c>
      <c r="C67" s="2">
        <v>1</v>
      </c>
      <c r="D67" s="2">
        <v>0</v>
      </c>
      <c r="E67" s="2">
        <v>1</v>
      </c>
      <c r="F67" s="2">
        <v>11</v>
      </c>
      <c r="G67" s="4" t="b">
        <v>0</v>
      </c>
      <c r="H67" s="2">
        <v>1</v>
      </c>
      <c r="I67" s="2">
        <v>2</v>
      </c>
      <c r="J67" s="2">
        <v>0.16</v>
      </c>
      <c r="K67" s="2">
        <v>0.1515</v>
      </c>
      <c r="L67" s="2">
        <v>0.59</v>
      </c>
      <c r="M67" s="44">
        <v>0.19400000000000001</v>
      </c>
      <c r="N67" s="2">
        <v>2</v>
      </c>
      <c r="O67" s="2">
        <v>46</v>
      </c>
      <c r="P67" s="2">
        <v>48</v>
      </c>
      <c r="Q67" s="1"/>
      <c r="R67" s="1"/>
      <c r="S67" s="1"/>
      <c r="T67" s="1"/>
      <c r="U67" s="1"/>
      <c r="V67" s="1"/>
      <c r="W67" s="1"/>
      <c r="X67" s="1"/>
      <c r="Y67" s="1"/>
    </row>
    <row r="68" spans="1:25" ht="15" thickBot="1" x14ac:dyDescent="0.35">
      <c r="A68" s="2">
        <v>677</v>
      </c>
      <c r="B68" s="2" t="s">
        <v>20</v>
      </c>
      <c r="C68" s="2">
        <v>1</v>
      </c>
      <c r="D68" s="2">
        <v>0</v>
      </c>
      <c r="E68" s="2">
        <v>1</v>
      </c>
      <c r="F68" s="2">
        <v>12</v>
      </c>
      <c r="G68" s="4" t="b">
        <v>0</v>
      </c>
      <c r="H68" s="2">
        <v>1</v>
      </c>
      <c r="I68" s="2">
        <v>2</v>
      </c>
      <c r="J68" s="2">
        <v>0.18</v>
      </c>
      <c r="K68" s="2">
        <v>0.21210000000000001</v>
      </c>
      <c r="L68" s="2">
        <v>0.55000000000000004</v>
      </c>
      <c r="M68" s="44">
        <v>0.1045</v>
      </c>
      <c r="N68" s="2">
        <v>6</v>
      </c>
      <c r="O68" s="2">
        <v>62</v>
      </c>
      <c r="P68" s="2">
        <v>68</v>
      </c>
      <c r="Q68" s="1"/>
      <c r="R68" s="1"/>
      <c r="S68" s="1"/>
      <c r="T68" s="1"/>
      <c r="U68" s="1"/>
      <c r="V68" s="1"/>
      <c r="W68" s="1"/>
      <c r="X68" s="1"/>
      <c r="Y68" s="1"/>
    </row>
    <row r="69" spans="1:25" ht="15" thickBot="1" x14ac:dyDescent="0.35">
      <c r="A69" s="2">
        <v>678</v>
      </c>
      <c r="B69" s="2" t="s">
        <v>20</v>
      </c>
      <c r="C69" s="2">
        <v>1</v>
      </c>
      <c r="D69" s="2">
        <v>0</v>
      </c>
      <c r="E69" s="2">
        <v>1</v>
      </c>
      <c r="F69" s="2">
        <v>13</v>
      </c>
      <c r="G69" s="4" t="b">
        <v>0</v>
      </c>
      <c r="H69" s="2">
        <v>1</v>
      </c>
      <c r="I69" s="2">
        <v>2</v>
      </c>
      <c r="J69" s="2">
        <v>0.16</v>
      </c>
      <c r="K69" s="2">
        <v>0.2273</v>
      </c>
      <c r="L69" s="2">
        <v>0.59</v>
      </c>
      <c r="M69" s="43">
        <v>0.1794158974358977</v>
      </c>
      <c r="N69" s="2">
        <v>2</v>
      </c>
      <c r="O69" s="2">
        <v>52</v>
      </c>
      <c r="P69" s="2">
        <v>54</v>
      </c>
      <c r="Q69" s="1"/>
      <c r="R69" s="1"/>
      <c r="S69" s="1"/>
      <c r="T69" s="1"/>
      <c r="U69" s="1"/>
      <c r="V69" s="1"/>
      <c r="W69" s="1"/>
      <c r="X69" s="1"/>
      <c r="Y69" s="1"/>
    </row>
    <row r="70" spans="1:25" ht="15" thickBot="1" x14ac:dyDescent="0.35">
      <c r="A70" s="2">
        <v>679</v>
      </c>
      <c r="B70" s="2" t="s">
        <v>20</v>
      </c>
      <c r="C70" s="2">
        <v>1</v>
      </c>
      <c r="D70" s="2">
        <v>0</v>
      </c>
      <c r="E70" s="2">
        <v>1</v>
      </c>
      <c r="F70" s="2">
        <v>14</v>
      </c>
      <c r="G70" s="4" t="b">
        <v>0</v>
      </c>
      <c r="H70" s="2">
        <v>1</v>
      </c>
      <c r="I70" s="2">
        <v>2</v>
      </c>
      <c r="J70" s="2">
        <v>0.18</v>
      </c>
      <c r="K70" s="2">
        <v>0.19700000000000001</v>
      </c>
      <c r="L70" s="2">
        <v>0.55000000000000004</v>
      </c>
      <c r="M70" s="44">
        <v>0.1343</v>
      </c>
      <c r="N70" s="2">
        <v>1</v>
      </c>
      <c r="O70" s="2">
        <v>85</v>
      </c>
      <c r="P70" s="2">
        <v>86</v>
      </c>
      <c r="Q70" s="1"/>
      <c r="R70" s="1"/>
      <c r="S70" s="1"/>
      <c r="T70" s="1"/>
      <c r="U70" s="1"/>
      <c r="V70" s="1"/>
      <c r="W70" s="1"/>
      <c r="X70" s="1"/>
      <c r="Y70" s="1"/>
    </row>
    <row r="71" spans="1:25" ht="15" thickBot="1" x14ac:dyDescent="0.35">
      <c r="A71" s="2">
        <v>680</v>
      </c>
      <c r="B71" s="2" t="s">
        <v>20</v>
      </c>
      <c r="C71" s="2">
        <v>1</v>
      </c>
      <c r="D71" s="2">
        <v>0</v>
      </c>
      <c r="E71" s="2">
        <v>1</v>
      </c>
      <c r="F71" s="2">
        <v>15</v>
      </c>
      <c r="G71" s="4" t="b">
        <v>0</v>
      </c>
      <c r="H71" s="2">
        <v>1</v>
      </c>
      <c r="I71" s="2">
        <v>2</v>
      </c>
      <c r="J71" s="2">
        <v>0.16</v>
      </c>
      <c r="K71" s="2">
        <v>0.18179999999999999</v>
      </c>
      <c r="L71" s="2">
        <v>0.59</v>
      </c>
      <c r="M71" s="44">
        <v>0.1343</v>
      </c>
      <c r="N71" s="2">
        <v>3</v>
      </c>
      <c r="O71" s="2">
        <v>41</v>
      </c>
      <c r="P71" s="2">
        <v>44</v>
      </c>
      <c r="Q71" s="1"/>
      <c r="R71" s="1"/>
      <c r="S71" s="1"/>
      <c r="T71" s="1"/>
      <c r="U71" s="1"/>
      <c r="V71" s="1"/>
      <c r="W71" s="1"/>
      <c r="X71" s="1"/>
      <c r="Y71" s="1"/>
    </row>
    <row r="72" spans="1:25" ht="15" thickBot="1" x14ac:dyDescent="0.35">
      <c r="A72" s="2">
        <v>681</v>
      </c>
      <c r="B72" s="2" t="s">
        <v>20</v>
      </c>
      <c r="C72" s="2">
        <v>1</v>
      </c>
      <c r="D72" s="2">
        <v>0</v>
      </c>
      <c r="E72" s="2">
        <v>1</v>
      </c>
      <c r="F72" s="2">
        <v>16</v>
      </c>
      <c r="G72" s="4" t="b">
        <v>0</v>
      </c>
      <c r="H72" s="2">
        <v>1</v>
      </c>
      <c r="I72" s="2">
        <v>2</v>
      </c>
      <c r="J72" s="2">
        <v>0.16</v>
      </c>
      <c r="K72" s="2">
        <v>0.18179999999999999</v>
      </c>
      <c r="L72" s="2">
        <v>0.56000000000000005</v>
      </c>
      <c r="M72" s="44">
        <v>0.19400000000000001</v>
      </c>
      <c r="N72" s="2">
        <v>3</v>
      </c>
      <c r="O72" s="2">
        <v>83</v>
      </c>
      <c r="P72" s="2">
        <v>86</v>
      </c>
      <c r="Q72" s="1"/>
      <c r="R72" s="1"/>
      <c r="S72" s="1"/>
      <c r="T72" s="1"/>
      <c r="U72" s="1"/>
      <c r="V72" s="1"/>
      <c r="W72" s="1"/>
      <c r="X72" s="1"/>
      <c r="Y72" s="1"/>
    </row>
    <row r="73" spans="1:25" ht="15" thickBot="1" x14ac:dyDescent="0.35">
      <c r="A73" s="2">
        <v>682</v>
      </c>
      <c r="B73" s="2" t="s">
        <v>20</v>
      </c>
      <c r="C73" s="2">
        <v>1</v>
      </c>
      <c r="D73" s="2">
        <v>0</v>
      </c>
      <c r="E73" s="2">
        <v>1</v>
      </c>
      <c r="F73" s="2">
        <v>17</v>
      </c>
      <c r="G73" s="4" t="b">
        <v>0</v>
      </c>
      <c r="H73" s="2">
        <v>1</v>
      </c>
      <c r="I73" s="2">
        <v>2</v>
      </c>
      <c r="J73" s="2">
        <v>0.16</v>
      </c>
      <c r="K73" s="2">
        <v>0.1515</v>
      </c>
      <c r="L73" s="2">
        <v>0.59</v>
      </c>
      <c r="M73" s="44">
        <v>0.19400000000000001</v>
      </c>
      <c r="N73" s="2">
        <v>6</v>
      </c>
      <c r="O73" s="2">
        <v>155</v>
      </c>
      <c r="P73" s="2">
        <v>161</v>
      </c>
      <c r="Q73" s="1"/>
      <c r="R73" s="1"/>
      <c r="S73" s="1"/>
      <c r="T73" s="1"/>
      <c r="U73" s="1"/>
      <c r="V73" s="1"/>
      <c r="W73" s="1"/>
      <c r="X73" s="1"/>
      <c r="Y73" s="1"/>
    </row>
    <row r="74" spans="1:25" ht="15" thickBot="1" x14ac:dyDescent="0.35">
      <c r="A74" s="2">
        <v>683</v>
      </c>
      <c r="B74" s="2" t="s">
        <v>20</v>
      </c>
      <c r="C74" s="2">
        <v>1</v>
      </c>
      <c r="D74" s="2">
        <v>0</v>
      </c>
      <c r="E74" s="2">
        <v>1</v>
      </c>
      <c r="F74" s="2">
        <v>18</v>
      </c>
      <c r="G74" s="4" t="b">
        <v>0</v>
      </c>
      <c r="H74" s="2">
        <v>1</v>
      </c>
      <c r="I74" s="2">
        <v>2</v>
      </c>
      <c r="J74" s="2">
        <v>0.16</v>
      </c>
      <c r="K74" s="2">
        <v>0.1515</v>
      </c>
      <c r="L74" s="2">
        <v>0.55000000000000004</v>
      </c>
      <c r="M74" s="44">
        <v>0.22389999999999999</v>
      </c>
      <c r="N74" s="2">
        <v>3</v>
      </c>
      <c r="O74" s="2">
        <v>153</v>
      </c>
      <c r="P74" s="2">
        <v>156</v>
      </c>
      <c r="Q74" s="1"/>
      <c r="R74" s="1"/>
      <c r="S74" s="1"/>
      <c r="T74" s="1"/>
      <c r="U74" s="1"/>
      <c r="V74" s="1"/>
      <c r="W74" s="1"/>
      <c r="X74" s="1"/>
      <c r="Y74" s="1"/>
    </row>
    <row r="75" spans="1:25" ht="15" thickBot="1" x14ac:dyDescent="0.35">
      <c r="A75" s="2">
        <v>684</v>
      </c>
      <c r="B75" s="2" t="s">
        <v>20</v>
      </c>
      <c r="C75" s="2">
        <v>1</v>
      </c>
      <c r="D75" s="2">
        <v>0</v>
      </c>
      <c r="E75" s="2">
        <v>1</v>
      </c>
      <c r="F75" s="2">
        <v>19</v>
      </c>
      <c r="G75" s="4" t="b">
        <v>0</v>
      </c>
      <c r="H75" s="2">
        <v>1</v>
      </c>
      <c r="I75" s="2">
        <v>1</v>
      </c>
      <c r="J75" s="2">
        <v>0.3</v>
      </c>
      <c r="K75" s="2">
        <v>0.31819999999999998</v>
      </c>
      <c r="L75" s="2">
        <v>0.61</v>
      </c>
      <c r="M75" s="44">
        <v>0.1045</v>
      </c>
      <c r="N75" s="2">
        <v>3</v>
      </c>
      <c r="O75" s="2">
        <v>108</v>
      </c>
      <c r="P75" s="2">
        <v>111</v>
      </c>
      <c r="Q75" s="1"/>
      <c r="R75" s="1"/>
      <c r="S75" s="1"/>
      <c r="T75" s="1"/>
      <c r="U75" s="1"/>
      <c r="V75" s="1"/>
      <c r="W75" s="1"/>
      <c r="X75" s="1"/>
      <c r="Y75" s="1"/>
    </row>
    <row r="76" spans="1:25" ht="15" thickBot="1" x14ac:dyDescent="0.35">
      <c r="A76" s="2">
        <v>685</v>
      </c>
      <c r="B76" s="2" t="s">
        <v>20</v>
      </c>
      <c r="C76" s="2">
        <v>1</v>
      </c>
      <c r="D76" s="2">
        <v>0</v>
      </c>
      <c r="E76" s="2">
        <v>1</v>
      </c>
      <c r="F76" s="2">
        <v>20</v>
      </c>
      <c r="G76" s="4" t="b">
        <v>0</v>
      </c>
      <c r="H76" s="2">
        <v>1</v>
      </c>
      <c r="I76" s="2">
        <v>3</v>
      </c>
      <c r="J76" s="2">
        <v>0.16</v>
      </c>
      <c r="K76" s="2">
        <v>0.16669999999999999</v>
      </c>
      <c r="L76" s="2">
        <v>0.59</v>
      </c>
      <c r="M76" s="44">
        <v>0.16420000000000001</v>
      </c>
      <c r="N76" s="2">
        <v>0</v>
      </c>
      <c r="O76" s="2">
        <v>78</v>
      </c>
      <c r="P76" s="2">
        <v>78</v>
      </c>
      <c r="Q76" s="1"/>
      <c r="R76" s="1"/>
      <c r="S76" s="1"/>
      <c r="T76" s="1"/>
      <c r="U76" s="1"/>
      <c r="V76" s="1"/>
      <c r="W76" s="1"/>
      <c r="X76" s="1"/>
      <c r="Y76" s="1"/>
    </row>
    <row r="77" spans="1:25" ht="15" thickBot="1" x14ac:dyDescent="0.35">
      <c r="A77" s="2">
        <v>686</v>
      </c>
      <c r="B77" s="2" t="s">
        <v>20</v>
      </c>
      <c r="C77" s="2">
        <v>1</v>
      </c>
      <c r="D77" s="2">
        <v>0</v>
      </c>
      <c r="E77" s="2">
        <v>1</v>
      </c>
      <c r="F77" s="2">
        <v>21</v>
      </c>
      <c r="G77" s="4" t="b">
        <v>0</v>
      </c>
      <c r="H77" s="2">
        <v>1</v>
      </c>
      <c r="I77" s="2">
        <v>3</v>
      </c>
      <c r="J77" s="2">
        <v>0.16</v>
      </c>
      <c r="K77" s="2">
        <v>0.19700000000000001</v>
      </c>
      <c r="L77" s="2">
        <v>0.59</v>
      </c>
      <c r="M77" s="44">
        <v>8.9599999999999999E-2</v>
      </c>
      <c r="N77" s="2">
        <v>3</v>
      </c>
      <c r="O77" s="2">
        <v>53</v>
      </c>
      <c r="P77" s="2">
        <v>56</v>
      </c>
      <c r="Q77" s="1"/>
      <c r="R77" s="1"/>
      <c r="S77" s="1"/>
      <c r="T77" s="1"/>
      <c r="U77" s="1"/>
      <c r="V77" s="1"/>
      <c r="W77" s="1"/>
      <c r="X77" s="1"/>
      <c r="Y77" s="1"/>
    </row>
    <row r="78" spans="1:25" ht="15" thickBot="1" x14ac:dyDescent="0.35">
      <c r="A78" s="2">
        <v>687</v>
      </c>
      <c r="B78" s="2" t="s">
        <v>20</v>
      </c>
      <c r="C78" s="2">
        <v>1</v>
      </c>
      <c r="D78" s="2">
        <v>0</v>
      </c>
      <c r="E78" s="2">
        <v>1</v>
      </c>
      <c r="F78" s="2">
        <v>22</v>
      </c>
      <c r="G78" s="4" t="b">
        <v>0</v>
      </c>
      <c r="H78" s="2">
        <v>1</v>
      </c>
      <c r="I78" s="2">
        <v>2</v>
      </c>
      <c r="J78" s="2">
        <v>0.16</v>
      </c>
      <c r="K78" s="2">
        <v>0.18179999999999999</v>
      </c>
      <c r="L78" s="2">
        <v>0.59</v>
      </c>
      <c r="M78" s="44">
        <v>0.1045</v>
      </c>
      <c r="N78" s="2">
        <v>0</v>
      </c>
      <c r="O78" s="2">
        <v>34</v>
      </c>
      <c r="P78" s="2">
        <v>34</v>
      </c>
      <c r="Q78" s="1"/>
      <c r="R78" s="1"/>
      <c r="S78" s="1"/>
      <c r="T78" s="1"/>
      <c r="U78" s="1"/>
      <c r="V78" s="1"/>
      <c r="W78" s="1"/>
      <c r="X78" s="1"/>
      <c r="Y78" s="1"/>
    </row>
    <row r="79" spans="1:25" ht="15" thickBot="1" x14ac:dyDescent="0.35">
      <c r="A79" s="2">
        <v>688</v>
      </c>
      <c r="B79" s="2" t="s">
        <v>20</v>
      </c>
      <c r="C79" s="2">
        <v>1</v>
      </c>
      <c r="D79" s="2">
        <v>0</v>
      </c>
      <c r="E79" s="2">
        <v>1</v>
      </c>
      <c r="F79" s="2">
        <v>23</v>
      </c>
      <c r="G79" s="4" t="b">
        <v>0</v>
      </c>
      <c r="H79" s="2">
        <v>1</v>
      </c>
      <c r="I79" s="2">
        <v>2</v>
      </c>
      <c r="J79" s="2">
        <v>0.16</v>
      </c>
      <c r="K79" s="2">
        <v>0.19700000000000001</v>
      </c>
      <c r="L79" s="2">
        <v>0.64</v>
      </c>
      <c r="M79" s="44">
        <v>8.9599999999999999E-2</v>
      </c>
      <c r="N79" s="2">
        <v>2</v>
      </c>
      <c r="O79" s="2">
        <v>15</v>
      </c>
      <c r="P79" s="2">
        <v>17</v>
      </c>
      <c r="Q79" s="1"/>
      <c r="R79" s="1"/>
      <c r="S79" s="1"/>
      <c r="T79" s="1"/>
      <c r="U79" s="1"/>
      <c r="V79" s="1"/>
      <c r="W79" s="1"/>
      <c r="X79" s="1"/>
      <c r="Y79" s="1"/>
    </row>
    <row r="80" spans="1:25" ht="15" thickBot="1" x14ac:dyDescent="0.35">
      <c r="A80" s="2">
        <v>689</v>
      </c>
      <c r="B80" s="3">
        <v>40545</v>
      </c>
      <c r="C80" s="2">
        <v>1</v>
      </c>
      <c r="D80" s="2">
        <v>0</v>
      </c>
      <c r="E80" s="2">
        <v>2</v>
      </c>
      <c r="F80" s="2">
        <v>0</v>
      </c>
      <c r="G80" s="4" t="b">
        <v>0</v>
      </c>
      <c r="H80" s="2">
        <v>2</v>
      </c>
      <c r="I80" s="2">
        <v>2</v>
      </c>
      <c r="J80" s="2">
        <v>0.16</v>
      </c>
      <c r="K80" s="2">
        <v>0.18179999999999999</v>
      </c>
      <c r="L80" s="2">
        <v>0.64</v>
      </c>
      <c r="M80" s="44">
        <v>0.1045</v>
      </c>
      <c r="N80" s="2">
        <v>2</v>
      </c>
      <c r="O80" s="2">
        <v>6</v>
      </c>
      <c r="P80" s="2">
        <v>8</v>
      </c>
      <c r="Q80" s="1"/>
      <c r="R80" s="1"/>
      <c r="S80" s="1"/>
      <c r="T80" s="1"/>
      <c r="U80" s="1"/>
      <c r="V80" s="1"/>
      <c r="W80" s="1"/>
      <c r="X80" s="1"/>
      <c r="Y80" s="1"/>
    </row>
    <row r="81" spans="1:25" ht="15" thickBot="1" x14ac:dyDescent="0.35">
      <c r="A81" s="2">
        <v>690</v>
      </c>
      <c r="B81" s="3">
        <v>40545</v>
      </c>
      <c r="C81" s="2">
        <v>1</v>
      </c>
      <c r="D81" s="2">
        <v>0</v>
      </c>
      <c r="E81" s="2">
        <v>2</v>
      </c>
      <c r="F81" s="2">
        <v>1</v>
      </c>
      <c r="G81" s="4" t="b">
        <v>0</v>
      </c>
      <c r="H81" s="2">
        <v>2</v>
      </c>
      <c r="I81" s="2">
        <v>2</v>
      </c>
      <c r="J81" s="2">
        <v>0.16</v>
      </c>
      <c r="K81" s="2">
        <v>0.18179999999999999</v>
      </c>
      <c r="L81" s="2">
        <v>0.69</v>
      </c>
      <c r="M81" s="44">
        <v>0.1045</v>
      </c>
      <c r="N81" s="2">
        <v>0</v>
      </c>
      <c r="O81" s="2">
        <v>3</v>
      </c>
      <c r="P81" s="2">
        <v>3</v>
      </c>
      <c r="Q81" s="1"/>
      <c r="R81" s="1"/>
      <c r="S81" s="1"/>
      <c r="T81" s="1"/>
      <c r="U81" s="1"/>
      <c r="V81" s="1"/>
      <c r="W81" s="1"/>
      <c r="X81" s="1"/>
      <c r="Y81" s="1"/>
    </row>
    <row r="82" spans="1:25" ht="15" thickBot="1" x14ac:dyDescent="0.35">
      <c r="A82" s="2">
        <v>691</v>
      </c>
      <c r="B82" s="3">
        <v>40545</v>
      </c>
      <c r="C82" s="2">
        <v>1</v>
      </c>
      <c r="D82" s="2">
        <v>0</v>
      </c>
      <c r="E82" s="2">
        <v>2</v>
      </c>
      <c r="F82" s="2">
        <v>2</v>
      </c>
      <c r="G82" s="4" t="b">
        <v>0</v>
      </c>
      <c r="H82" s="2">
        <v>2</v>
      </c>
      <c r="I82" s="2">
        <v>2</v>
      </c>
      <c r="J82" s="2">
        <v>0.16</v>
      </c>
      <c r="K82" s="2">
        <v>0.2273</v>
      </c>
      <c r="L82" s="2">
        <v>0.69</v>
      </c>
      <c r="M82" s="43">
        <v>0.1794158974358977</v>
      </c>
      <c r="N82" s="2">
        <v>0</v>
      </c>
      <c r="O82" s="2">
        <v>2</v>
      </c>
      <c r="P82" s="2">
        <v>2</v>
      </c>
      <c r="Q82" s="1"/>
      <c r="R82" s="1"/>
      <c r="S82" s="1"/>
      <c r="T82" s="1"/>
      <c r="U82" s="1"/>
      <c r="V82" s="1"/>
      <c r="W82" s="1"/>
      <c r="X82" s="1"/>
      <c r="Y82" s="1"/>
    </row>
    <row r="83" spans="1:25" ht="15" thickBot="1" x14ac:dyDescent="0.35">
      <c r="A83" s="2">
        <v>692</v>
      </c>
      <c r="B83" s="3">
        <v>40545</v>
      </c>
      <c r="C83" s="2">
        <v>1</v>
      </c>
      <c r="D83" s="2">
        <v>0</v>
      </c>
      <c r="E83" s="2">
        <v>2</v>
      </c>
      <c r="F83" s="2">
        <v>3</v>
      </c>
      <c r="G83" s="4" t="b">
        <v>0</v>
      </c>
      <c r="H83" s="2">
        <v>2</v>
      </c>
      <c r="I83" s="2">
        <v>2</v>
      </c>
      <c r="J83" s="2">
        <v>0.16</v>
      </c>
      <c r="K83" s="2">
        <v>0.2273</v>
      </c>
      <c r="L83" s="2">
        <v>0.69</v>
      </c>
      <c r="M83" s="43">
        <v>0.1794158974358977</v>
      </c>
      <c r="N83" s="2">
        <v>0</v>
      </c>
      <c r="O83" s="2">
        <v>2</v>
      </c>
      <c r="P83" s="2">
        <v>2</v>
      </c>
      <c r="Q83" s="1"/>
      <c r="R83" s="1"/>
      <c r="S83" s="1"/>
      <c r="T83" s="1"/>
      <c r="U83" s="1"/>
      <c r="V83" s="1"/>
      <c r="W83" s="1"/>
      <c r="X83" s="1"/>
      <c r="Y83" s="1"/>
    </row>
    <row r="84" spans="1:25" ht="15" thickBot="1" x14ac:dyDescent="0.35">
      <c r="A84" s="2">
        <v>693</v>
      </c>
      <c r="B84" s="3">
        <v>40545</v>
      </c>
      <c r="C84" s="2">
        <v>1</v>
      </c>
      <c r="D84" s="2">
        <v>0</v>
      </c>
      <c r="E84" s="2">
        <v>2</v>
      </c>
      <c r="F84" s="2">
        <v>5</v>
      </c>
      <c r="G84" s="4" t="b">
        <v>0</v>
      </c>
      <c r="H84" s="2">
        <v>2</v>
      </c>
      <c r="I84" s="2">
        <v>3</v>
      </c>
      <c r="J84" s="2">
        <v>0.14000000000000001</v>
      </c>
      <c r="K84" s="2">
        <v>0.21210000000000001</v>
      </c>
      <c r="L84" s="2">
        <v>0.93</v>
      </c>
      <c r="M84" s="43">
        <v>0.1794158974358977</v>
      </c>
      <c r="N84" s="2">
        <v>0</v>
      </c>
      <c r="O84" s="2">
        <v>3</v>
      </c>
      <c r="P84" s="2">
        <v>3</v>
      </c>
      <c r="Q84" s="1"/>
      <c r="R84" s="1"/>
      <c r="S84" s="1"/>
      <c r="T84" s="1"/>
      <c r="U84" s="1"/>
      <c r="V84" s="1"/>
      <c r="W84" s="1"/>
      <c r="X84" s="1"/>
      <c r="Y84" s="1"/>
    </row>
    <row r="85" spans="1:25" ht="15" thickBot="1" x14ac:dyDescent="0.35">
      <c r="A85" s="2">
        <v>694</v>
      </c>
      <c r="B85" s="3">
        <v>40545</v>
      </c>
      <c r="C85" s="2">
        <v>1</v>
      </c>
      <c r="D85" s="2">
        <v>0</v>
      </c>
      <c r="E85" s="2">
        <v>2</v>
      </c>
      <c r="F85" s="2">
        <v>6</v>
      </c>
      <c r="G85" s="4" t="b">
        <v>0</v>
      </c>
      <c r="H85" s="2">
        <v>2</v>
      </c>
      <c r="I85" s="2">
        <v>3</v>
      </c>
      <c r="J85" s="2">
        <v>0.14000000000000001</v>
      </c>
      <c r="K85" s="2">
        <v>0.21210000000000001</v>
      </c>
      <c r="L85" s="2">
        <v>0.93</v>
      </c>
      <c r="M85" s="43">
        <v>0.1794158974358977</v>
      </c>
      <c r="N85" s="2">
        <v>0</v>
      </c>
      <c r="O85" s="2">
        <v>22</v>
      </c>
      <c r="P85" s="2">
        <v>22</v>
      </c>
      <c r="Q85" s="1"/>
      <c r="R85" s="1"/>
      <c r="S85" s="1"/>
      <c r="T85" s="1"/>
      <c r="U85" s="1"/>
      <c r="V85" s="1"/>
      <c r="W85" s="1"/>
      <c r="X85" s="1"/>
      <c r="Y85" s="1"/>
    </row>
    <row r="86" spans="1:25" ht="15" thickBot="1" x14ac:dyDescent="0.35">
      <c r="A86" s="2">
        <v>695</v>
      </c>
      <c r="B86" s="3">
        <v>40545</v>
      </c>
      <c r="C86" s="2">
        <v>1</v>
      </c>
      <c r="D86" s="2">
        <v>0</v>
      </c>
      <c r="E86" s="2">
        <v>2</v>
      </c>
      <c r="F86" s="2">
        <v>7</v>
      </c>
      <c r="G86" s="4" t="b">
        <v>0</v>
      </c>
      <c r="H86" s="2">
        <v>2</v>
      </c>
      <c r="I86" s="2">
        <v>3</v>
      </c>
      <c r="J86" s="2">
        <v>0.16</v>
      </c>
      <c r="K86" s="2">
        <v>0.2273</v>
      </c>
      <c r="L86" s="2">
        <v>0.93</v>
      </c>
      <c r="M86" s="43">
        <v>0.1794158974358977</v>
      </c>
      <c r="N86" s="2">
        <v>0</v>
      </c>
      <c r="O86" s="2">
        <v>52</v>
      </c>
      <c r="P86" s="2">
        <v>52</v>
      </c>
      <c r="Q86" s="1"/>
      <c r="R86" s="1"/>
      <c r="S86" s="1"/>
      <c r="T86" s="1"/>
      <c r="U86" s="1"/>
      <c r="V86" s="1"/>
      <c r="W86" s="1"/>
      <c r="X86" s="1"/>
      <c r="Y86" s="1"/>
    </row>
    <row r="87" spans="1:25" ht="15" thickBot="1" x14ac:dyDescent="0.35">
      <c r="A87" s="2">
        <v>696</v>
      </c>
      <c r="B87" s="3">
        <v>40545</v>
      </c>
      <c r="C87" s="2">
        <v>1</v>
      </c>
      <c r="D87" s="2">
        <v>0</v>
      </c>
      <c r="E87" s="2">
        <v>2</v>
      </c>
      <c r="F87" s="2">
        <v>8</v>
      </c>
      <c r="G87" s="4" t="b">
        <v>0</v>
      </c>
      <c r="H87" s="2">
        <v>2</v>
      </c>
      <c r="I87" s="2">
        <v>3</v>
      </c>
      <c r="J87" s="2">
        <v>0.16</v>
      </c>
      <c r="K87" s="2">
        <v>0.2273</v>
      </c>
      <c r="L87" s="2">
        <v>0.93</v>
      </c>
      <c r="M87" s="43">
        <v>0.1794158974358977</v>
      </c>
      <c r="N87" s="2">
        <v>3</v>
      </c>
      <c r="O87" s="2">
        <v>132</v>
      </c>
      <c r="P87" s="2">
        <v>135</v>
      </c>
      <c r="Q87" s="1"/>
      <c r="R87" s="1"/>
      <c r="S87" s="1"/>
      <c r="T87" s="1"/>
      <c r="U87" s="1"/>
      <c r="V87" s="1"/>
      <c r="W87" s="1"/>
      <c r="X87" s="1"/>
      <c r="Y87" s="1"/>
    </row>
    <row r="88" spans="1:25" ht="15" thickBot="1" x14ac:dyDescent="0.35">
      <c r="A88" s="2">
        <v>697</v>
      </c>
      <c r="B88" s="3">
        <v>40545</v>
      </c>
      <c r="C88" s="2">
        <v>1</v>
      </c>
      <c r="D88" s="2">
        <v>0</v>
      </c>
      <c r="E88" s="2">
        <v>2</v>
      </c>
      <c r="F88" s="2">
        <v>9</v>
      </c>
      <c r="G88" s="4" t="b">
        <v>0</v>
      </c>
      <c r="H88" s="2">
        <v>2</v>
      </c>
      <c r="I88" s="2">
        <v>2</v>
      </c>
      <c r="J88" s="2">
        <v>0.16</v>
      </c>
      <c r="K88" s="2">
        <v>0.2273</v>
      </c>
      <c r="L88" s="2">
        <v>0.93</v>
      </c>
      <c r="M88" s="43">
        <v>0.1794158974358977</v>
      </c>
      <c r="N88" s="2">
        <v>2</v>
      </c>
      <c r="O88" s="2">
        <v>114</v>
      </c>
      <c r="P88" s="2">
        <v>116</v>
      </c>
      <c r="Q88" s="1"/>
      <c r="R88" s="1"/>
      <c r="S88" s="1"/>
      <c r="T88" s="1"/>
      <c r="U88" s="1"/>
      <c r="V88" s="1"/>
      <c r="W88" s="1"/>
      <c r="X88" s="1"/>
      <c r="Y88" s="1"/>
    </row>
    <row r="89" spans="1:25" ht="15" thickBot="1" x14ac:dyDescent="0.35">
      <c r="A89" s="2">
        <v>698</v>
      </c>
      <c r="B89" s="3">
        <v>40545</v>
      </c>
      <c r="C89" s="2">
        <v>1</v>
      </c>
      <c r="D89" s="2">
        <v>0</v>
      </c>
      <c r="E89" s="2">
        <v>2</v>
      </c>
      <c r="F89" s="2">
        <v>10</v>
      </c>
      <c r="G89" s="4" t="b">
        <v>0</v>
      </c>
      <c r="H89" s="2">
        <v>2</v>
      </c>
      <c r="I89" s="2">
        <v>2</v>
      </c>
      <c r="J89" s="2">
        <v>0.16</v>
      </c>
      <c r="K89" s="2">
        <v>0.2273</v>
      </c>
      <c r="L89" s="2">
        <v>0.93</v>
      </c>
      <c r="M89" s="43">
        <v>0.1794158974358977</v>
      </c>
      <c r="N89" s="2">
        <v>0</v>
      </c>
      <c r="O89" s="2">
        <v>47</v>
      </c>
      <c r="P89" s="2">
        <v>47</v>
      </c>
      <c r="Q89" s="1"/>
      <c r="R89" s="1"/>
      <c r="S89" s="1"/>
      <c r="T89" s="1"/>
      <c r="U89" s="1"/>
      <c r="V89" s="1"/>
      <c r="W89" s="1"/>
      <c r="X89" s="1"/>
      <c r="Y89" s="1"/>
    </row>
    <row r="90" spans="1:25" ht="15" thickBot="1" x14ac:dyDescent="0.35">
      <c r="A90" s="2">
        <v>699</v>
      </c>
      <c r="B90" s="3">
        <v>40545</v>
      </c>
      <c r="C90" s="2">
        <v>1</v>
      </c>
      <c r="D90" s="2">
        <v>0</v>
      </c>
      <c r="E90" s="2">
        <v>2</v>
      </c>
      <c r="F90" s="2">
        <v>11</v>
      </c>
      <c r="G90" s="4" t="b">
        <v>0</v>
      </c>
      <c r="H90" s="2">
        <v>2</v>
      </c>
      <c r="I90" s="2">
        <v>2</v>
      </c>
      <c r="J90" s="2">
        <v>0.18</v>
      </c>
      <c r="K90" s="2">
        <v>0.2424</v>
      </c>
      <c r="L90" s="2">
        <v>0.86</v>
      </c>
      <c r="M90" s="43">
        <v>0.1794158974358977</v>
      </c>
      <c r="N90" s="2">
        <v>2</v>
      </c>
      <c r="O90" s="2">
        <v>49</v>
      </c>
      <c r="P90" s="2">
        <v>51</v>
      </c>
      <c r="Q90" s="1"/>
      <c r="R90" s="1"/>
      <c r="S90" s="1"/>
      <c r="T90" s="1"/>
      <c r="U90" s="1"/>
      <c r="V90" s="1"/>
      <c r="W90" s="1"/>
      <c r="X90" s="1"/>
      <c r="Y90" s="1"/>
    </row>
    <row r="91" spans="1:25" ht="15" thickBot="1" x14ac:dyDescent="0.35">
      <c r="A91" s="2">
        <v>700</v>
      </c>
      <c r="B91" s="3">
        <v>40545</v>
      </c>
      <c r="C91" s="2">
        <v>1</v>
      </c>
      <c r="D91" s="2">
        <v>0</v>
      </c>
      <c r="E91" s="2">
        <v>2</v>
      </c>
      <c r="F91" s="2">
        <v>12</v>
      </c>
      <c r="G91" s="4" t="b">
        <v>0</v>
      </c>
      <c r="H91" s="2">
        <v>2</v>
      </c>
      <c r="I91" s="2">
        <v>2</v>
      </c>
      <c r="J91" s="2">
        <v>0.2</v>
      </c>
      <c r="K91" s="2">
        <v>0.2576</v>
      </c>
      <c r="L91" s="2">
        <v>0.86</v>
      </c>
      <c r="M91" s="43">
        <v>0.1794158974358977</v>
      </c>
      <c r="N91" s="2">
        <v>2</v>
      </c>
      <c r="O91" s="2">
        <v>53</v>
      </c>
      <c r="P91" s="2">
        <v>55</v>
      </c>
      <c r="Q91" s="1"/>
      <c r="R91" s="1"/>
      <c r="S91" s="1"/>
      <c r="T91" s="1"/>
      <c r="U91" s="1"/>
      <c r="V91" s="1"/>
      <c r="W91" s="1"/>
      <c r="X91" s="1"/>
      <c r="Y91" s="1"/>
    </row>
    <row r="92" spans="1:25" ht="15" thickBot="1" x14ac:dyDescent="0.35">
      <c r="A92" s="2">
        <v>701</v>
      </c>
      <c r="B92" s="3">
        <v>40545</v>
      </c>
      <c r="C92" s="2">
        <v>1</v>
      </c>
      <c r="D92" s="2">
        <v>0</v>
      </c>
      <c r="E92" s="2">
        <v>2</v>
      </c>
      <c r="F92" s="2">
        <v>13</v>
      </c>
      <c r="G92" s="4" t="b">
        <v>0</v>
      </c>
      <c r="H92" s="2">
        <v>2</v>
      </c>
      <c r="I92" s="2">
        <v>2</v>
      </c>
      <c r="J92" s="2">
        <v>0.2</v>
      </c>
      <c r="K92" s="2">
        <v>0.2576</v>
      </c>
      <c r="L92" s="2">
        <v>0.86</v>
      </c>
      <c r="M92" s="43">
        <v>0.1794158974358977</v>
      </c>
      <c r="N92" s="2">
        <v>3</v>
      </c>
      <c r="O92" s="2">
        <v>49</v>
      </c>
      <c r="P92" s="2">
        <v>52</v>
      </c>
      <c r="Q92" s="1"/>
      <c r="R92" s="1"/>
      <c r="S92" s="1"/>
      <c r="T92" s="1"/>
      <c r="U92" s="1"/>
      <c r="V92" s="1"/>
      <c r="W92" s="1"/>
      <c r="X92" s="1"/>
      <c r="Y92" s="1"/>
    </row>
    <row r="93" spans="1:25" ht="15" thickBot="1" x14ac:dyDescent="0.35">
      <c r="A93" s="2">
        <v>702</v>
      </c>
      <c r="B93" s="3">
        <v>40545</v>
      </c>
      <c r="C93" s="2">
        <v>1</v>
      </c>
      <c r="D93" s="2">
        <v>0</v>
      </c>
      <c r="E93" s="2">
        <v>2</v>
      </c>
      <c r="F93" s="2">
        <v>14</v>
      </c>
      <c r="G93" s="4" t="b">
        <v>0</v>
      </c>
      <c r="H93" s="2">
        <v>2</v>
      </c>
      <c r="I93" s="2">
        <v>2</v>
      </c>
      <c r="J93" s="2">
        <v>0.22</v>
      </c>
      <c r="K93" s="2">
        <v>0.2576</v>
      </c>
      <c r="L93" s="2">
        <v>0.8</v>
      </c>
      <c r="M93" s="44">
        <v>8.9599999999999999E-2</v>
      </c>
      <c r="N93" s="2">
        <v>5</v>
      </c>
      <c r="O93" s="2">
        <v>49</v>
      </c>
      <c r="P93" s="2">
        <v>54</v>
      </c>
      <c r="Q93" s="1"/>
      <c r="R93" s="1"/>
      <c r="S93" s="1"/>
      <c r="T93" s="1"/>
      <c r="U93" s="1"/>
      <c r="V93" s="1"/>
      <c r="W93" s="1"/>
      <c r="X93" s="1"/>
      <c r="Y93" s="1"/>
    </row>
    <row r="94" spans="1:25" ht="15" thickBot="1" x14ac:dyDescent="0.35">
      <c r="A94" s="2">
        <v>703</v>
      </c>
      <c r="B94" s="3">
        <v>40545</v>
      </c>
      <c r="C94" s="2">
        <v>1</v>
      </c>
      <c r="D94" s="2">
        <v>0</v>
      </c>
      <c r="E94" s="2">
        <v>2</v>
      </c>
      <c r="F94" s="2">
        <v>15</v>
      </c>
      <c r="G94" s="4" t="b">
        <v>0</v>
      </c>
      <c r="H94" s="2">
        <v>2</v>
      </c>
      <c r="I94" s="2">
        <v>2</v>
      </c>
      <c r="J94" s="2">
        <v>0.24</v>
      </c>
      <c r="K94" s="2">
        <v>0.28789999999999999</v>
      </c>
      <c r="L94" s="2">
        <v>0.75</v>
      </c>
      <c r="M94" s="43">
        <v>0.1794158974358977</v>
      </c>
      <c r="N94" s="2">
        <v>7</v>
      </c>
      <c r="O94" s="2">
        <v>45</v>
      </c>
      <c r="P94" s="2">
        <v>52</v>
      </c>
      <c r="Q94" s="1"/>
      <c r="R94" s="1"/>
      <c r="S94" s="1"/>
      <c r="T94" s="1"/>
      <c r="U94" s="1"/>
      <c r="V94" s="1"/>
      <c r="W94" s="1"/>
      <c r="X94" s="1"/>
      <c r="Y94" s="1"/>
    </row>
    <row r="95" spans="1:25" ht="15" thickBot="1" x14ac:dyDescent="0.35">
      <c r="A95" s="2">
        <v>704</v>
      </c>
      <c r="B95" s="3">
        <v>40545</v>
      </c>
      <c r="C95" s="2">
        <v>1</v>
      </c>
      <c r="D95" s="2">
        <v>0</v>
      </c>
      <c r="E95" s="2">
        <v>2</v>
      </c>
      <c r="F95" s="2">
        <v>16</v>
      </c>
      <c r="G95" s="4" t="b">
        <v>0</v>
      </c>
      <c r="H95" s="2">
        <v>2</v>
      </c>
      <c r="I95" s="2">
        <v>2</v>
      </c>
      <c r="J95" s="2">
        <v>0.24</v>
      </c>
      <c r="K95" s="2">
        <v>0.2424</v>
      </c>
      <c r="L95" s="2">
        <v>0.75</v>
      </c>
      <c r="M95" s="44">
        <v>0.1343</v>
      </c>
      <c r="N95" s="2">
        <v>3</v>
      </c>
      <c r="O95" s="2">
        <v>61</v>
      </c>
      <c r="P95" s="2">
        <v>64</v>
      </c>
      <c r="Q95" s="1"/>
      <c r="R95" s="1"/>
      <c r="S95" s="1"/>
      <c r="T95" s="1"/>
      <c r="U95" s="1"/>
      <c r="V95" s="1"/>
      <c r="W95" s="1"/>
      <c r="X95" s="1"/>
      <c r="Y95" s="1"/>
    </row>
    <row r="96" spans="1:25" ht="15" thickBot="1" x14ac:dyDescent="0.35">
      <c r="A96" s="2">
        <v>705</v>
      </c>
      <c r="B96" s="3">
        <v>40545</v>
      </c>
      <c r="C96" s="2">
        <v>1</v>
      </c>
      <c r="D96" s="2">
        <v>0</v>
      </c>
      <c r="E96" s="2">
        <v>2</v>
      </c>
      <c r="F96" s="2">
        <v>17</v>
      </c>
      <c r="G96" s="4" t="b">
        <v>0</v>
      </c>
      <c r="H96" s="2">
        <v>2</v>
      </c>
      <c r="I96" s="2">
        <v>2</v>
      </c>
      <c r="J96" s="2">
        <v>0.24</v>
      </c>
      <c r="K96" s="2">
        <v>0.28789999999999999</v>
      </c>
      <c r="L96" s="2">
        <v>0.75</v>
      </c>
      <c r="M96" s="43">
        <v>0.1794158974358977</v>
      </c>
      <c r="N96" s="2">
        <v>4</v>
      </c>
      <c r="O96" s="2">
        <v>172</v>
      </c>
      <c r="P96" s="2">
        <v>176</v>
      </c>
      <c r="Q96" s="1"/>
      <c r="R96" s="1"/>
      <c r="S96" s="1"/>
      <c r="T96" s="1"/>
      <c r="U96" s="1"/>
      <c r="V96" s="1"/>
      <c r="W96" s="1"/>
      <c r="X96" s="1"/>
      <c r="Y96" s="1"/>
    </row>
    <row r="97" spans="1:25" ht="15" thickBot="1" x14ac:dyDescent="0.35">
      <c r="A97" s="2">
        <v>706</v>
      </c>
      <c r="B97" s="3">
        <v>40545</v>
      </c>
      <c r="C97" s="2">
        <v>1</v>
      </c>
      <c r="D97" s="2">
        <v>0</v>
      </c>
      <c r="E97" s="2">
        <v>2</v>
      </c>
      <c r="F97" s="2">
        <v>18</v>
      </c>
      <c r="G97" s="4" t="b">
        <v>0</v>
      </c>
      <c r="H97" s="2">
        <v>2</v>
      </c>
      <c r="I97" s="2">
        <v>2</v>
      </c>
      <c r="J97" s="2">
        <v>0.24</v>
      </c>
      <c r="K97" s="2">
        <v>0.2576</v>
      </c>
      <c r="L97" s="2">
        <v>0.81</v>
      </c>
      <c r="M97" s="44">
        <v>0.1045</v>
      </c>
      <c r="N97" s="2">
        <v>3</v>
      </c>
      <c r="O97" s="2">
        <v>165</v>
      </c>
      <c r="P97" s="2">
        <v>168</v>
      </c>
      <c r="Q97" s="1"/>
      <c r="R97" s="1"/>
      <c r="S97" s="1"/>
      <c r="T97" s="1"/>
      <c r="U97" s="1"/>
      <c r="V97" s="1"/>
      <c r="W97" s="1"/>
      <c r="X97" s="1"/>
      <c r="Y97" s="1"/>
    </row>
    <row r="98" spans="1:25" ht="15" thickBot="1" x14ac:dyDescent="0.35">
      <c r="A98" s="2">
        <v>707</v>
      </c>
      <c r="B98" s="3">
        <v>40545</v>
      </c>
      <c r="C98" s="2">
        <v>1</v>
      </c>
      <c r="D98" s="2">
        <v>0</v>
      </c>
      <c r="E98" s="2">
        <v>2</v>
      </c>
      <c r="F98" s="2">
        <v>19</v>
      </c>
      <c r="G98" s="4" t="b">
        <v>0</v>
      </c>
      <c r="H98" s="2">
        <v>2</v>
      </c>
      <c r="I98" s="2">
        <v>2</v>
      </c>
      <c r="J98" s="2">
        <v>0.24</v>
      </c>
      <c r="K98" s="2">
        <v>0.2424</v>
      </c>
      <c r="L98" s="2">
        <v>0.81</v>
      </c>
      <c r="M98" s="44">
        <v>0.1343</v>
      </c>
      <c r="N98" s="2">
        <v>3</v>
      </c>
      <c r="O98" s="2">
        <v>105</v>
      </c>
      <c r="P98" s="2">
        <v>108</v>
      </c>
      <c r="Q98" s="1"/>
      <c r="R98" s="1"/>
      <c r="S98" s="1"/>
      <c r="T98" s="1"/>
      <c r="U98" s="1"/>
      <c r="V98" s="1"/>
      <c r="W98" s="1"/>
      <c r="X98" s="1"/>
      <c r="Y98" s="1"/>
    </row>
    <row r="99" spans="1:25" ht="15" thickBot="1" x14ac:dyDescent="0.35">
      <c r="A99" s="2">
        <v>708</v>
      </c>
      <c r="B99" s="3">
        <v>40545</v>
      </c>
      <c r="C99" s="2">
        <v>1</v>
      </c>
      <c r="D99" s="2">
        <v>0</v>
      </c>
      <c r="E99" s="2">
        <v>2</v>
      </c>
      <c r="F99" s="2">
        <v>20</v>
      </c>
      <c r="G99" s="4" t="b">
        <v>0</v>
      </c>
      <c r="H99" s="2">
        <v>2</v>
      </c>
      <c r="I99" s="2">
        <v>2</v>
      </c>
      <c r="J99" s="2">
        <v>0.22</v>
      </c>
      <c r="K99" s="2">
        <v>0.2273</v>
      </c>
      <c r="L99" s="2">
        <v>0.87</v>
      </c>
      <c r="M99" s="44">
        <v>0.1343</v>
      </c>
      <c r="N99" s="2">
        <v>5</v>
      </c>
      <c r="O99" s="2">
        <v>69</v>
      </c>
      <c r="P99" s="2">
        <v>74</v>
      </c>
      <c r="Q99" s="1"/>
      <c r="R99" s="1"/>
      <c r="S99" s="1"/>
      <c r="T99" s="1"/>
      <c r="U99" s="1"/>
      <c r="V99" s="1"/>
      <c r="W99" s="1"/>
      <c r="X99" s="1"/>
      <c r="Y99" s="1"/>
    </row>
    <row r="100" spans="1:25" ht="15" thickBot="1" x14ac:dyDescent="0.35">
      <c r="A100" s="2">
        <v>709</v>
      </c>
      <c r="B100" s="3">
        <v>40545</v>
      </c>
      <c r="C100" s="2">
        <v>1</v>
      </c>
      <c r="D100" s="2">
        <v>0</v>
      </c>
      <c r="E100" s="2">
        <v>2</v>
      </c>
      <c r="F100" s="2">
        <v>21</v>
      </c>
      <c r="G100" s="4" t="b">
        <v>0</v>
      </c>
      <c r="H100" s="2">
        <v>2</v>
      </c>
      <c r="I100" s="2">
        <v>2</v>
      </c>
      <c r="J100" s="2">
        <v>0.22</v>
      </c>
      <c r="K100" s="2">
        <v>0.2273</v>
      </c>
      <c r="L100" s="2">
        <v>0.87</v>
      </c>
      <c r="M100" s="44">
        <v>0.1343</v>
      </c>
      <c r="N100" s="2">
        <v>0</v>
      </c>
      <c r="O100" s="2">
        <v>64</v>
      </c>
      <c r="P100" s="2">
        <v>64</v>
      </c>
      <c r="Q100" s="1"/>
      <c r="R100" s="1"/>
      <c r="S100" s="1"/>
      <c r="T100" s="1"/>
      <c r="U100" s="1"/>
      <c r="V100" s="1"/>
      <c r="W100" s="1"/>
      <c r="X100" s="1"/>
      <c r="Y100" s="1"/>
    </row>
    <row r="101" spans="1:25" ht="15" thickBot="1" x14ac:dyDescent="0.35">
      <c r="A101" s="2">
        <v>710</v>
      </c>
      <c r="B101" s="3">
        <v>40545</v>
      </c>
      <c r="C101" s="2">
        <v>1</v>
      </c>
      <c r="D101" s="2">
        <v>0</v>
      </c>
      <c r="E101" s="2">
        <v>2</v>
      </c>
      <c r="F101" s="2">
        <v>22</v>
      </c>
      <c r="G101" s="4" t="b">
        <v>0</v>
      </c>
      <c r="H101" s="2">
        <v>2</v>
      </c>
      <c r="I101" s="2">
        <v>2</v>
      </c>
      <c r="J101" s="2">
        <v>0.22</v>
      </c>
      <c r="K101" s="2">
        <v>0.2576</v>
      </c>
      <c r="L101" s="2">
        <v>0.87</v>
      </c>
      <c r="M101" s="44">
        <v>8.9599999999999999E-2</v>
      </c>
      <c r="N101" s="2">
        <v>2</v>
      </c>
      <c r="O101" s="2">
        <v>34</v>
      </c>
      <c r="P101" s="2">
        <v>36</v>
      </c>
      <c r="Q101" s="1"/>
      <c r="R101" s="1"/>
      <c r="S101" s="1"/>
      <c r="T101" s="1"/>
      <c r="U101" s="1"/>
      <c r="V101" s="1"/>
      <c r="W101" s="1"/>
      <c r="X101" s="1"/>
      <c r="Y101" s="1"/>
    </row>
    <row r="102" spans="1:25" ht="15" thickBot="1" x14ac:dyDescent="0.35">
      <c r="A102" s="2">
        <v>711</v>
      </c>
      <c r="B102" s="3">
        <v>40545</v>
      </c>
      <c r="C102" s="2">
        <v>1</v>
      </c>
      <c r="D102" s="2">
        <v>0</v>
      </c>
      <c r="E102" s="2">
        <v>2</v>
      </c>
      <c r="F102" s="2">
        <v>23</v>
      </c>
      <c r="G102" s="4" t="b">
        <v>0</v>
      </c>
      <c r="H102" s="2">
        <v>2</v>
      </c>
      <c r="I102" s="2">
        <v>3</v>
      </c>
      <c r="J102" s="2">
        <v>0.2</v>
      </c>
      <c r="K102" s="2">
        <v>0.19700000000000001</v>
      </c>
      <c r="L102" s="2">
        <v>0.93</v>
      </c>
      <c r="M102" s="44">
        <v>0.19400000000000001</v>
      </c>
      <c r="N102" s="2">
        <v>1</v>
      </c>
      <c r="O102" s="2">
        <v>15</v>
      </c>
      <c r="P102" s="2">
        <v>16</v>
      </c>
      <c r="Q102" s="1"/>
      <c r="R102" s="1"/>
      <c r="S102" s="1"/>
      <c r="T102" s="1"/>
      <c r="U102" s="1"/>
      <c r="V102" s="1"/>
      <c r="W102" s="1"/>
      <c r="X102" s="1"/>
      <c r="Y102" s="1"/>
    </row>
    <row r="103" spans="1:25" ht="15" thickBot="1" x14ac:dyDescent="0.35">
      <c r="A103" s="2">
        <v>712</v>
      </c>
      <c r="B103" s="3">
        <v>40576</v>
      </c>
      <c r="C103" s="2">
        <v>1</v>
      </c>
      <c r="D103" s="2">
        <v>0</v>
      </c>
      <c r="E103" s="2">
        <v>2</v>
      </c>
      <c r="F103" s="2">
        <v>0</v>
      </c>
      <c r="G103" s="4" t="b">
        <v>0</v>
      </c>
      <c r="H103" s="2">
        <v>3</v>
      </c>
      <c r="I103" s="2">
        <v>3</v>
      </c>
      <c r="J103" s="2">
        <v>0.22</v>
      </c>
      <c r="K103" s="2">
        <v>0.2424</v>
      </c>
      <c r="L103" s="2">
        <v>0.93</v>
      </c>
      <c r="M103" s="44">
        <v>0.1045</v>
      </c>
      <c r="N103" s="2">
        <v>0</v>
      </c>
      <c r="O103" s="2">
        <v>2</v>
      </c>
      <c r="P103" s="2">
        <v>2</v>
      </c>
      <c r="Q103" s="1"/>
      <c r="R103" s="1"/>
      <c r="S103" s="1"/>
      <c r="T103" s="1"/>
      <c r="U103" s="1"/>
      <c r="V103" s="1"/>
      <c r="W103" s="1"/>
      <c r="X103" s="1"/>
      <c r="Y103" s="1"/>
    </row>
    <row r="104" spans="1:25" ht="15" thickBot="1" x14ac:dyDescent="0.35">
      <c r="A104" s="2">
        <v>713</v>
      </c>
      <c r="B104" s="3">
        <v>40576</v>
      </c>
      <c r="C104" s="2">
        <v>1</v>
      </c>
      <c r="D104" s="2">
        <v>0</v>
      </c>
      <c r="E104" s="2">
        <v>2</v>
      </c>
      <c r="F104" s="2">
        <v>1</v>
      </c>
      <c r="G104" s="4" t="b">
        <v>0</v>
      </c>
      <c r="H104" s="2">
        <v>3</v>
      </c>
      <c r="I104" s="2">
        <v>3</v>
      </c>
      <c r="J104" s="2">
        <v>0.22</v>
      </c>
      <c r="K104" s="2">
        <v>0.2273</v>
      </c>
      <c r="L104" s="2">
        <v>0.93</v>
      </c>
      <c r="M104" s="44">
        <v>0.19400000000000001</v>
      </c>
      <c r="N104" s="2">
        <v>0</v>
      </c>
      <c r="O104" s="2">
        <v>3</v>
      </c>
      <c r="P104" s="2">
        <v>3</v>
      </c>
      <c r="Q104" s="1"/>
      <c r="R104" s="1"/>
      <c r="S104" s="1"/>
      <c r="T104" s="1"/>
      <c r="U104" s="1"/>
      <c r="V104" s="1"/>
      <c r="W104" s="1"/>
      <c r="X104" s="1"/>
      <c r="Y104" s="1"/>
    </row>
    <row r="105" spans="1:25" ht="15" thickBot="1" x14ac:dyDescent="0.35">
      <c r="A105" s="2">
        <v>714</v>
      </c>
      <c r="B105" s="3">
        <v>40576</v>
      </c>
      <c r="C105" s="2">
        <v>1</v>
      </c>
      <c r="D105" s="2">
        <v>0</v>
      </c>
      <c r="E105" s="2">
        <v>2</v>
      </c>
      <c r="F105" s="2">
        <v>2</v>
      </c>
      <c r="G105" s="4" t="b">
        <v>0</v>
      </c>
      <c r="H105" s="2">
        <v>3</v>
      </c>
      <c r="I105" s="2">
        <v>3</v>
      </c>
      <c r="J105" s="2">
        <v>0.22</v>
      </c>
      <c r="K105" s="2">
        <v>0.2273</v>
      </c>
      <c r="L105" s="2">
        <v>0.93</v>
      </c>
      <c r="M105" s="44">
        <v>0.1343</v>
      </c>
      <c r="N105" s="2">
        <v>4</v>
      </c>
      <c r="O105" s="2">
        <v>0</v>
      </c>
      <c r="P105" s="2">
        <v>4</v>
      </c>
      <c r="Q105" s="1"/>
      <c r="R105" s="1"/>
      <c r="S105" s="1"/>
      <c r="T105" s="1"/>
      <c r="U105" s="1"/>
      <c r="V105" s="1"/>
      <c r="W105" s="1"/>
      <c r="X105" s="1"/>
      <c r="Y105" s="1"/>
    </row>
    <row r="106" spans="1:25" ht="15" thickBot="1" x14ac:dyDescent="0.35">
      <c r="A106" s="2">
        <v>715</v>
      </c>
      <c r="B106" s="3">
        <v>40576</v>
      </c>
      <c r="C106" s="2">
        <v>1</v>
      </c>
      <c r="D106" s="2">
        <v>0</v>
      </c>
      <c r="E106" s="2">
        <v>2</v>
      </c>
      <c r="F106" s="2">
        <v>3</v>
      </c>
      <c r="G106" s="4" t="b">
        <v>0</v>
      </c>
      <c r="H106" s="2">
        <v>3</v>
      </c>
      <c r="I106" s="2">
        <v>3</v>
      </c>
      <c r="J106" s="2">
        <v>0.22</v>
      </c>
      <c r="K106" s="2">
        <v>0.2273</v>
      </c>
      <c r="L106" s="2">
        <v>0.93</v>
      </c>
      <c r="M106" s="44">
        <v>0.1343</v>
      </c>
      <c r="N106" s="2">
        <v>0</v>
      </c>
      <c r="O106" s="2">
        <v>1</v>
      </c>
      <c r="P106" s="2">
        <v>1</v>
      </c>
      <c r="Q106" s="1"/>
      <c r="R106" s="1"/>
      <c r="S106" s="1"/>
      <c r="T106" s="1"/>
      <c r="U106" s="1"/>
      <c r="V106" s="1"/>
      <c r="W106" s="1"/>
      <c r="X106" s="1"/>
      <c r="Y106" s="1"/>
    </row>
    <row r="107" spans="1:25" ht="15" thickBot="1" x14ac:dyDescent="0.35">
      <c r="A107" s="2">
        <v>716</v>
      </c>
      <c r="B107" s="3">
        <v>40576</v>
      </c>
      <c r="C107" s="2">
        <v>1</v>
      </c>
      <c r="D107" s="2">
        <v>0</v>
      </c>
      <c r="E107" s="2">
        <v>2</v>
      </c>
      <c r="F107" s="2">
        <v>4</v>
      </c>
      <c r="G107" s="4" t="b">
        <v>0</v>
      </c>
      <c r="H107" s="2">
        <v>3</v>
      </c>
      <c r="I107" s="2">
        <v>3</v>
      </c>
      <c r="J107" s="2">
        <v>0.22</v>
      </c>
      <c r="K107" s="2">
        <v>0.21210000000000001</v>
      </c>
      <c r="L107" s="2">
        <v>0.93</v>
      </c>
      <c r="M107" s="44">
        <v>0.28360000000000002</v>
      </c>
      <c r="N107" s="2">
        <v>0</v>
      </c>
      <c r="O107" s="2">
        <v>1</v>
      </c>
      <c r="P107" s="2">
        <v>1</v>
      </c>
      <c r="Q107" s="1"/>
      <c r="R107" s="1"/>
      <c r="S107" s="1"/>
      <c r="T107" s="1"/>
      <c r="U107" s="1"/>
      <c r="V107" s="1"/>
      <c r="W107" s="1"/>
      <c r="X107" s="1"/>
      <c r="Y107" s="1"/>
    </row>
    <row r="108" spans="1:25" ht="15" thickBot="1" x14ac:dyDescent="0.35">
      <c r="A108" s="2">
        <v>717</v>
      </c>
      <c r="B108" s="3">
        <v>40576</v>
      </c>
      <c r="C108" s="2">
        <v>1</v>
      </c>
      <c r="D108" s="2">
        <v>0</v>
      </c>
      <c r="E108" s="2">
        <v>2</v>
      </c>
      <c r="F108" s="2">
        <v>5</v>
      </c>
      <c r="G108" s="4" t="b">
        <v>0</v>
      </c>
      <c r="H108" s="2">
        <v>3</v>
      </c>
      <c r="I108" s="2">
        <v>3</v>
      </c>
      <c r="J108" s="2">
        <v>0.22</v>
      </c>
      <c r="K108" s="2">
        <v>0.2424</v>
      </c>
      <c r="L108" s="2">
        <v>0.93</v>
      </c>
      <c r="M108" s="44">
        <v>0.1045</v>
      </c>
      <c r="N108" s="2">
        <v>0</v>
      </c>
      <c r="O108" s="2">
        <v>3</v>
      </c>
      <c r="P108" s="2">
        <v>3</v>
      </c>
      <c r="Q108" s="1"/>
      <c r="R108" s="1"/>
      <c r="S108" s="1"/>
      <c r="T108" s="1"/>
      <c r="U108" s="1"/>
      <c r="V108" s="1"/>
      <c r="W108" s="1"/>
      <c r="X108" s="1"/>
      <c r="Y108" s="1"/>
    </row>
    <row r="109" spans="1:25" ht="15" thickBot="1" x14ac:dyDescent="0.35">
      <c r="A109" s="2">
        <v>718</v>
      </c>
      <c r="B109" s="3">
        <v>40576</v>
      </c>
      <c r="C109" s="2">
        <v>1</v>
      </c>
      <c r="D109" s="2">
        <v>0</v>
      </c>
      <c r="E109" s="2">
        <v>2</v>
      </c>
      <c r="F109" s="2">
        <v>6</v>
      </c>
      <c r="G109" s="4" t="b">
        <v>0</v>
      </c>
      <c r="H109" s="2">
        <v>3</v>
      </c>
      <c r="I109" s="2">
        <v>3</v>
      </c>
      <c r="J109" s="2">
        <v>0.22</v>
      </c>
      <c r="K109" s="2">
        <v>0.2424</v>
      </c>
      <c r="L109" s="2">
        <v>0.93</v>
      </c>
      <c r="M109" s="44">
        <v>0.1045</v>
      </c>
      <c r="N109" s="2">
        <v>1</v>
      </c>
      <c r="O109" s="2">
        <v>17</v>
      </c>
      <c r="P109" s="2">
        <v>18</v>
      </c>
      <c r="Q109" s="1"/>
      <c r="R109" s="1"/>
      <c r="S109" s="1"/>
      <c r="T109" s="1"/>
      <c r="U109" s="1"/>
      <c r="V109" s="1"/>
      <c r="W109" s="1"/>
      <c r="X109" s="1"/>
      <c r="Y109" s="1"/>
    </row>
    <row r="110" spans="1:25" ht="15" thickBot="1" x14ac:dyDescent="0.35">
      <c r="A110" s="2">
        <v>719</v>
      </c>
      <c r="B110" s="3">
        <v>40576</v>
      </c>
      <c r="C110" s="2">
        <v>1</v>
      </c>
      <c r="D110" s="2">
        <v>0</v>
      </c>
      <c r="E110" s="2">
        <v>2</v>
      </c>
      <c r="F110" s="2">
        <v>7</v>
      </c>
      <c r="G110" s="4" t="b">
        <v>0</v>
      </c>
      <c r="H110" s="2">
        <v>3</v>
      </c>
      <c r="I110" s="2">
        <v>3</v>
      </c>
      <c r="J110" s="2">
        <v>0.22</v>
      </c>
      <c r="K110" s="2">
        <v>0.21210000000000001</v>
      </c>
      <c r="L110" s="2">
        <v>0.93</v>
      </c>
      <c r="M110" s="44">
        <v>0.22389999999999999</v>
      </c>
      <c r="N110" s="2">
        <v>1</v>
      </c>
      <c r="O110" s="2">
        <v>48</v>
      </c>
      <c r="P110" s="2">
        <v>49</v>
      </c>
      <c r="Q110" s="1"/>
      <c r="R110" s="1"/>
      <c r="S110" s="1"/>
      <c r="T110" s="1"/>
      <c r="U110" s="1"/>
      <c r="V110" s="1"/>
      <c r="W110" s="1"/>
      <c r="X110" s="1"/>
      <c r="Y110" s="1"/>
    </row>
    <row r="111" spans="1:25" ht="15" thickBot="1" x14ac:dyDescent="0.35">
      <c r="A111" s="2">
        <v>720</v>
      </c>
      <c r="B111" s="3">
        <v>40576</v>
      </c>
      <c r="C111" s="2">
        <v>1</v>
      </c>
      <c r="D111" s="2">
        <v>0</v>
      </c>
      <c r="E111" s="2">
        <v>2</v>
      </c>
      <c r="F111" s="2">
        <v>8</v>
      </c>
      <c r="G111" s="4" t="b">
        <v>0</v>
      </c>
      <c r="H111" s="2">
        <v>3</v>
      </c>
      <c r="I111" s="2">
        <v>3</v>
      </c>
      <c r="J111" s="2">
        <v>0.22</v>
      </c>
      <c r="K111" s="2">
        <v>0.21210000000000001</v>
      </c>
      <c r="L111" s="2">
        <v>0.93</v>
      </c>
      <c r="M111" s="44">
        <v>0.22389999999999999</v>
      </c>
      <c r="N111" s="2">
        <v>1</v>
      </c>
      <c r="O111" s="2">
        <v>154</v>
      </c>
      <c r="P111" s="2">
        <v>155</v>
      </c>
      <c r="Q111" s="1"/>
      <c r="R111" s="1"/>
      <c r="S111" s="1"/>
      <c r="T111" s="1"/>
      <c r="U111" s="1"/>
      <c r="V111" s="1"/>
      <c r="W111" s="1"/>
      <c r="X111" s="1"/>
      <c r="Y111" s="1"/>
    </row>
    <row r="112" spans="1:25" ht="15" thickBot="1" x14ac:dyDescent="0.35">
      <c r="A112" s="2">
        <v>721</v>
      </c>
      <c r="B112" s="3">
        <v>40576</v>
      </c>
      <c r="C112" s="2">
        <v>1</v>
      </c>
      <c r="D112" s="2">
        <v>0</v>
      </c>
      <c r="E112" s="2">
        <v>2</v>
      </c>
      <c r="F112" s="2">
        <v>9</v>
      </c>
      <c r="G112" s="4" t="b">
        <v>0</v>
      </c>
      <c r="H112" s="2">
        <v>3</v>
      </c>
      <c r="I112" s="2">
        <v>2</v>
      </c>
      <c r="J112" s="2">
        <v>0.24</v>
      </c>
      <c r="K112" s="2">
        <v>0.2576</v>
      </c>
      <c r="L112" s="2">
        <v>0.93</v>
      </c>
      <c r="M112" s="44">
        <v>8.9599999999999999E-2</v>
      </c>
      <c r="N112" s="2">
        <v>4</v>
      </c>
      <c r="O112" s="2">
        <v>119</v>
      </c>
      <c r="P112" s="2">
        <v>123</v>
      </c>
      <c r="Q112" s="1"/>
      <c r="R112" s="1"/>
      <c r="S112" s="1"/>
      <c r="T112" s="1"/>
      <c r="U112" s="1"/>
      <c r="V112" s="1"/>
      <c r="W112" s="1"/>
      <c r="X112" s="1"/>
      <c r="Y112" s="1"/>
    </row>
    <row r="113" spans="1:25" ht="15" thickBot="1" x14ac:dyDescent="0.35">
      <c r="A113" s="2">
        <v>722</v>
      </c>
      <c r="B113" s="3">
        <v>40576</v>
      </c>
      <c r="C113" s="2">
        <v>1</v>
      </c>
      <c r="D113" s="2">
        <v>0</v>
      </c>
      <c r="E113" s="2">
        <v>2</v>
      </c>
      <c r="F113" s="2">
        <v>10</v>
      </c>
      <c r="G113" s="4" t="b">
        <v>0</v>
      </c>
      <c r="H113" s="2">
        <v>3</v>
      </c>
      <c r="I113" s="2">
        <v>2</v>
      </c>
      <c r="J113" s="2">
        <v>0.22</v>
      </c>
      <c r="K113" s="2">
        <v>0.2727</v>
      </c>
      <c r="L113" s="2">
        <v>1</v>
      </c>
      <c r="M113" s="43">
        <v>0.1794158974358977</v>
      </c>
      <c r="N113" s="2">
        <v>2</v>
      </c>
      <c r="O113" s="2">
        <v>59</v>
      </c>
      <c r="P113" s="2">
        <v>61</v>
      </c>
      <c r="Q113" s="1"/>
      <c r="R113" s="1"/>
      <c r="S113" s="1"/>
      <c r="T113" s="1"/>
      <c r="U113" s="1"/>
      <c r="V113" s="1"/>
      <c r="W113" s="1"/>
      <c r="X113" s="1"/>
      <c r="Y113" s="1"/>
    </row>
    <row r="114" spans="1:25" ht="15" thickBot="1" x14ac:dyDescent="0.35">
      <c r="A114" s="2">
        <v>723</v>
      </c>
      <c r="B114" s="3">
        <v>40576</v>
      </c>
      <c r="C114" s="2">
        <v>1</v>
      </c>
      <c r="D114" s="2">
        <v>0</v>
      </c>
      <c r="E114" s="2">
        <v>2</v>
      </c>
      <c r="F114" s="2">
        <v>11</v>
      </c>
      <c r="G114" s="4" t="b">
        <v>0</v>
      </c>
      <c r="H114" s="2">
        <v>3</v>
      </c>
      <c r="I114" s="2">
        <v>2</v>
      </c>
      <c r="J114" s="2">
        <v>0.24</v>
      </c>
      <c r="K114" s="2">
        <v>0.2273</v>
      </c>
      <c r="L114" s="2">
        <v>0.93</v>
      </c>
      <c r="M114" s="44">
        <v>0.19400000000000001</v>
      </c>
      <c r="N114" s="2">
        <v>5</v>
      </c>
      <c r="O114" s="2">
        <v>47</v>
      </c>
      <c r="P114" s="2">
        <v>52</v>
      </c>
      <c r="Q114" s="1"/>
      <c r="R114" s="1"/>
      <c r="S114" s="1"/>
      <c r="T114" s="1"/>
      <c r="U114" s="1"/>
      <c r="V114" s="1"/>
      <c r="W114" s="1"/>
      <c r="X114" s="1"/>
      <c r="Y114" s="1"/>
    </row>
    <row r="115" spans="1:25" ht="15" thickBot="1" x14ac:dyDescent="0.35">
      <c r="A115" s="2">
        <v>724</v>
      </c>
      <c r="B115" s="3">
        <v>40576</v>
      </c>
      <c r="C115" s="2">
        <v>1</v>
      </c>
      <c r="D115" s="2">
        <v>0</v>
      </c>
      <c r="E115" s="2">
        <v>2</v>
      </c>
      <c r="F115" s="2">
        <v>12</v>
      </c>
      <c r="G115" s="4" t="b">
        <v>0</v>
      </c>
      <c r="H115" s="2">
        <v>3</v>
      </c>
      <c r="I115" s="2">
        <v>2</v>
      </c>
      <c r="J115" s="2">
        <v>0.24</v>
      </c>
      <c r="K115" s="2">
        <v>0.2273</v>
      </c>
      <c r="L115" s="2">
        <v>0.93</v>
      </c>
      <c r="M115" s="44">
        <v>0.22389999999999999</v>
      </c>
      <c r="N115" s="2">
        <v>3</v>
      </c>
      <c r="O115" s="2">
        <v>61</v>
      </c>
      <c r="P115" s="2">
        <v>64</v>
      </c>
      <c r="Q115" s="1"/>
      <c r="R115" s="1"/>
      <c r="S115" s="1"/>
      <c r="T115" s="1"/>
      <c r="U115" s="1"/>
      <c r="V115" s="1"/>
      <c r="W115" s="1"/>
      <c r="X115" s="1"/>
      <c r="Y115" s="1"/>
    </row>
    <row r="116" spans="1:25" ht="15" thickBot="1" x14ac:dyDescent="0.35">
      <c r="A116" s="2">
        <v>725</v>
      </c>
      <c r="B116" s="3">
        <v>40576</v>
      </c>
      <c r="C116" s="2">
        <v>1</v>
      </c>
      <c r="D116" s="2">
        <v>0</v>
      </c>
      <c r="E116" s="2">
        <v>2</v>
      </c>
      <c r="F116" s="2">
        <v>13</v>
      </c>
      <c r="G116" s="4" t="b">
        <v>0</v>
      </c>
      <c r="H116" s="2">
        <v>3</v>
      </c>
      <c r="I116" s="2">
        <v>1</v>
      </c>
      <c r="J116" s="2">
        <v>0.34</v>
      </c>
      <c r="K116" s="2">
        <v>0.33329999999999999</v>
      </c>
      <c r="L116" s="2">
        <v>0.93</v>
      </c>
      <c r="M116" s="44">
        <v>0.16420000000000001</v>
      </c>
      <c r="N116" s="2">
        <v>1</v>
      </c>
      <c r="O116" s="2">
        <v>74</v>
      </c>
      <c r="P116" s="2">
        <v>75</v>
      </c>
      <c r="Q116" s="1"/>
      <c r="R116" s="1"/>
      <c r="S116" s="1"/>
      <c r="T116" s="1"/>
      <c r="U116" s="1"/>
      <c r="V116" s="1"/>
      <c r="W116" s="1"/>
      <c r="X116" s="1"/>
      <c r="Y116" s="1"/>
    </row>
    <row r="117" spans="1:25" ht="15" thickBot="1" x14ac:dyDescent="0.35">
      <c r="A117" s="2">
        <v>726</v>
      </c>
      <c r="B117" s="3">
        <v>40576</v>
      </c>
      <c r="C117" s="2">
        <v>1</v>
      </c>
      <c r="D117" s="2">
        <v>0</v>
      </c>
      <c r="E117" s="2">
        <v>2</v>
      </c>
      <c r="F117" s="2">
        <v>14</v>
      </c>
      <c r="G117" s="4" t="b">
        <v>0</v>
      </c>
      <c r="H117" s="2">
        <v>3</v>
      </c>
      <c r="I117" s="2">
        <v>1</v>
      </c>
      <c r="J117" s="2">
        <v>0.38</v>
      </c>
      <c r="K117" s="2">
        <v>0.39389999999999997</v>
      </c>
      <c r="L117" s="2">
        <v>0.82</v>
      </c>
      <c r="M117" s="44">
        <v>0.3881</v>
      </c>
      <c r="N117" s="2">
        <v>2</v>
      </c>
      <c r="O117" s="2">
        <v>61</v>
      </c>
      <c r="P117" s="2">
        <v>63</v>
      </c>
      <c r="Q117" s="1"/>
      <c r="R117" s="1"/>
      <c r="S117" s="1"/>
      <c r="T117" s="1"/>
      <c r="U117" s="1"/>
      <c r="V117" s="1"/>
      <c r="W117" s="1"/>
      <c r="X117" s="1"/>
      <c r="Y117" s="1"/>
    </row>
    <row r="118" spans="1:25" ht="15" thickBot="1" x14ac:dyDescent="0.35">
      <c r="A118" s="2">
        <v>727</v>
      </c>
      <c r="B118" s="3">
        <v>40576</v>
      </c>
      <c r="C118" s="2">
        <v>1</v>
      </c>
      <c r="D118" s="2">
        <v>0</v>
      </c>
      <c r="E118" s="2">
        <v>2</v>
      </c>
      <c r="F118" s="2">
        <v>15</v>
      </c>
      <c r="G118" s="4" t="b">
        <v>0</v>
      </c>
      <c r="H118" s="2">
        <v>3</v>
      </c>
      <c r="I118" s="2">
        <v>1</v>
      </c>
      <c r="J118" s="2">
        <v>0.38</v>
      </c>
      <c r="K118" s="2">
        <v>0.39389999999999997</v>
      </c>
      <c r="L118" s="2">
        <v>0.76</v>
      </c>
      <c r="M118" s="44">
        <v>0.32840000000000003</v>
      </c>
      <c r="N118" s="2">
        <v>10</v>
      </c>
      <c r="O118" s="2">
        <v>66</v>
      </c>
      <c r="P118" s="2">
        <v>76</v>
      </c>
      <c r="Q118" s="1"/>
      <c r="R118" s="1"/>
      <c r="S118" s="1"/>
      <c r="T118" s="1"/>
      <c r="U118" s="1"/>
      <c r="V118" s="1"/>
      <c r="W118" s="1"/>
      <c r="X118" s="1"/>
      <c r="Y118" s="1"/>
    </row>
    <row r="119" spans="1:25" ht="15" thickBot="1" x14ac:dyDescent="0.35">
      <c r="A119" s="2">
        <v>728</v>
      </c>
      <c r="B119" s="3">
        <v>40576</v>
      </c>
      <c r="C119" s="2">
        <v>1</v>
      </c>
      <c r="D119" s="2">
        <v>0</v>
      </c>
      <c r="E119" s="2">
        <v>2</v>
      </c>
      <c r="F119" s="2">
        <v>16</v>
      </c>
      <c r="G119" s="4" t="b">
        <v>0</v>
      </c>
      <c r="H119" s="2">
        <v>3</v>
      </c>
      <c r="I119" s="2">
        <v>1</v>
      </c>
      <c r="J119" s="2">
        <v>0.36</v>
      </c>
      <c r="K119" s="2">
        <v>0.33329999999999999</v>
      </c>
      <c r="L119" s="2">
        <v>0.71</v>
      </c>
      <c r="M119" s="44">
        <v>0.29849999999999999</v>
      </c>
      <c r="N119" s="2">
        <v>8</v>
      </c>
      <c r="O119" s="2">
        <v>95</v>
      </c>
      <c r="P119" s="2">
        <v>103</v>
      </c>
      <c r="Q119" s="1"/>
      <c r="R119" s="1"/>
      <c r="S119" s="1"/>
      <c r="T119" s="1"/>
      <c r="U119" s="1"/>
      <c r="V119" s="1"/>
      <c r="W119" s="1"/>
      <c r="X119" s="1"/>
      <c r="Y119" s="1"/>
    </row>
    <row r="120" spans="1:25" ht="15" thickBot="1" x14ac:dyDescent="0.35">
      <c r="A120" s="2">
        <v>729</v>
      </c>
      <c r="B120" s="3">
        <v>40576</v>
      </c>
      <c r="C120" s="2">
        <v>1</v>
      </c>
      <c r="D120" s="2">
        <v>0</v>
      </c>
      <c r="E120" s="2">
        <v>2</v>
      </c>
      <c r="F120" s="2">
        <v>17</v>
      </c>
      <c r="G120" s="4" t="b">
        <v>0</v>
      </c>
      <c r="H120" s="2">
        <v>3</v>
      </c>
      <c r="I120" s="2">
        <v>1</v>
      </c>
      <c r="J120" s="2">
        <v>0.36</v>
      </c>
      <c r="K120" s="2">
        <v>0.31819999999999998</v>
      </c>
      <c r="L120" s="2">
        <v>0.53</v>
      </c>
      <c r="M120" s="44">
        <v>0.52239999999999998</v>
      </c>
      <c r="N120" s="2">
        <v>7</v>
      </c>
      <c r="O120" s="2">
        <v>183</v>
      </c>
      <c r="P120" s="2">
        <v>190</v>
      </c>
      <c r="Q120" s="1"/>
      <c r="R120" s="1"/>
      <c r="S120" s="1"/>
      <c r="T120" s="1"/>
      <c r="U120" s="1"/>
      <c r="V120" s="1"/>
      <c r="W120" s="1"/>
      <c r="X120" s="1"/>
      <c r="Y120" s="1"/>
    </row>
    <row r="121" spans="1:25" ht="15" thickBot="1" x14ac:dyDescent="0.35">
      <c r="A121" s="2">
        <v>730</v>
      </c>
      <c r="B121" s="3">
        <v>40576</v>
      </c>
      <c r="C121" s="2">
        <v>1</v>
      </c>
      <c r="D121" s="2">
        <v>0</v>
      </c>
      <c r="E121" s="2">
        <v>2</v>
      </c>
      <c r="F121" s="2">
        <v>18</v>
      </c>
      <c r="G121" s="4" t="b">
        <v>0</v>
      </c>
      <c r="H121" s="2">
        <v>3</v>
      </c>
      <c r="I121" s="2">
        <v>1</v>
      </c>
      <c r="J121" s="2">
        <v>0.34</v>
      </c>
      <c r="K121" s="2">
        <v>0.28789999999999999</v>
      </c>
      <c r="L121" s="2">
        <v>0.42</v>
      </c>
      <c r="M121" s="44">
        <v>0.55220000000000002</v>
      </c>
      <c r="N121" s="2">
        <v>7</v>
      </c>
      <c r="O121" s="2">
        <v>175</v>
      </c>
      <c r="P121" s="2">
        <v>182</v>
      </c>
      <c r="Q121" s="1"/>
      <c r="R121" s="1"/>
      <c r="S121" s="1"/>
      <c r="T121" s="1"/>
      <c r="U121" s="1"/>
      <c r="V121" s="1"/>
      <c r="W121" s="1"/>
      <c r="X121" s="1"/>
      <c r="Y121" s="1"/>
    </row>
    <row r="122" spans="1:25" ht="15" thickBot="1" x14ac:dyDescent="0.35">
      <c r="A122" s="2">
        <v>731</v>
      </c>
      <c r="B122" s="3">
        <v>40576</v>
      </c>
      <c r="C122" s="2">
        <v>1</v>
      </c>
      <c r="D122" s="2">
        <v>0</v>
      </c>
      <c r="E122" s="2">
        <v>2</v>
      </c>
      <c r="F122" s="2">
        <v>19</v>
      </c>
      <c r="G122" s="4" t="b">
        <v>0</v>
      </c>
      <c r="H122" s="2">
        <v>3</v>
      </c>
      <c r="I122" s="2">
        <v>1</v>
      </c>
      <c r="J122" s="2">
        <v>0.28000000000000003</v>
      </c>
      <c r="K122" s="2">
        <v>0.2424</v>
      </c>
      <c r="L122" s="2">
        <v>0.45</v>
      </c>
      <c r="M122" s="44">
        <v>0.49249999999999999</v>
      </c>
      <c r="N122" s="2">
        <v>3</v>
      </c>
      <c r="O122" s="2">
        <v>88</v>
      </c>
      <c r="P122" s="2">
        <v>91</v>
      </c>
      <c r="Q122" s="1"/>
      <c r="R122" s="1"/>
      <c r="S122" s="1"/>
      <c r="T122" s="1"/>
      <c r="U122" s="1"/>
      <c r="V122" s="1"/>
      <c r="W122" s="1"/>
      <c r="X122" s="1"/>
      <c r="Y122" s="1"/>
    </row>
    <row r="123" spans="1:25" ht="15" thickBot="1" x14ac:dyDescent="0.35">
      <c r="A123" s="2">
        <v>732</v>
      </c>
      <c r="B123" s="3">
        <v>40576</v>
      </c>
      <c r="C123" s="2">
        <v>1</v>
      </c>
      <c r="D123" s="2">
        <v>0</v>
      </c>
      <c r="E123" s="2">
        <v>2</v>
      </c>
      <c r="F123" s="2">
        <v>20</v>
      </c>
      <c r="G123" s="4" t="b">
        <v>0</v>
      </c>
      <c r="H123" s="2">
        <v>3</v>
      </c>
      <c r="I123" s="2">
        <v>1</v>
      </c>
      <c r="J123" s="2">
        <v>0.24</v>
      </c>
      <c r="K123" s="2">
        <v>0.19700000000000001</v>
      </c>
      <c r="L123" s="2">
        <v>0.48</v>
      </c>
      <c r="M123" s="44">
        <v>0.55220000000000002</v>
      </c>
      <c r="N123" s="2">
        <v>4</v>
      </c>
      <c r="O123" s="2">
        <v>71</v>
      </c>
      <c r="P123" s="2">
        <v>75</v>
      </c>
      <c r="Q123" s="1"/>
      <c r="R123" s="1"/>
      <c r="S123" s="1"/>
      <c r="T123" s="1"/>
      <c r="U123" s="1"/>
      <c r="V123" s="1"/>
      <c r="W123" s="1"/>
      <c r="X123" s="1"/>
      <c r="Y123" s="1"/>
    </row>
    <row r="124" spans="1:25" ht="15" thickBot="1" x14ac:dyDescent="0.35">
      <c r="A124" s="2">
        <v>733</v>
      </c>
      <c r="B124" s="3">
        <v>40576</v>
      </c>
      <c r="C124" s="2">
        <v>1</v>
      </c>
      <c r="D124" s="2">
        <v>0</v>
      </c>
      <c r="E124" s="2">
        <v>2</v>
      </c>
      <c r="F124" s="2">
        <v>21</v>
      </c>
      <c r="G124" s="4" t="b">
        <v>0</v>
      </c>
      <c r="H124" s="2">
        <v>3</v>
      </c>
      <c r="I124" s="2">
        <v>1</v>
      </c>
      <c r="J124" s="2">
        <v>0.22</v>
      </c>
      <c r="K124" s="2">
        <v>0.19700000000000001</v>
      </c>
      <c r="L124" s="2">
        <v>0.47</v>
      </c>
      <c r="M124" s="44">
        <v>0.32840000000000003</v>
      </c>
      <c r="N124" s="2">
        <v>1</v>
      </c>
      <c r="O124" s="2">
        <v>62</v>
      </c>
      <c r="P124" s="2">
        <v>63</v>
      </c>
      <c r="Q124" s="1"/>
      <c r="R124" s="1"/>
      <c r="S124" s="1"/>
      <c r="T124" s="1"/>
      <c r="U124" s="1"/>
      <c r="V124" s="1"/>
      <c r="W124" s="1"/>
      <c r="X124" s="1"/>
      <c r="Y124" s="1"/>
    </row>
    <row r="125" spans="1:25" ht="15" thickBot="1" x14ac:dyDescent="0.35">
      <c r="A125" s="2">
        <v>734</v>
      </c>
      <c r="B125" s="3">
        <v>40576</v>
      </c>
      <c r="C125" s="2">
        <v>1</v>
      </c>
      <c r="D125" s="2">
        <v>0</v>
      </c>
      <c r="E125" s="2">
        <v>2</v>
      </c>
      <c r="F125" s="2">
        <v>22</v>
      </c>
      <c r="G125" s="4" t="b">
        <v>0</v>
      </c>
      <c r="H125" s="2">
        <v>3</v>
      </c>
      <c r="I125" s="2">
        <v>1</v>
      </c>
      <c r="J125" s="2">
        <v>0.22</v>
      </c>
      <c r="K125" s="2">
        <v>0.21210000000000001</v>
      </c>
      <c r="L125" s="2">
        <v>0.44</v>
      </c>
      <c r="M125" s="44">
        <v>0.25369999999999998</v>
      </c>
      <c r="N125" s="2">
        <v>5</v>
      </c>
      <c r="O125" s="2">
        <v>35</v>
      </c>
      <c r="P125" s="2">
        <v>40</v>
      </c>
      <c r="Q125" s="1"/>
      <c r="R125" s="1"/>
      <c r="S125" s="1"/>
      <c r="T125" s="1"/>
      <c r="U125" s="1"/>
      <c r="V125" s="1"/>
      <c r="W125" s="1"/>
      <c r="X125" s="1"/>
      <c r="Y125" s="1"/>
    </row>
    <row r="126" spans="1:25" ht="15" thickBot="1" x14ac:dyDescent="0.35">
      <c r="A126" s="2">
        <v>735</v>
      </c>
      <c r="B126" s="3">
        <v>40576</v>
      </c>
      <c r="C126" s="2">
        <v>1</v>
      </c>
      <c r="D126" s="2">
        <v>0</v>
      </c>
      <c r="E126" s="2">
        <v>2</v>
      </c>
      <c r="F126" s="2">
        <v>23</v>
      </c>
      <c r="G126" s="4" t="b">
        <v>0</v>
      </c>
      <c r="H126" s="2">
        <v>3</v>
      </c>
      <c r="I126" s="2">
        <v>1</v>
      </c>
      <c r="J126" s="2">
        <v>0.2</v>
      </c>
      <c r="K126" s="2">
        <v>0.16669999999999999</v>
      </c>
      <c r="L126" s="2">
        <v>0.44</v>
      </c>
      <c r="M126" s="44">
        <v>0.44779999999999998</v>
      </c>
      <c r="N126" s="2">
        <v>3</v>
      </c>
      <c r="O126" s="2">
        <v>29</v>
      </c>
      <c r="P126" s="2">
        <v>32</v>
      </c>
      <c r="Q126" s="1"/>
      <c r="R126" s="1"/>
      <c r="S126" s="1"/>
      <c r="T126" s="1"/>
      <c r="U126" s="1"/>
      <c r="V126" s="1"/>
      <c r="W126" s="1"/>
      <c r="X126" s="1"/>
      <c r="Y126" s="1"/>
    </row>
    <row r="127" spans="1:25" ht="15" thickBot="1" x14ac:dyDescent="0.35">
      <c r="A127" s="2">
        <v>736</v>
      </c>
      <c r="B127" s="3">
        <v>40604</v>
      </c>
      <c r="C127" s="2">
        <v>1</v>
      </c>
      <c r="D127" s="2">
        <v>0</v>
      </c>
      <c r="E127" s="2">
        <v>2</v>
      </c>
      <c r="F127" s="2">
        <v>0</v>
      </c>
      <c r="G127" s="4" t="b">
        <v>0</v>
      </c>
      <c r="H127" s="2">
        <v>4</v>
      </c>
      <c r="I127" s="2">
        <v>1</v>
      </c>
      <c r="J127" s="2">
        <v>0.2</v>
      </c>
      <c r="K127" s="2">
        <v>0.16669999999999999</v>
      </c>
      <c r="L127" s="2">
        <v>0.4</v>
      </c>
      <c r="M127" s="44">
        <v>0.44779999999999998</v>
      </c>
      <c r="N127" s="2">
        <v>1</v>
      </c>
      <c r="O127" s="2">
        <v>11</v>
      </c>
      <c r="P127" s="2">
        <v>12</v>
      </c>
      <c r="Q127" s="1"/>
      <c r="R127" s="1"/>
      <c r="S127" s="1"/>
      <c r="T127" s="1"/>
      <c r="U127" s="1"/>
      <c r="V127" s="1"/>
      <c r="W127" s="1"/>
      <c r="X127" s="1"/>
      <c r="Y127" s="1"/>
    </row>
    <row r="128" spans="1:25" ht="15" thickBot="1" x14ac:dyDescent="0.35">
      <c r="A128" s="2">
        <v>737</v>
      </c>
      <c r="B128" s="3">
        <v>40604</v>
      </c>
      <c r="C128" s="2">
        <v>1</v>
      </c>
      <c r="D128" s="2">
        <v>0</v>
      </c>
      <c r="E128" s="2">
        <v>2</v>
      </c>
      <c r="F128" s="2">
        <v>1</v>
      </c>
      <c r="G128" s="4" t="b">
        <v>0</v>
      </c>
      <c r="H128" s="2">
        <v>4</v>
      </c>
      <c r="I128" s="2">
        <v>1</v>
      </c>
      <c r="J128" s="2">
        <v>0.2</v>
      </c>
      <c r="K128" s="2">
        <v>0.1515</v>
      </c>
      <c r="L128" s="2">
        <v>0.44</v>
      </c>
      <c r="M128" s="44">
        <v>0.52239999999999998</v>
      </c>
      <c r="N128" s="2">
        <v>0</v>
      </c>
      <c r="O128" s="2">
        <v>5</v>
      </c>
      <c r="P128" s="2">
        <v>5</v>
      </c>
      <c r="Q128" s="1"/>
      <c r="R128" s="1"/>
      <c r="S128" s="1"/>
      <c r="T128" s="1"/>
      <c r="U128" s="1"/>
      <c r="V128" s="1"/>
      <c r="W128" s="1"/>
      <c r="X128" s="1"/>
      <c r="Y128" s="1"/>
    </row>
    <row r="129" spans="1:25" ht="15" thickBot="1" x14ac:dyDescent="0.35">
      <c r="A129" s="2">
        <v>738</v>
      </c>
      <c r="B129" s="3">
        <v>40604</v>
      </c>
      <c r="C129" s="2">
        <v>1</v>
      </c>
      <c r="D129" s="2">
        <v>0</v>
      </c>
      <c r="E129" s="2">
        <v>2</v>
      </c>
      <c r="F129" s="2">
        <v>2</v>
      </c>
      <c r="G129" s="4" t="b">
        <v>0</v>
      </c>
      <c r="H129" s="2">
        <v>4</v>
      </c>
      <c r="I129" s="2">
        <v>1</v>
      </c>
      <c r="J129" s="2">
        <v>0.18</v>
      </c>
      <c r="K129" s="2">
        <v>0.16669999999999999</v>
      </c>
      <c r="L129" s="2">
        <v>0.43</v>
      </c>
      <c r="M129" s="44">
        <v>0.25369999999999998</v>
      </c>
      <c r="N129" s="2">
        <v>0</v>
      </c>
      <c r="O129" s="2">
        <v>2</v>
      </c>
      <c r="P129" s="2">
        <v>2</v>
      </c>
      <c r="Q129" s="1"/>
      <c r="R129" s="1"/>
      <c r="S129" s="1"/>
      <c r="T129" s="1"/>
      <c r="U129" s="1"/>
      <c r="V129" s="1"/>
      <c r="W129" s="1"/>
      <c r="X129" s="1"/>
      <c r="Y129" s="1"/>
    </row>
    <row r="130" spans="1:25" ht="15" thickBot="1" x14ac:dyDescent="0.35">
      <c r="A130" s="2">
        <v>739</v>
      </c>
      <c r="B130" s="3">
        <v>40604</v>
      </c>
      <c r="C130" s="2">
        <v>1</v>
      </c>
      <c r="D130" s="2">
        <v>0</v>
      </c>
      <c r="E130" s="2">
        <v>2</v>
      </c>
      <c r="F130" s="2">
        <v>3</v>
      </c>
      <c r="G130" s="4" t="b">
        <v>0</v>
      </c>
      <c r="H130" s="2">
        <v>4</v>
      </c>
      <c r="I130" s="2">
        <v>1</v>
      </c>
      <c r="J130" s="2">
        <v>0.18</v>
      </c>
      <c r="K130" s="2">
        <v>0.16669999999999999</v>
      </c>
      <c r="L130" s="2">
        <v>0.43</v>
      </c>
      <c r="M130" s="44">
        <v>0.25369999999999998</v>
      </c>
      <c r="N130" s="2">
        <v>0</v>
      </c>
      <c r="O130" s="2">
        <v>1</v>
      </c>
      <c r="P130" s="2">
        <v>1</v>
      </c>
      <c r="Q130" s="1"/>
      <c r="R130" s="1"/>
      <c r="S130" s="1"/>
      <c r="T130" s="1"/>
      <c r="U130" s="1"/>
      <c r="V130" s="1"/>
      <c r="W130" s="1"/>
      <c r="X130" s="1"/>
      <c r="Y130" s="1"/>
    </row>
    <row r="131" spans="1:25" ht="15" thickBot="1" x14ac:dyDescent="0.35">
      <c r="A131" s="2">
        <v>740</v>
      </c>
      <c r="B131" s="3">
        <v>40604</v>
      </c>
      <c r="C131" s="2">
        <v>1</v>
      </c>
      <c r="D131" s="2">
        <v>0</v>
      </c>
      <c r="E131" s="2">
        <v>2</v>
      </c>
      <c r="F131" s="2">
        <v>5</v>
      </c>
      <c r="G131" s="4" t="b">
        <v>0</v>
      </c>
      <c r="H131" s="2">
        <v>4</v>
      </c>
      <c r="I131" s="2">
        <v>1</v>
      </c>
      <c r="J131" s="2">
        <v>0.16</v>
      </c>
      <c r="K131" s="2">
        <v>0.13639999999999999</v>
      </c>
      <c r="L131" s="2">
        <v>0.5</v>
      </c>
      <c r="M131" s="44">
        <v>0.29849999999999999</v>
      </c>
      <c r="N131" s="2">
        <v>0</v>
      </c>
      <c r="O131" s="2">
        <v>2</v>
      </c>
      <c r="P131" s="2">
        <v>2</v>
      </c>
      <c r="Q131" s="1"/>
      <c r="R131" s="1"/>
      <c r="S131" s="1"/>
      <c r="T131" s="1"/>
      <c r="U131" s="1"/>
      <c r="V131" s="1"/>
      <c r="W131" s="1"/>
      <c r="X131" s="1"/>
      <c r="Y131" s="1"/>
    </row>
    <row r="132" spans="1:25" ht="15" thickBot="1" x14ac:dyDescent="0.35">
      <c r="A132" s="2">
        <v>741</v>
      </c>
      <c r="B132" s="3">
        <v>40604</v>
      </c>
      <c r="C132" s="2">
        <v>1</v>
      </c>
      <c r="D132" s="2">
        <v>0</v>
      </c>
      <c r="E132" s="2">
        <v>2</v>
      </c>
      <c r="F132" s="2">
        <v>6</v>
      </c>
      <c r="G132" s="4" t="b">
        <v>0</v>
      </c>
      <c r="H132" s="2">
        <v>4</v>
      </c>
      <c r="I132" s="2">
        <v>1</v>
      </c>
      <c r="J132" s="2">
        <v>0.16</v>
      </c>
      <c r="K132" s="2">
        <v>0.13639999999999999</v>
      </c>
      <c r="L132" s="2">
        <v>0.43</v>
      </c>
      <c r="M132" s="44">
        <v>0.35820000000000002</v>
      </c>
      <c r="N132" s="2">
        <v>0</v>
      </c>
      <c r="O132" s="2">
        <v>39</v>
      </c>
      <c r="P132" s="2">
        <v>39</v>
      </c>
      <c r="Q132" s="1"/>
      <c r="R132" s="1"/>
      <c r="S132" s="1"/>
      <c r="T132" s="1"/>
      <c r="U132" s="1"/>
      <c r="V132" s="1"/>
      <c r="W132" s="1"/>
      <c r="X132" s="1"/>
      <c r="Y132" s="1"/>
    </row>
    <row r="133" spans="1:25" ht="15" thickBot="1" x14ac:dyDescent="0.35">
      <c r="A133" s="2">
        <v>742</v>
      </c>
      <c r="B133" s="3">
        <v>40604</v>
      </c>
      <c r="C133" s="2">
        <v>1</v>
      </c>
      <c r="D133" s="2">
        <v>0</v>
      </c>
      <c r="E133" s="2">
        <v>2</v>
      </c>
      <c r="F133" s="2">
        <v>7</v>
      </c>
      <c r="G133" s="4" t="b">
        <v>0</v>
      </c>
      <c r="H133" s="2">
        <v>4</v>
      </c>
      <c r="I133" s="2">
        <v>1</v>
      </c>
      <c r="J133" s="2">
        <v>0.14000000000000001</v>
      </c>
      <c r="K133" s="2">
        <v>0.1212</v>
      </c>
      <c r="L133" s="2">
        <v>0.5</v>
      </c>
      <c r="M133" s="44">
        <v>0.32840000000000003</v>
      </c>
      <c r="N133" s="2">
        <v>1</v>
      </c>
      <c r="O133" s="2">
        <v>86</v>
      </c>
      <c r="P133" s="2">
        <v>87</v>
      </c>
      <c r="Q133" s="1"/>
      <c r="R133" s="1"/>
      <c r="S133" s="1"/>
      <c r="T133" s="1"/>
      <c r="U133" s="1"/>
      <c r="V133" s="1"/>
      <c r="W133" s="1"/>
      <c r="X133" s="1"/>
      <c r="Y133" s="1"/>
    </row>
    <row r="134" spans="1:25" ht="15" thickBot="1" x14ac:dyDescent="0.35">
      <c r="A134" s="2">
        <v>743</v>
      </c>
      <c r="B134" s="3">
        <v>40604</v>
      </c>
      <c r="C134" s="2">
        <v>1</v>
      </c>
      <c r="D134" s="2">
        <v>0</v>
      </c>
      <c r="E134" s="2">
        <v>2</v>
      </c>
      <c r="F134" s="2">
        <v>8</v>
      </c>
      <c r="G134" s="4" t="b">
        <v>0</v>
      </c>
      <c r="H134" s="2">
        <v>4</v>
      </c>
      <c r="I134" s="2">
        <v>1</v>
      </c>
      <c r="J134" s="2">
        <v>0.14000000000000001</v>
      </c>
      <c r="K134" s="2">
        <v>0.1212</v>
      </c>
      <c r="L134" s="2">
        <v>0.5</v>
      </c>
      <c r="M134" s="44">
        <v>0.35820000000000002</v>
      </c>
      <c r="N134" s="2">
        <v>4</v>
      </c>
      <c r="O134" s="2">
        <v>184</v>
      </c>
      <c r="P134" s="2">
        <v>188</v>
      </c>
      <c r="Q134" s="1"/>
      <c r="R134" s="1"/>
      <c r="S134" s="1"/>
      <c r="T134" s="1"/>
      <c r="U134" s="1"/>
      <c r="V134" s="1"/>
      <c r="W134" s="1"/>
      <c r="X134" s="1"/>
      <c r="Y134" s="1"/>
    </row>
    <row r="135" spans="1:25" ht="15" thickBot="1" x14ac:dyDescent="0.35">
      <c r="A135" s="2">
        <v>744</v>
      </c>
      <c r="B135" s="3">
        <v>40604</v>
      </c>
      <c r="C135" s="2">
        <v>1</v>
      </c>
      <c r="D135" s="2">
        <v>0</v>
      </c>
      <c r="E135" s="2">
        <v>2</v>
      </c>
      <c r="F135" s="2">
        <v>9</v>
      </c>
      <c r="G135" s="4" t="b">
        <v>0</v>
      </c>
      <c r="H135" s="2">
        <v>4</v>
      </c>
      <c r="I135" s="2">
        <v>1</v>
      </c>
      <c r="J135" s="2">
        <v>0.16</v>
      </c>
      <c r="K135" s="2">
        <v>0.13639999999999999</v>
      </c>
      <c r="L135" s="2">
        <v>0.47</v>
      </c>
      <c r="M135" s="44">
        <v>0.29849999999999999</v>
      </c>
      <c r="N135" s="2">
        <v>6</v>
      </c>
      <c r="O135" s="2">
        <v>127</v>
      </c>
      <c r="P135" s="2">
        <v>133</v>
      </c>
      <c r="Q135" s="1"/>
      <c r="R135" s="1"/>
      <c r="S135" s="1"/>
      <c r="T135" s="1"/>
      <c r="U135" s="1"/>
      <c r="V135" s="1"/>
      <c r="W135" s="1"/>
      <c r="X135" s="1"/>
      <c r="Y135" s="1"/>
    </row>
    <row r="136" spans="1:25" ht="15" thickBot="1" x14ac:dyDescent="0.35">
      <c r="A136" s="2">
        <v>745</v>
      </c>
      <c r="B136" s="3">
        <v>40604</v>
      </c>
      <c r="C136" s="2">
        <v>1</v>
      </c>
      <c r="D136" s="2">
        <v>0</v>
      </c>
      <c r="E136" s="2">
        <v>2</v>
      </c>
      <c r="F136" s="2">
        <v>10</v>
      </c>
      <c r="G136" s="4" t="b">
        <v>0</v>
      </c>
      <c r="H136" s="2">
        <v>4</v>
      </c>
      <c r="I136" s="2">
        <v>1</v>
      </c>
      <c r="J136" s="2">
        <v>0.18</v>
      </c>
      <c r="K136" s="2">
        <v>0.1515</v>
      </c>
      <c r="L136" s="2">
        <v>0.43</v>
      </c>
      <c r="M136" s="44">
        <v>0.32840000000000003</v>
      </c>
      <c r="N136" s="2">
        <v>2</v>
      </c>
      <c r="O136" s="2">
        <v>50</v>
      </c>
      <c r="P136" s="2">
        <v>52</v>
      </c>
      <c r="Q136" s="1"/>
      <c r="R136" s="1"/>
      <c r="S136" s="1"/>
      <c r="T136" s="1"/>
      <c r="U136" s="1"/>
      <c r="V136" s="1"/>
      <c r="W136" s="1"/>
      <c r="X136" s="1"/>
      <c r="Y136" s="1"/>
    </row>
    <row r="137" spans="1:25" ht="15" thickBot="1" x14ac:dyDescent="0.35">
      <c r="A137" s="2">
        <v>746</v>
      </c>
      <c r="B137" s="3">
        <v>40604</v>
      </c>
      <c r="C137" s="2">
        <v>1</v>
      </c>
      <c r="D137" s="2">
        <v>0</v>
      </c>
      <c r="E137" s="2">
        <v>2</v>
      </c>
      <c r="F137" s="2">
        <v>11</v>
      </c>
      <c r="G137" s="4" t="b">
        <v>0</v>
      </c>
      <c r="H137" s="2">
        <v>4</v>
      </c>
      <c r="I137" s="2">
        <v>1</v>
      </c>
      <c r="J137" s="2">
        <v>0.18</v>
      </c>
      <c r="K137" s="2">
        <v>0.13639999999999999</v>
      </c>
      <c r="L137" s="2">
        <v>0.43</v>
      </c>
      <c r="M137" s="44">
        <v>0.44779999999999998</v>
      </c>
      <c r="N137" s="2">
        <v>9</v>
      </c>
      <c r="O137" s="2">
        <v>55</v>
      </c>
      <c r="P137" s="2">
        <v>64</v>
      </c>
      <c r="Q137" s="1"/>
      <c r="R137" s="1"/>
      <c r="S137" s="1"/>
      <c r="T137" s="1"/>
      <c r="U137" s="1"/>
      <c r="V137" s="1"/>
      <c r="W137" s="1"/>
      <c r="X137" s="1"/>
      <c r="Y137" s="1"/>
    </row>
    <row r="138" spans="1:25" ht="15" thickBot="1" x14ac:dyDescent="0.35">
      <c r="A138" s="2">
        <v>747</v>
      </c>
      <c r="B138" s="3">
        <v>40604</v>
      </c>
      <c r="C138" s="2">
        <v>1</v>
      </c>
      <c r="D138" s="2">
        <v>0</v>
      </c>
      <c r="E138" s="2">
        <v>2</v>
      </c>
      <c r="F138" s="2">
        <v>12</v>
      </c>
      <c r="G138" s="4" t="b">
        <v>0</v>
      </c>
      <c r="H138" s="2">
        <v>4</v>
      </c>
      <c r="I138" s="2">
        <v>1</v>
      </c>
      <c r="J138" s="2">
        <v>0.2</v>
      </c>
      <c r="K138" s="2">
        <v>0.18179999999999999</v>
      </c>
      <c r="L138" s="2">
        <v>0.4</v>
      </c>
      <c r="M138" s="44">
        <v>0.35820000000000002</v>
      </c>
      <c r="N138" s="2">
        <v>2</v>
      </c>
      <c r="O138" s="2">
        <v>67</v>
      </c>
      <c r="P138" s="2">
        <v>69</v>
      </c>
      <c r="Q138" s="1"/>
      <c r="R138" s="1"/>
      <c r="S138" s="1"/>
      <c r="T138" s="1"/>
      <c r="U138" s="1"/>
      <c r="V138" s="1"/>
      <c r="W138" s="1"/>
      <c r="X138" s="1"/>
      <c r="Y138" s="1"/>
    </row>
    <row r="139" spans="1:25" ht="15" thickBot="1" x14ac:dyDescent="0.35">
      <c r="A139" s="2">
        <v>748</v>
      </c>
      <c r="B139" s="3">
        <v>40604</v>
      </c>
      <c r="C139" s="2">
        <v>1</v>
      </c>
      <c r="D139" s="2">
        <v>0</v>
      </c>
      <c r="E139" s="2">
        <v>2</v>
      </c>
      <c r="F139" s="2">
        <v>13</v>
      </c>
      <c r="G139" s="4" t="b">
        <v>0</v>
      </c>
      <c r="H139" s="2">
        <v>4</v>
      </c>
      <c r="I139" s="2">
        <v>1</v>
      </c>
      <c r="J139" s="2">
        <v>0.2</v>
      </c>
      <c r="K139" s="2">
        <v>0.16669999999999999</v>
      </c>
      <c r="L139" s="2">
        <v>0.4</v>
      </c>
      <c r="M139" s="44">
        <v>0.41789999999999999</v>
      </c>
      <c r="N139" s="2">
        <v>4</v>
      </c>
      <c r="O139" s="2">
        <v>47</v>
      </c>
      <c r="P139" s="2">
        <v>51</v>
      </c>
      <c r="Q139" s="1"/>
      <c r="R139" s="1"/>
      <c r="S139" s="1"/>
      <c r="T139" s="1"/>
      <c r="U139" s="1"/>
      <c r="V139" s="1"/>
      <c r="W139" s="1"/>
      <c r="X139" s="1"/>
      <c r="Y139" s="1"/>
    </row>
    <row r="140" spans="1:25" ht="15" thickBot="1" x14ac:dyDescent="0.35">
      <c r="A140" s="2">
        <v>749</v>
      </c>
      <c r="B140" s="3">
        <v>40604</v>
      </c>
      <c r="C140" s="2">
        <v>1</v>
      </c>
      <c r="D140" s="2">
        <v>0</v>
      </c>
      <c r="E140" s="2">
        <v>2</v>
      </c>
      <c r="F140" s="2">
        <v>14</v>
      </c>
      <c r="G140" s="4" t="b">
        <v>0</v>
      </c>
      <c r="H140" s="2">
        <v>4</v>
      </c>
      <c r="I140" s="2">
        <v>1</v>
      </c>
      <c r="J140" s="2">
        <v>0.22</v>
      </c>
      <c r="K140" s="2">
        <v>0.19700000000000001</v>
      </c>
      <c r="L140" s="2">
        <v>0.37</v>
      </c>
      <c r="M140" s="44">
        <v>0.3881</v>
      </c>
      <c r="N140" s="2">
        <v>4</v>
      </c>
      <c r="O140" s="2">
        <v>43</v>
      </c>
      <c r="P140" s="2">
        <v>47</v>
      </c>
      <c r="Q140" s="1"/>
      <c r="R140" s="1"/>
      <c r="S140" s="1"/>
      <c r="T140" s="1"/>
      <c r="U140" s="1"/>
      <c r="V140" s="1"/>
      <c r="W140" s="1"/>
      <c r="X140" s="1"/>
      <c r="Y140" s="1"/>
    </row>
    <row r="141" spans="1:25" ht="15" thickBot="1" x14ac:dyDescent="0.35">
      <c r="A141" s="2">
        <v>750</v>
      </c>
      <c r="B141" s="3">
        <v>40604</v>
      </c>
      <c r="C141" s="2">
        <v>1</v>
      </c>
      <c r="D141" s="2">
        <v>0</v>
      </c>
      <c r="E141" s="2">
        <v>2</v>
      </c>
      <c r="F141" s="2">
        <v>15</v>
      </c>
      <c r="G141" s="4" t="b">
        <v>0</v>
      </c>
      <c r="H141" s="2">
        <v>4</v>
      </c>
      <c r="I141" s="2">
        <v>1</v>
      </c>
      <c r="J141" s="2">
        <v>0.22</v>
      </c>
      <c r="K141" s="2">
        <v>0.19700000000000001</v>
      </c>
      <c r="L141" s="2">
        <v>0.37</v>
      </c>
      <c r="M141" s="44">
        <v>0.32840000000000003</v>
      </c>
      <c r="N141" s="2">
        <v>4</v>
      </c>
      <c r="O141" s="2">
        <v>56</v>
      </c>
      <c r="P141" s="2">
        <v>60</v>
      </c>
      <c r="Q141" s="1"/>
      <c r="R141" s="1"/>
      <c r="S141" s="1"/>
      <c r="T141" s="1"/>
      <c r="U141" s="1"/>
      <c r="V141" s="1"/>
      <c r="W141" s="1"/>
      <c r="X141" s="1"/>
      <c r="Y141" s="1"/>
    </row>
    <row r="142" spans="1:25" ht="15" thickBot="1" x14ac:dyDescent="0.35">
      <c r="A142" s="2">
        <v>751</v>
      </c>
      <c r="B142" s="3">
        <v>40604</v>
      </c>
      <c r="C142" s="2">
        <v>1</v>
      </c>
      <c r="D142" s="2">
        <v>0</v>
      </c>
      <c r="E142" s="2">
        <v>2</v>
      </c>
      <c r="F142" s="2">
        <v>16</v>
      </c>
      <c r="G142" s="4" t="b">
        <v>0</v>
      </c>
      <c r="H142" s="2">
        <v>4</v>
      </c>
      <c r="I142" s="2">
        <v>1</v>
      </c>
      <c r="J142" s="2">
        <v>0.22</v>
      </c>
      <c r="K142" s="2">
        <v>0.21210000000000001</v>
      </c>
      <c r="L142" s="2">
        <v>0.37</v>
      </c>
      <c r="M142" s="44">
        <v>0.25369999999999998</v>
      </c>
      <c r="N142" s="2">
        <v>5</v>
      </c>
      <c r="O142" s="2">
        <v>73</v>
      </c>
      <c r="P142" s="2">
        <v>78</v>
      </c>
      <c r="Q142" s="1"/>
      <c r="R142" s="1"/>
      <c r="S142" s="1"/>
      <c r="T142" s="1"/>
      <c r="U142" s="1"/>
      <c r="V142" s="1"/>
      <c r="W142" s="1"/>
      <c r="X142" s="1"/>
      <c r="Y142" s="1"/>
    </row>
    <row r="143" spans="1:25" ht="15" thickBot="1" x14ac:dyDescent="0.35">
      <c r="A143" s="2">
        <v>752</v>
      </c>
      <c r="B143" s="3">
        <v>40604</v>
      </c>
      <c r="C143" s="2">
        <v>1</v>
      </c>
      <c r="D143" s="2">
        <v>0</v>
      </c>
      <c r="E143" s="2">
        <v>2</v>
      </c>
      <c r="F143" s="2">
        <v>17</v>
      </c>
      <c r="G143" s="4" t="b">
        <v>0</v>
      </c>
      <c r="H143" s="2">
        <v>4</v>
      </c>
      <c r="I143" s="2">
        <v>1</v>
      </c>
      <c r="J143" s="2">
        <v>0.2</v>
      </c>
      <c r="K143" s="2">
        <v>0.19700000000000001</v>
      </c>
      <c r="L143" s="2">
        <v>0.4</v>
      </c>
      <c r="M143" s="44">
        <v>0.19400000000000001</v>
      </c>
      <c r="N143" s="2">
        <v>5</v>
      </c>
      <c r="O143" s="2">
        <v>170</v>
      </c>
      <c r="P143" s="2">
        <v>175</v>
      </c>
      <c r="Q143" s="1"/>
      <c r="R143" s="1"/>
      <c r="S143" s="1"/>
      <c r="T143" s="1"/>
      <c r="U143" s="1"/>
      <c r="V143" s="1"/>
      <c r="W143" s="1"/>
      <c r="X143" s="1"/>
      <c r="Y143" s="1"/>
    </row>
    <row r="144" spans="1:25" ht="15" thickBot="1" x14ac:dyDescent="0.35">
      <c r="A144" s="2">
        <v>753</v>
      </c>
      <c r="B144" s="3">
        <v>40604</v>
      </c>
      <c r="C144" s="2">
        <v>1</v>
      </c>
      <c r="D144" s="2">
        <v>0</v>
      </c>
      <c r="E144" s="2">
        <v>2</v>
      </c>
      <c r="F144" s="2">
        <v>18</v>
      </c>
      <c r="G144" s="4" t="b">
        <v>0</v>
      </c>
      <c r="H144" s="2">
        <v>4</v>
      </c>
      <c r="I144" s="2">
        <v>1</v>
      </c>
      <c r="J144" s="2">
        <v>0.2</v>
      </c>
      <c r="K144" s="2">
        <v>0.21210000000000001</v>
      </c>
      <c r="L144" s="2">
        <v>0.4</v>
      </c>
      <c r="M144" s="44">
        <v>0.16420000000000001</v>
      </c>
      <c r="N144" s="2">
        <v>2</v>
      </c>
      <c r="O144" s="2">
        <v>145</v>
      </c>
      <c r="P144" s="2">
        <v>147</v>
      </c>
      <c r="Q144" s="1"/>
      <c r="R144" s="1"/>
      <c r="S144" s="1"/>
      <c r="T144" s="1"/>
      <c r="U144" s="1"/>
      <c r="V144" s="1"/>
      <c r="W144" s="1"/>
      <c r="X144" s="1"/>
      <c r="Y144" s="1"/>
    </row>
    <row r="145" spans="1:25" ht="15" thickBot="1" x14ac:dyDescent="0.35">
      <c r="A145" s="2">
        <v>754</v>
      </c>
      <c r="B145" s="3">
        <v>40604</v>
      </c>
      <c r="C145" s="2">
        <v>1</v>
      </c>
      <c r="D145" s="2">
        <v>0</v>
      </c>
      <c r="E145" s="2">
        <v>2</v>
      </c>
      <c r="F145" s="2">
        <v>19</v>
      </c>
      <c r="G145" s="4" t="b">
        <v>0</v>
      </c>
      <c r="H145" s="2">
        <v>4</v>
      </c>
      <c r="I145" s="2">
        <v>1</v>
      </c>
      <c r="J145" s="2">
        <v>0.2</v>
      </c>
      <c r="K145" s="2">
        <v>0.2576</v>
      </c>
      <c r="L145" s="2">
        <v>0.4</v>
      </c>
      <c r="M145" s="43">
        <v>0.1794158974358977</v>
      </c>
      <c r="N145" s="2">
        <v>4</v>
      </c>
      <c r="O145" s="2">
        <v>92</v>
      </c>
      <c r="P145" s="2">
        <v>96</v>
      </c>
      <c r="Q145" s="1"/>
      <c r="R145" s="1"/>
      <c r="S145" s="1"/>
      <c r="T145" s="1"/>
      <c r="U145" s="1"/>
      <c r="V145" s="1"/>
      <c r="W145" s="1"/>
      <c r="X145" s="1"/>
      <c r="Y145" s="1"/>
    </row>
    <row r="146" spans="1:25" ht="15" thickBot="1" x14ac:dyDescent="0.35">
      <c r="A146" s="2">
        <v>755</v>
      </c>
      <c r="B146" s="3">
        <v>40604</v>
      </c>
      <c r="C146" s="2">
        <v>1</v>
      </c>
      <c r="D146" s="2">
        <v>0</v>
      </c>
      <c r="E146" s="2">
        <v>2</v>
      </c>
      <c r="F146" s="2">
        <v>20</v>
      </c>
      <c r="G146" s="4" t="b">
        <v>0</v>
      </c>
      <c r="H146" s="2">
        <v>4</v>
      </c>
      <c r="I146" s="2">
        <v>1</v>
      </c>
      <c r="J146" s="2">
        <v>0.2</v>
      </c>
      <c r="K146" s="2">
        <v>0.2273</v>
      </c>
      <c r="L146" s="2">
        <v>0.47</v>
      </c>
      <c r="M146" s="44">
        <v>8.9599999999999999E-2</v>
      </c>
      <c r="N146" s="2">
        <v>1</v>
      </c>
      <c r="O146" s="2">
        <v>108</v>
      </c>
      <c r="P146" s="2">
        <v>109</v>
      </c>
      <c r="Q146" s="1"/>
      <c r="R146" s="1"/>
      <c r="S146" s="1"/>
      <c r="T146" s="1"/>
      <c r="U146" s="1"/>
      <c r="V146" s="1"/>
      <c r="W146" s="1"/>
      <c r="X146" s="1"/>
      <c r="Y146" s="1"/>
    </row>
    <row r="147" spans="1:25" ht="15" thickBot="1" x14ac:dyDescent="0.35">
      <c r="A147" s="2">
        <v>756</v>
      </c>
      <c r="B147" s="3">
        <v>40604</v>
      </c>
      <c r="C147" s="2">
        <v>1</v>
      </c>
      <c r="D147" s="2">
        <v>0</v>
      </c>
      <c r="E147" s="2">
        <v>2</v>
      </c>
      <c r="F147" s="2">
        <v>21</v>
      </c>
      <c r="G147" s="4" t="b">
        <v>0</v>
      </c>
      <c r="H147" s="2">
        <v>4</v>
      </c>
      <c r="I147" s="2">
        <v>1</v>
      </c>
      <c r="J147" s="2">
        <v>0.18</v>
      </c>
      <c r="K147" s="2">
        <v>0.21210000000000001</v>
      </c>
      <c r="L147" s="2">
        <v>0.55000000000000004</v>
      </c>
      <c r="M147" s="44">
        <v>0.1045</v>
      </c>
      <c r="N147" s="2">
        <v>1</v>
      </c>
      <c r="O147" s="2">
        <v>53</v>
      </c>
      <c r="P147" s="2">
        <v>54</v>
      </c>
      <c r="Q147" s="1"/>
      <c r="R147" s="1"/>
      <c r="S147" s="1"/>
      <c r="T147" s="1"/>
      <c r="U147" s="1"/>
      <c r="V147" s="1"/>
      <c r="W147" s="1"/>
      <c r="X147" s="1"/>
      <c r="Y147" s="1"/>
    </row>
    <row r="148" spans="1:25" ht="15" thickBot="1" x14ac:dyDescent="0.35">
      <c r="A148" s="2">
        <v>757</v>
      </c>
      <c r="B148" s="3">
        <v>40604</v>
      </c>
      <c r="C148" s="2">
        <v>1</v>
      </c>
      <c r="D148" s="2">
        <v>0</v>
      </c>
      <c r="E148" s="2">
        <v>2</v>
      </c>
      <c r="F148" s="2">
        <v>22</v>
      </c>
      <c r="G148" s="4" t="b">
        <v>0</v>
      </c>
      <c r="H148" s="2">
        <v>4</v>
      </c>
      <c r="I148" s="2">
        <v>1</v>
      </c>
      <c r="J148" s="2">
        <v>0.18</v>
      </c>
      <c r="K148" s="2">
        <v>0.21210000000000001</v>
      </c>
      <c r="L148" s="2">
        <v>0.51</v>
      </c>
      <c r="M148" s="44">
        <v>8.9599999999999999E-2</v>
      </c>
      <c r="N148" s="2">
        <v>2</v>
      </c>
      <c r="O148" s="2">
        <v>39</v>
      </c>
      <c r="P148" s="2">
        <v>41</v>
      </c>
      <c r="Q148" s="1"/>
      <c r="R148" s="1"/>
      <c r="S148" s="1"/>
      <c r="T148" s="1"/>
      <c r="U148" s="1"/>
      <c r="V148" s="1"/>
      <c r="W148" s="1"/>
      <c r="X148" s="1"/>
      <c r="Y148" s="1"/>
    </row>
    <row r="149" spans="1:25" ht="15" thickBot="1" x14ac:dyDescent="0.35">
      <c r="A149" s="2">
        <v>758</v>
      </c>
      <c r="B149" s="3">
        <v>40604</v>
      </c>
      <c r="C149" s="2">
        <v>1</v>
      </c>
      <c r="D149" s="2">
        <v>0</v>
      </c>
      <c r="E149" s="2">
        <v>2</v>
      </c>
      <c r="F149" s="2">
        <v>23</v>
      </c>
      <c r="G149" s="4" t="b">
        <v>0</v>
      </c>
      <c r="H149" s="2">
        <v>4</v>
      </c>
      <c r="I149" s="2">
        <v>1</v>
      </c>
      <c r="J149" s="2">
        <v>0.2</v>
      </c>
      <c r="K149" s="2">
        <v>0.2273</v>
      </c>
      <c r="L149" s="2">
        <v>0.47</v>
      </c>
      <c r="M149" s="44">
        <v>0.1045</v>
      </c>
      <c r="N149" s="2">
        <v>4</v>
      </c>
      <c r="O149" s="2">
        <v>34</v>
      </c>
      <c r="P149" s="2">
        <v>38</v>
      </c>
      <c r="Q149" s="1"/>
      <c r="R149" s="1"/>
      <c r="S149" s="1"/>
      <c r="T149" s="1"/>
      <c r="U149" s="1"/>
      <c r="V149" s="1"/>
      <c r="W149" s="1"/>
      <c r="X149" s="1"/>
      <c r="Y149" s="1"/>
    </row>
    <row r="150" spans="1:25" ht="15" thickBot="1" x14ac:dyDescent="0.35">
      <c r="A150" s="2">
        <v>759</v>
      </c>
      <c r="B150" s="3">
        <v>40635</v>
      </c>
      <c r="C150" s="2">
        <v>1</v>
      </c>
      <c r="D150" s="2">
        <v>0</v>
      </c>
      <c r="E150" s="2">
        <v>2</v>
      </c>
      <c r="F150" s="2">
        <v>0</v>
      </c>
      <c r="G150" s="4" t="b">
        <v>0</v>
      </c>
      <c r="H150" s="2">
        <v>5</v>
      </c>
      <c r="I150" s="2">
        <v>2</v>
      </c>
      <c r="J150" s="2">
        <v>0.2</v>
      </c>
      <c r="K150" s="2">
        <v>0.2576</v>
      </c>
      <c r="L150" s="2">
        <v>0.44</v>
      </c>
      <c r="M150" s="43">
        <v>0.1794158974358977</v>
      </c>
      <c r="N150" s="2">
        <v>3</v>
      </c>
      <c r="O150" s="2">
        <v>10</v>
      </c>
      <c r="P150" s="2">
        <v>13</v>
      </c>
      <c r="Q150" s="1"/>
      <c r="R150" s="1"/>
      <c r="S150" s="1"/>
      <c r="T150" s="1"/>
      <c r="U150" s="1"/>
      <c r="V150" s="1"/>
      <c r="W150" s="1"/>
      <c r="X150" s="1"/>
      <c r="Y150" s="1"/>
    </row>
    <row r="151" spans="1:25" ht="15" thickBot="1" x14ac:dyDescent="0.35">
      <c r="A151" s="2">
        <v>760</v>
      </c>
      <c r="B151" s="3">
        <v>40635</v>
      </c>
      <c r="C151" s="2">
        <v>1</v>
      </c>
      <c r="D151" s="2">
        <v>0</v>
      </c>
      <c r="E151" s="2">
        <v>2</v>
      </c>
      <c r="F151" s="2">
        <v>1</v>
      </c>
      <c r="G151" s="4" t="b">
        <v>0</v>
      </c>
      <c r="H151" s="2">
        <v>5</v>
      </c>
      <c r="I151" s="2">
        <v>2</v>
      </c>
      <c r="J151" s="2">
        <v>0.16</v>
      </c>
      <c r="K151" s="2">
        <v>0.2273</v>
      </c>
      <c r="L151" s="2">
        <v>0.59</v>
      </c>
      <c r="M151" s="43">
        <v>0.1794158974358977</v>
      </c>
      <c r="N151" s="2">
        <v>0</v>
      </c>
      <c r="O151" s="2">
        <v>7</v>
      </c>
      <c r="P151" s="2">
        <v>7</v>
      </c>
      <c r="Q151" s="1"/>
      <c r="R151" s="1"/>
      <c r="S151" s="1"/>
      <c r="T151" s="1"/>
      <c r="U151" s="1"/>
      <c r="V151" s="1"/>
      <c r="W151" s="1"/>
      <c r="X151" s="1"/>
      <c r="Y151" s="1"/>
    </row>
    <row r="152" spans="1:25" ht="15" thickBot="1" x14ac:dyDescent="0.35">
      <c r="A152" s="2">
        <v>761</v>
      </c>
      <c r="B152" s="3">
        <v>40635</v>
      </c>
      <c r="C152" s="2">
        <v>1</v>
      </c>
      <c r="D152" s="2">
        <v>0</v>
      </c>
      <c r="E152" s="2">
        <v>2</v>
      </c>
      <c r="F152" s="2">
        <v>2</v>
      </c>
      <c r="G152" s="4" t="b">
        <v>0</v>
      </c>
      <c r="H152" s="2">
        <v>5</v>
      </c>
      <c r="I152" s="2">
        <v>2</v>
      </c>
      <c r="J152" s="2">
        <v>0.14000000000000001</v>
      </c>
      <c r="K152" s="2">
        <v>0.16669999999999999</v>
      </c>
      <c r="L152" s="2">
        <v>0.63</v>
      </c>
      <c r="M152" s="44">
        <v>0.1045</v>
      </c>
      <c r="N152" s="2">
        <v>0</v>
      </c>
      <c r="O152" s="2">
        <v>1</v>
      </c>
      <c r="P152" s="2">
        <v>1</v>
      </c>
      <c r="Q152" s="1"/>
      <c r="R152" s="1"/>
      <c r="S152" s="1"/>
      <c r="T152" s="1"/>
      <c r="U152" s="1"/>
      <c r="V152" s="1"/>
      <c r="W152" s="1"/>
      <c r="X152" s="1"/>
      <c r="Y152" s="1"/>
    </row>
    <row r="153" spans="1:25" ht="15" thickBot="1" x14ac:dyDescent="0.35">
      <c r="A153" s="2">
        <v>762</v>
      </c>
      <c r="B153" s="3">
        <v>40635</v>
      </c>
      <c r="C153" s="2">
        <v>1</v>
      </c>
      <c r="D153" s="2">
        <v>0</v>
      </c>
      <c r="E153" s="2">
        <v>2</v>
      </c>
      <c r="F153" s="2">
        <v>3</v>
      </c>
      <c r="G153" s="4" t="b">
        <v>0</v>
      </c>
      <c r="H153" s="2">
        <v>5</v>
      </c>
      <c r="I153" s="2">
        <v>2</v>
      </c>
      <c r="J153" s="2">
        <v>0.14000000000000001</v>
      </c>
      <c r="K153" s="2">
        <v>0.16669999999999999</v>
      </c>
      <c r="L153" s="2">
        <v>0.63</v>
      </c>
      <c r="M153" s="44">
        <v>0.1045</v>
      </c>
      <c r="N153" s="2">
        <v>0</v>
      </c>
      <c r="O153" s="2">
        <v>1</v>
      </c>
      <c r="P153" s="2">
        <v>1</v>
      </c>
      <c r="Q153" s="1"/>
      <c r="R153" s="1"/>
      <c r="S153" s="1"/>
      <c r="T153" s="1"/>
      <c r="U153" s="1"/>
      <c r="V153" s="1"/>
      <c r="W153" s="1"/>
      <c r="X153" s="1"/>
      <c r="Y153" s="1"/>
    </row>
    <row r="154" spans="1:25" ht="15" thickBot="1" x14ac:dyDescent="0.35">
      <c r="A154" s="2">
        <v>763</v>
      </c>
      <c r="B154" s="3">
        <v>40635</v>
      </c>
      <c r="C154" s="2">
        <v>1</v>
      </c>
      <c r="D154" s="2">
        <v>0</v>
      </c>
      <c r="E154" s="2">
        <v>2</v>
      </c>
      <c r="F154" s="2">
        <v>5</v>
      </c>
      <c r="G154" s="4" t="b">
        <v>0</v>
      </c>
      <c r="H154" s="2">
        <v>5</v>
      </c>
      <c r="I154" s="2">
        <v>2</v>
      </c>
      <c r="J154" s="2">
        <v>0.14000000000000001</v>
      </c>
      <c r="K154" s="2">
        <v>0.1515</v>
      </c>
      <c r="L154" s="2">
        <v>0.63</v>
      </c>
      <c r="M154" s="44">
        <v>0.1343</v>
      </c>
      <c r="N154" s="2">
        <v>0</v>
      </c>
      <c r="O154" s="2">
        <v>7</v>
      </c>
      <c r="P154" s="2">
        <v>7</v>
      </c>
      <c r="Q154" s="1"/>
      <c r="R154" s="1"/>
      <c r="S154" s="1"/>
      <c r="T154" s="1"/>
      <c r="U154" s="1"/>
      <c r="V154" s="1"/>
      <c r="W154" s="1"/>
      <c r="X154" s="1"/>
      <c r="Y154" s="1"/>
    </row>
    <row r="155" spans="1:25" ht="15" thickBot="1" x14ac:dyDescent="0.35">
      <c r="A155" s="2">
        <v>764</v>
      </c>
      <c r="B155" s="3">
        <v>40635</v>
      </c>
      <c r="C155" s="2">
        <v>1</v>
      </c>
      <c r="D155" s="2">
        <v>0</v>
      </c>
      <c r="E155" s="2">
        <v>2</v>
      </c>
      <c r="F155" s="2">
        <v>6</v>
      </c>
      <c r="G155" s="4" t="b">
        <v>0</v>
      </c>
      <c r="H155" s="2">
        <v>5</v>
      </c>
      <c r="I155" s="2">
        <v>2</v>
      </c>
      <c r="J155" s="2">
        <v>0.16</v>
      </c>
      <c r="K155" s="2">
        <v>0.2273</v>
      </c>
      <c r="L155" s="2">
        <v>0.55000000000000004</v>
      </c>
      <c r="M155" s="43">
        <v>0.1794158974358977</v>
      </c>
      <c r="N155" s="2">
        <v>2</v>
      </c>
      <c r="O155" s="2">
        <v>26</v>
      </c>
      <c r="P155" s="2">
        <v>28</v>
      </c>
      <c r="Q155" s="1"/>
      <c r="R155" s="1"/>
      <c r="S155" s="1"/>
      <c r="T155" s="1"/>
      <c r="U155" s="1"/>
      <c r="V155" s="1"/>
      <c r="W155" s="1"/>
      <c r="X155" s="1"/>
      <c r="Y155" s="1"/>
    </row>
    <row r="156" spans="1:25" ht="15" thickBot="1" x14ac:dyDescent="0.35">
      <c r="A156" s="2">
        <v>765</v>
      </c>
      <c r="B156" s="3">
        <v>40635</v>
      </c>
      <c r="C156" s="2">
        <v>1</v>
      </c>
      <c r="D156" s="2">
        <v>0</v>
      </c>
      <c r="E156" s="2">
        <v>2</v>
      </c>
      <c r="F156" s="2">
        <v>7</v>
      </c>
      <c r="G156" s="4" t="b">
        <v>0</v>
      </c>
      <c r="H156" s="2">
        <v>5</v>
      </c>
      <c r="I156" s="2">
        <v>1</v>
      </c>
      <c r="J156" s="2">
        <v>0.14000000000000001</v>
      </c>
      <c r="K156" s="2">
        <v>0.21210000000000001</v>
      </c>
      <c r="L156" s="2">
        <v>0.59</v>
      </c>
      <c r="M156" s="43">
        <v>0.1794158974358977</v>
      </c>
      <c r="N156" s="2">
        <v>0</v>
      </c>
      <c r="O156" s="2">
        <v>87</v>
      </c>
      <c r="P156" s="2">
        <v>87</v>
      </c>
      <c r="Q156" s="1"/>
      <c r="R156" s="1"/>
      <c r="S156" s="1"/>
      <c r="T156" s="1"/>
      <c r="U156" s="1"/>
      <c r="V156" s="1"/>
      <c r="W156" s="1"/>
      <c r="X156" s="1"/>
      <c r="Y156" s="1"/>
    </row>
    <row r="157" spans="1:25" ht="15" thickBot="1" x14ac:dyDescent="0.35">
      <c r="A157" s="2">
        <v>766</v>
      </c>
      <c r="B157" s="3">
        <v>40635</v>
      </c>
      <c r="C157" s="2">
        <v>1</v>
      </c>
      <c r="D157" s="2">
        <v>0</v>
      </c>
      <c r="E157" s="2">
        <v>2</v>
      </c>
      <c r="F157" s="2">
        <v>8</v>
      </c>
      <c r="G157" s="4" t="b">
        <v>0</v>
      </c>
      <c r="H157" s="2">
        <v>5</v>
      </c>
      <c r="I157" s="2">
        <v>1</v>
      </c>
      <c r="J157" s="2">
        <v>0.14000000000000001</v>
      </c>
      <c r="K157" s="2">
        <v>0.1515</v>
      </c>
      <c r="L157" s="2">
        <v>0.74</v>
      </c>
      <c r="M157" s="44">
        <v>0.1343</v>
      </c>
      <c r="N157" s="2">
        <v>3</v>
      </c>
      <c r="O157" s="2">
        <v>217</v>
      </c>
      <c r="P157" s="2">
        <v>220</v>
      </c>
      <c r="Q157" s="1"/>
      <c r="R157" s="1"/>
      <c r="S157" s="1"/>
      <c r="T157" s="1"/>
      <c r="U157" s="1"/>
      <c r="V157" s="1"/>
      <c r="W157" s="1"/>
      <c r="X157" s="1"/>
      <c r="Y157" s="1"/>
    </row>
    <row r="158" spans="1:25" ht="15" thickBot="1" x14ac:dyDescent="0.35">
      <c r="A158" s="2">
        <v>767</v>
      </c>
      <c r="B158" s="3">
        <v>40635</v>
      </c>
      <c r="C158" s="2">
        <v>1</v>
      </c>
      <c r="D158" s="2">
        <v>0</v>
      </c>
      <c r="E158" s="2">
        <v>2</v>
      </c>
      <c r="F158" s="2">
        <v>9</v>
      </c>
      <c r="G158" s="4" t="b">
        <v>0</v>
      </c>
      <c r="H158" s="2">
        <v>5</v>
      </c>
      <c r="I158" s="2">
        <v>2</v>
      </c>
      <c r="J158" s="2">
        <v>0.16</v>
      </c>
      <c r="K158" s="2">
        <v>0.18179999999999999</v>
      </c>
      <c r="L158" s="2">
        <v>0.8</v>
      </c>
      <c r="M158" s="44">
        <v>0.1343</v>
      </c>
      <c r="N158" s="2">
        <v>3</v>
      </c>
      <c r="O158" s="2">
        <v>124</v>
      </c>
      <c r="P158" s="2">
        <v>127</v>
      </c>
      <c r="Q158" s="1"/>
      <c r="R158" s="1"/>
      <c r="S158" s="1"/>
      <c r="T158" s="1"/>
      <c r="U158" s="1"/>
      <c r="V158" s="1"/>
      <c r="W158" s="1"/>
      <c r="X158" s="1"/>
      <c r="Y158" s="1"/>
    </row>
    <row r="159" spans="1:25" ht="15" thickBot="1" x14ac:dyDescent="0.35">
      <c r="A159" s="2">
        <v>768</v>
      </c>
      <c r="B159" s="3">
        <v>40635</v>
      </c>
      <c r="C159" s="2">
        <v>1</v>
      </c>
      <c r="D159" s="2">
        <v>0</v>
      </c>
      <c r="E159" s="2">
        <v>2</v>
      </c>
      <c r="F159" s="2">
        <v>10</v>
      </c>
      <c r="G159" s="4" t="b">
        <v>0</v>
      </c>
      <c r="H159" s="2">
        <v>5</v>
      </c>
      <c r="I159" s="2">
        <v>2</v>
      </c>
      <c r="J159" s="2">
        <v>0.2</v>
      </c>
      <c r="K159" s="2">
        <v>0.21210000000000001</v>
      </c>
      <c r="L159" s="2">
        <v>0.51</v>
      </c>
      <c r="M159" s="44">
        <v>0.1343</v>
      </c>
      <c r="N159" s="2">
        <v>5</v>
      </c>
      <c r="O159" s="2">
        <v>46</v>
      </c>
      <c r="P159" s="2">
        <v>51</v>
      </c>
      <c r="Q159" s="1"/>
      <c r="R159" s="1"/>
      <c r="S159" s="1"/>
      <c r="T159" s="1"/>
      <c r="U159" s="1"/>
      <c r="V159" s="1"/>
      <c r="W159" s="1"/>
      <c r="X159" s="1"/>
      <c r="Y159" s="1"/>
    </row>
    <row r="160" spans="1:25" ht="15" thickBot="1" x14ac:dyDescent="0.35">
      <c r="A160" s="2">
        <v>769</v>
      </c>
      <c r="B160" s="3">
        <v>40635</v>
      </c>
      <c r="C160" s="2">
        <v>1</v>
      </c>
      <c r="D160" s="2">
        <v>0</v>
      </c>
      <c r="E160" s="2">
        <v>2</v>
      </c>
      <c r="F160" s="2">
        <v>11</v>
      </c>
      <c r="G160" s="4" t="b">
        <v>0</v>
      </c>
      <c r="H160" s="2">
        <v>5</v>
      </c>
      <c r="I160" s="2">
        <v>1</v>
      </c>
      <c r="J160" s="2">
        <v>0.22</v>
      </c>
      <c r="K160" s="2">
        <v>0.2273</v>
      </c>
      <c r="L160" s="2">
        <v>0.51</v>
      </c>
      <c r="M160" s="44">
        <v>0.16420000000000001</v>
      </c>
      <c r="N160" s="2">
        <v>3</v>
      </c>
      <c r="O160" s="2">
        <v>61</v>
      </c>
      <c r="P160" s="2">
        <v>64</v>
      </c>
      <c r="Q160" s="1"/>
      <c r="R160" s="1"/>
      <c r="S160" s="1"/>
      <c r="T160" s="1"/>
      <c r="U160" s="1"/>
      <c r="V160" s="1"/>
      <c r="W160" s="1"/>
      <c r="X160" s="1"/>
      <c r="Y160" s="1"/>
    </row>
    <row r="161" spans="1:25" ht="15" thickBot="1" x14ac:dyDescent="0.35">
      <c r="A161" s="2">
        <v>770</v>
      </c>
      <c r="B161" s="3">
        <v>40635</v>
      </c>
      <c r="C161" s="2">
        <v>1</v>
      </c>
      <c r="D161" s="2">
        <v>0</v>
      </c>
      <c r="E161" s="2">
        <v>2</v>
      </c>
      <c r="F161" s="2">
        <v>12</v>
      </c>
      <c r="G161" s="4" t="b">
        <v>0</v>
      </c>
      <c r="H161" s="2">
        <v>5</v>
      </c>
      <c r="I161" s="2">
        <v>2</v>
      </c>
      <c r="J161" s="2">
        <v>0.24</v>
      </c>
      <c r="K161" s="2">
        <v>0.2424</v>
      </c>
      <c r="L161" s="2">
        <v>0.48</v>
      </c>
      <c r="M161" s="44">
        <v>0.16420000000000001</v>
      </c>
      <c r="N161" s="2">
        <v>8</v>
      </c>
      <c r="O161" s="2">
        <v>78</v>
      </c>
      <c r="P161" s="2">
        <v>86</v>
      </c>
      <c r="Q161" s="1"/>
      <c r="R161" s="1"/>
      <c r="S161" s="1"/>
      <c r="T161" s="1"/>
      <c r="U161" s="1"/>
      <c r="V161" s="1"/>
      <c r="W161" s="1"/>
      <c r="X161" s="1"/>
      <c r="Y161" s="1"/>
    </row>
    <row r="162" spans="1:25" ht="15" thickBot="1" x14ac:dyDescent="0.35">
      <c r="A162" s="2">
        <v>771</v>
      </c>
      <c r="B162" s="3">
        <v>40635</v>
      </c>
      <c r="C162" s="2">
        <v>1</v>
      </c>
      <c r="D162" s="2">
        <v>0</v>
      </c>
      <c r="E162" s="2">
        <v>2</v>
      </c>
      <c r="F162" s="2">
        <v>13</v>
      </c>
      <c r="G162" s="4" t="b">
        <v>0</v>
      </c>
      <c r="H162" s="2">
        <v>5</v>
      </c>
      <c r="I162" s="2">
        <v>2</v>
      </c>
      <c r="J162" s="2">
        <v>0.26</v>
      </c>
      <c r="K162" s="2">
        <v>0.2576</v>
      </c>
      <c r="L162" s="2">
        <v>0.5</v>
      </c>
      <c r="M162" s="44">
        <v>0.22389999999999999</v>
      </c>
      <c r="N162" s="2">
        <v>9</v>
      </c>
      <c r="O162" s="2">
        <v>73</v>
      </c>
      <c r="P162" s="2">
        <v>82</v>
      </c>
      <c r="Q162" s="1"/>
      <c r="R162" s="1"/>
      <c r="S162" s="1"/>
      <c r="T162" s="1"/>
      <c r="U162" s="1"/>
      <c r="V162" s="1"/>
      <c r="W162" s="1"/>
      <c r="X162" s="1"/>
      <c r="Y162" s="1"/>
    </row>
    <row r="163" spans="1:25" ht="15" thickBot="1" x14ac:dyDescent="0.35">
      <c r="A163" s="2">
        <v>772</v>
      </c>
      <c r="B163" s="3">
        <v>40635</v>
      </c>
      <c r="C163" s="2">
        <v>1</v>
      </c>
      <c r="D163" s="2">
        <v>0</v>
      </c>
      <c r="E163" s="2">
        <v>2</v>
      </c>
      <c r="F163" s="2">
        <v>14</v>
      </c>
      <c r="G163" s="4" t="b">
        <v>0</v>
      </c>
      <c r="H163" s="2">
        <v>5</v>
      </c>
      <c r="I163" s="2">
        <v>2</v>
      </c>
      <c r="J163" s="2">
        <v>0.28000000000000003</v>
      </c>
      <c r="K163" s="2">
        <v>0.2727</v>
      </c>
      <c r="L163" s="2">
        <v>0.45</v>
      </c>
      <c r="M163" s="44">
        <v>0.16420000000000001</v>
      </c>
      <c r="N163" s="2">
        <v>15</v>
      </c>
      <c r="O163" s="2">
        <v>76</v>
      </c>
      <c r="P163" s="2">
        <v>91</v>
      </c>
      <c r="Q163" s="1"/>
      <c r="R163" s="1"/>
      <c r="S163" s="1"/>
      <c r="T163" s="1"/>
      <c r="U163" s="1"/>
      <c r="V163" s="1"/>
      <c r="W163" s="1"/>
      <c r="X163" s="1"/>
      <c r="Y163" s="1"/>
    </row>
    <row r="164" spans="1:25" ht="15" thickBot="1" x14ac:dyDescent="0.35">
      <c r="A164" s="2">
        <v>773</v>
      </c>
      <c r="B164" s="3">
        <v>40635</v>
      </c>
      <c r="C164" s="2">
        <v>1</v>
      </c>
      <c r="D164" s="2">
        <v>0</v>
      </c>
      <c r="E164" s="2">
        <v>2</v>
      </c>
      <c r="F164" s="2">
        <v>15</v>
      </c>
      <c r="G164" s="4" t="b">
        <v>0</v>
      </c>
      <c r="H164" s="2">
        <v>5</v>
      </c>
      <c r="I164" s="2">
        <v>2</v>
      </c>
      <c r="J164" s="2">
        <v>0.28000000000000003</v>
      </c>
      <c r="K164" s="2">
        <v>0.2727</v>
      </c>
      <c r="L164" s="2">
        <v>0.48</v>
      </c>
      <c r="M164" s="44">
        <v>0.25369999999999998</v>
      </c>
      <c r="N164" s="2">
        <v>9</v>
      </c>
      <c r="O164" s="2">
        <v>81</v>
      </c>
      <c r="P164" s="2">
        <v>90</v>
      </c>
      <c r="Q164" s="1"/>
      <c r="R164" s="1"/>
      <c r="S164" s="1"/>
      <c r="T164" s="1"/>
      <c r="U164" s="1"/>
      <c r="V164" s="1"/>
      <c r="W164" s="1"/>
      <c r="X164" s="1"/>
      <c r="Y164" s="1"/>
    </row>
    <row r="165" spans="1:25" ht="15" thickBot="1" x14ac:dyDescent="0.35">
      <c r="A165" s="2">
        <v>774</v>
      </c>
      <c r="B165" s="3">
        <v>40635</v>
      </c>
      <c r="C165" s="2">
        <v>1</v>
      </c>
      <c r="D165" s="2">
        <v>0</v>
      </c>
      <c r="E165" s="2">
        <v>2</v>
      </c>
      <c r="F165" s="2">
        <v>16</v>
      </c>
      <c r="G165" s="4" t="b">
        <v>0</v>
      </c>
      <c r="H165" s="2">
        <v>5</v>
      </c>
      <c r="I165" s="2">
        <v>2</v>
      </c>
      <c r="J165" s="2">
        <v>0.3</v>
      </c>
      <c r="K165" s="2">
        <v>0.28789999999999999</v>
      </c>
      <c r="L165" s="2">
        <v>0.42</v>
      </c>
      <c r="M165" s="44">
        <v>0.22389999999999999</v>
      </c>
      <c r="N165" s="2">
        <v>8</v>
      </c>
      <c r="O165" s="2">
        <v>91</v>
      </c>
      <c r="P165" s="2">
        <v>99</v>
      </c>
      <c r="Q165" s="1"/>
      <c r="R165" s="1"/>
      <c r="S165" s="1"/>
      <c r="T165" s="1"/>
      <c r="U165" s="1"/>
      <c r="V165" s="1"/>
      <c r="W165" s="1"/>
      <c r="X165" s="1"/>
      <c r="Y165" s="1"/>
    </row>
    <row r="166" spans="1:25" ht="15" thickBot="1" x14ac:dyDescent="0.35">
      <c r="A166" s="2">
        <v>775</v>
      </c>
      <c r="B166" s="3">
        <v>40635</v>
      </c>
      <c r="C166" s="2">
        <v>1</v>
      </c>
      <c r="D166" s="2">
        <v>0</v>
      </c>
      <c r="E166" s="2">
        <v>2</v>
      </c>
      <c r="F166" s="2">
        <v>17</v>
      </c>
      <c r="G166" s="4" t="b">
        <v>0</v>
      </c>
      <c r="H166" s="2">
        <v>5</v>
      </c>
      <c r="I166" s="2">
        <v>2</v>
      </c>
      <c r="J166" s="2">
        <v>0.26</v>
      </c>
      <c r="K166" s="2">
        <v>0.2727</v>
      </c>
      <c r="L166" s="2">
        <v>0.56000000000000005</v>
      </c>
      <c r="M166" s="44">
        <v>0.1343</v>
      </c>
      <c r="N166" s="2">
        <v>10</v>
      </c>
      <c r="O166" s="2">
        <v>195</v>
      </c>
      <c r="P166" s="2">
        <v>205</v>
      </c>
      <c r="Q166" s="1"/>
      <c r="R166" s="1"/>
      <c r="S166" s="1"/>
      <c r="T166" s="1"/>
      <c r="U166" s="1"/>
      <c r="V166" s="1"/>
      <c r="W166" s="1"/>
      <c r="X166" s="1"/>
      <c r="Y166" s="1"/>
    </row>
    <row r="167" spans="1:25" ht="15" thickBot="1" x14ac:dyDescent="0.35">
      <c r="A167" s="2">
        <v>776</v>
      </c>
      <c r="B167" s="3">
        <v>40635</v>
      </c>
      <c r="C167" s="2">
        <v>1</v>
      </c>
      <c r="D167" s="2">
        <v>0</v>
      </c>
      <c r="E167" s="2">
        <v>2</v>
      </c>
      <c r="F167" s="2">
        <v>18</v>
      </c>
      <c r="G167" s="4" t="b">
        <v>0</v>
      </c>
      <c r="H167" s="2">
        <v>5</v>
      </c>
      <c r="I167" s="2">
        <v>2</v>
      </c>
      <c r="J167" s="2">
        <v>0.24</v>
      </c>
      <c r="K167" s="2">
        <v>0.2576</v>
      </c>
      <c r="L167" s="2">
        <v>0.6</v>
      </c>
      <c r="M167" s="44">
        <v>0.1045</v>
      </c>
      <c r="N167" s="2">
        <v>3</v>
      </c>
      <c r="O167" s="2">
        <v>152</v>
      </c>
      <c r="P167" s="2">
        <v>155</v>
      </c>
      <c r="Q167" s="1"/>
      <c r="R167" s="1"/>
      <c r="S167" s="1"/>
      <c r="T167" s="1"/>
      <c r="U167" s="1"/>
      <c r="V167" s="1"/>
      <c r="W167" s="1"/>
      <c r="X167" s="1"/>
      <c r="Y167" s="1"/>
    </row>
    <row r="168" spans="1:25" ht="15" thickBot="1" x14ac:dyDescent="0.35">
      <c r="A168" s="2">
        <v>777</v>
      </c>
      <c r="B168" s="3">
        <v>40635</v>
      </c>
      <c r="C168" s="2">
        <v>1</v>
      </c>
      <c r="D168" s="2">
        <v>0</v>
      </c>
      <c r="E168" s="2">
        <v>2</v>
      </c>
      <c r="F168" s="2">
        <v>19</v>
      </c>
      <c r="G168" s="4" t="b">
        <v>0</v>
      </c>
      <c r="H168" s="2">
        <v>5</v>
      </c>
      <c r="I168" s="2">
        <v>2</v>
      </c>
      <c r="J168" s="2">
        <v>0.24</v>
      </c>
      <c r="K168" s="2">
        <v>0.2424</v>
      </c>
      <c r="L168" s="2">
        <v>0.65</v>
      </c>
      <c r="M168" s="44">
        <v>0.1343</v>
      </c>
      <c r="N168" s="2">
        <v>1</v>
      </c>
      <c r="O168" s="2">
        <v>102</v>
      </c>
      <c r="P168" s="2">
        <v>103</v>
      </c>
      <c r="Q168" s="1"/>
      <c r="R168" s="1"/>
      <c r="S168" s="1"/>
      <c r="T168" s="1"/>
      <c r="U168" s="1"/>
      <c r="V168" s="1"/>
      <c r="W168" s="1"/>
      <c r="X168" s="1"/>
      <c r="Y168" s="1"/>
    </row>
    <row r="169" spans="1:25" ht="15" thickBot="1" x14ac:dyDescent="0.35">
      <c r="A169" s="2">
        <v>778</v>
      </c>
      <c r="B169" s="3">
        <v>40635</v>
      </c>
      <c r="C169" s="2">
        <v>1</v>
      </c>
      <c r="D169" s="2">
        <v>0</v>
      </c>
      <c r="E169" s="2">
        <v>2</v>
      </c>
      <c r="F169" s="2">
        <v>20</v>
      </c>
      <c r="G169" s="4" t="b">
        <v>0</v>
      </c>
      <c r="H169" s="2">
        <v>5</v>
      </c>
      <c r="I169" s="2">
        <v>2</v>
      </c>
      <c r="J169" s="2">
        <v>0.24</v>
      </c>
      <c r="K169" s="2">
        <v>0.2424</v>
      </c>
      <c r="L169" s="2">
        <v>0.65</v>
      </c>
      <c r="M169" s="44">
        <v>0.16420000000000001</v>
      </c>
      <c r="N169" s="2">
        <v>2</v>
      </c>
      <c r="O169" s="2">
        <v>69</v>
      </c>
      <c r="P169" s="2">
        <v>71</v>
      </c>
      <c r="Q169" s="1"/>
      <c r="R169" s="1"/>
      <c r="S169" s="1"/>
      <c r="T169" s="1"/>
      <c r="U169" s="1"/>
      <c r="V169" s="1"/>
      <c r="W169" s="1"/>
      <c r="X169" s="1"/>
      <c r="Y169" s="1"/>
    </row>
    <row r="170" spans="1:25" ht="15" thickBot="1" x14ac:dyDescent="0.35">
      <c r="A170" s="2">
        <v>779</v>
      </c>
      <c r="B170" s="3">
        <v>40635</v>
      </c>
      <c r="C170" s="2">
        <v>1</v>
      </c>
      <c r="D170" s="2">
        <v>0</v>
      </c>
      <c r="E170" s="2">
        <v>2</v>
      </c>
      <c r="F170" s="2">
        <v>21</v>
      </c>
      <c r="G170" s="4" t="b">
        <v>0</v>
      </c>
      <c r="H170" s="2">
        <v>5</v>
      </c>
      <c r="I170" s="2">
        <v>2</v>
      </c>
      <c r="J170" s="2">
        <v>0.24</v>
      </c>
      <c r="K170" s="2">
        <v>0.2424</v>
      </c>
      <c r="L170" s="2">
        <v>0.7</v>
      </c>
      <c r="M170" s="44">
        <v>0.16420000000000001</v>
      </c>
      <c r="N170" s="2">
        <v>2</v>
      </c>
      <c r="O170" s="2">
        <v>41</v>
      </c>
      <c r="P170" s="2">
        <v>43</v>
      </c>
      <c r="Q170" s="1"/>
      <c r="R170" s="1"/>
      <c r="S170" s="1"/>
      <c r="T170" s="1"/>
      <c r="U170" s="1"/>
      <c r="V170" s="1"/>
      <c r="W170" s="1"/>
      <c r="X170" s="1"/>
      <c r="Y170" s="1"/>
    </row>
    <row r="171" spans="1:25" ht="15" thickBot="1" x14ac:dyDescent="0.35">
      <c r="A171" s="2">
        <v>780</v>
      </c>
      <c r="B171" s="3">
        <v>40635</v>
      </c>
      <c r="C171" s="2">
        <v>1</v>
      </c>
      <c r="D171" s="2">
        <v>0</v>
      </c>
      <c r="E171" s="2">
        <v>2</v>
      </c>
      <c r="F171" s="2">
        <v>22</v>
      </c>
      <c r="G171" s="4" t="b">
        <v>0</v>
      </c>
      <c r="H171" s="2">
        <v>5</v>
      </c>
      <c r="I171" s="2">
        <v>2</v>
      </c>
      <c r="J171" s="2">
        <v>0.24</v>
      </c>
      <c r="K171" s="2">
        <v>0.2424</v>
      </c>
      <c r="L171" s="2">
        <v>0.65</v>
      </c>
      <c r="M171" s="44">
        <v>0.16420000000000001</v>
      </c>
      <c r="N171" s="2">
        <v>1</v>
      </c>
      <c r="O171" s="2">
        <v>45</v>
      </c>
      <c r="P171" s="2">
        <v>46</v>
      </c>
      <c r="Q171" s="1"/>
      <c r="R171" s="1"/>
      <c r="S171" s="1"/>
      <c r="T171" s="1"/>
      <c r="U171" s="1"/>
      <c r="V171" s="1"/>
      <c r="W171" s="1"/>
      <c r="X171" s="1"/>
      <c r="Y171" s="1"/>
    </row>
    <row r="172" spans="1:25" ht="15" thickBot="1" x14ac:dyDescent="0.35">
      <c r="A172" s="2">
        <v>781</v>
      </c>
      <c r="B172" s="3">
        <v>40635</v>
      </c>
      <c r="C172" s="2">
        <v>1</v>
      </c>
      <c r="D172" s="2">
        <v>0</v>
      </c>
      <c r="E172" s="2">
        <v>2</v>
      </c>
      <c r="F172" s="2">
        <v>23</v>
      </c>
      <c r="G172" s="4" t="b">
        <v>0</v>
      </c>
      <c r="H172" s="2">
        <v>5</v>
      </c>
      <c r="I172" s="2">
        <v>2</v>
      </c>
      <c r="J172" s="2">
        <v>0.24</v>
      </c>
      <c r="K172" s="2">
        <v>0.2424</v>
      </c>
      <c r="L172" s="2">
        <v>0.7</v>
      </c>
      <c r="M172" s="44">
        <v>0.1343</v>
      </c>
      <c r="N172" s="2">
        <v>1</v>
      </c>
      <c r="O172" s="2">
        <v>30</v>
      </c>
      <c r="P172" s="2">
        <v>31</v>
      </c>
      <c r="Q172" s="1"/>
      <c r="R172" s="1"/>
      <c r="S172" s="1"/>
      <c r="T172" s="1"/>
      <c r="U172" s="1"/>
      <c r="V172" s="1"/>
      <c r="W172" s="1"/>
      <c r="X172" s="1"/>
      <c r="Y172" s="1"/>
    </row>
    <row r="173" spans="1:25" ht="15" thickBot="1" x14ac:dyDescent="0.35">
      <c r="A173" s="2">
        <v>782</v>
      </c>
      <c r="B173" s="3">
        <v>40665</v>
      </c>
      <c r="C173" s="2">
        <v>1</v>
      </c>
      <c r="D173" s="2">
        <v>0</v>
      </c>
      <c r="E173" s="2">
        <v>2</v>
      </c>
      <c r="F173" s="2">
        <v>0</v>
      </c>
      <c r="G173" s="4" t="b">
        <v>0</v>
      </c>
      <c r="H173" s="2">
        <v>6</v>
      </c>
      <c r="I173" s="2">
        <v>2</v>
      </c>
      <c r="J173" s="2">
        <v>0.24</v>
      </c>
      <c r="K173" s="2">
        <v>0.2424</v>
      </c>
      <c r="L173" s="2">
        <v>0.7</v>
      </c>
      <c r="M173" s="44">
        <v>0.16420000000000001</v>
      </c>
      <c r="N173" s="2">
        <v>3</v>
      </c>
      <c r="O173" s="2">
        <v>36</v>
      </c>
      <c r="P173" s="2">
        <v>39</v>
      </c>
      <c r="Q173" s="1"/>
      <c r="R173" s="1"/>
      <c r="S173" s="1"/>
      <c r="T173" s="1"/>
      <c r="U173" s="1"/>
      <c r="V173" s="1"/>
      <c r="W173" s="1"/>
      <c r="X173" s="1"/>
      <c r="Y173" s="1"/>
    </row>
    <row r="174" spans="1:25" ht="15" thickBot="1" x14ac:dyDescent="0.35">
      <c r="A174" s="2">
        <v>783</v>
      </c>
      <c r="B174" s="3">
        <v>40665</v>
      </c>
      <c r="C174" s="2">
        <v>1</v>
      </c>
      <c r="D174" s="2">
        <v>0</v>
      </c>
      <c r="E174" s="2">
        <v>2</v>
      </c>
      <c r="F174" s="2">
        <v>1</v>
      </c>
      <c r="G174" s="4" t="b">
        <v>0</v>
      </c>
      <c r="H174" s="2">
        <v>6</v>
      </c>
      <c r="I174" s="2">
        <v>2</v>
      </c>
      <c r="J174" s="2">
        <v>0.24</v>
      </c>
      <c r="K174" s="2">
        <v>0.2424</v>
      </c>
      <c r="L174" s="2">
        <v>0.65</v>
      </c>
      <c r="M174" s="44">
        <v>0.16420000000000001</v>
      </c>
      <c r="N174" s="2">
        <v>1</v>
      </c>
      <c r="O174" s="2">
        <v>17</v>
      </c>
      <c r="P174" s="2">
        <v>18</v>
      </c>
      <c r="Q174" s="1"/>
      <c r="R174" s="1"/>
      <c r="S174" s="1"/>
      <c r="T174" s="1"/>
      <c r="U174" s="1"/>
      <c r="V174" s="1"/>
      <c r="W174" s="1"/>
      <c r="X174" s="1"/>
      <c r="Y174" s="1"/>
    </row>
    <row r="175" spans="1:25" ht="15" thickBot="1" x14ac:dyDescent="0.35">
      <c r="A175" s="2">
        <v>784</v>
      </c>
      <c r="B175" s="3">
        <v>40665</v>
      </c>
      <c r="C175" s="2">
        <v>1</v>
      </c>
      <c r="D175" s="2">
        <v>0</v>
      </c>
      <c r="E175" s="2">
        <v>2</v>
      </c>
      <c r="F175" s="2">
        <v>2</v>
      </c>
      <c r="G175" s="4" t="b">
        <v>0</v>
      </c>
      <c r="H175" s="2">
        <v>6</v>
      </c>
      <c r="I175" s="2">
        <v>2</v>
      </c>
      <c r="J175" s="2">
        <v>0.24</v>
      </c>
      <c r="K175" s="2">
        <v>0.2424</v>
      </c>
      <c r="L175" s="2">
        <v>0.75</v>
      </c>
      <c r="M175" s="44">
        <v>0.16420000000000001</v>
      </c>
      <c r="N175" s="2">
        <v>5</v>
      </c>
      <c r="O175" s="2">
        <v>12</v>
      </c>
      <c r="P175" s="2">
        <v>17</v>
      </c>
      <c r="Q175" s="1"/>
      <c r="R175" s="1"/>
      <c r="S175" s="1"/>
      <c r="T175" s="1"/>
      <c r="U175" s="1"/>
      <c r="V175" s="1"/>
      <c r="W175" s="1"/>
      <c r="X175" s="1"/>
      <c r="Y175" s="1"/>
    </row>
    <row r="176" spans="1:25" ht="15" thickBot="1" x14ac:dyDescent="0.35">
      <c r="A176" s="2">
        <v>785</v>
      </c>
      <c r="B176" s="3">
        <v>40665</v>
      </c>
      <c r="C176" s="2">
        <v>1</v>
      </c>
      <c r="D176" s="2">
        <v>0</v>
      </c>
      <c r="E176" s="2">
        <v>2</v>
      </c>
      <c r="F176" s="2">
        <v>3</v>
      </c>
      <c r="G176" s="4" t="b">
        <v>0</v>
      </c>
      <c r="H176" s="2">
        <v>6</v>
      </c>
      <c r="I176" s="2">
        <v>2</v>
      </c>
      <c r="J176" s="2">
        <v>0.24</v>
      </c>
      <c r="K176" s="2">
        <v>0.2424</v>
      </c>
      <c r="L176" s="2">
        <v>0.75</v>
      </c>
      <c r="M176" s="44">
        <v>0.16420000000000001</v>
      </c>
      <c r="N176" s="2">
        <v>1</v>
      </c>
      <c r="O176" s="2">
        <v>10</v>
      </c>
      <c r="P176" s="2">
        <v>11</v>
      </c>
      <c r="Q176" s="1"/>
      <c r="R176" s="1"/>
      <c r="S176" s="1"/>
      <c r="T176" s="1"/>
      <c r="U176" s="1"/>
      <c r="V176" s="1"/>
      <c r="W176" s="1"/>
      <c r="X176" s="1"/>
      <c r="Y176" s="1"/>
    </row>
    <row r="177" spans="1:25" ht="15" thickBot="1" x14ac:dyDescent="0.35">
      <c r="A177" s="2">
        <v>786</v>
      </c>
      <c r="B177" s="3">
        <v>40665</v>
      </c>
      <c r="C177" s="2">
        <v>1</v>
      </c>
      <c r="D177" s="2">
        <v>0</v>
      </c>
      <c r="E177" s="2">
        <v>2</v>
      </c>
      <c r="F177" s="2">
        <v>4</v>
      </c>
      <c r="G177" s="4" t="b">
        <v>0</v>
      </c>
      <c r="H177" s="2">
        <v>6</v>
      </c>
      <c r="I177" s="2">
        <v>3</v>
      </c>
      <c r="J177" s="2">
        <v>0.22</v>
      </c>
      <c r="K177" s="2">
        <v>0.2273</v>
      </c>
      <c r="L177" s="2">
        <v>0.93</v>
      </c>
      <c r="M177" s="44">
        <v>0.1343</v>
      </c>
      <c r="N177" s="2">
        <v>0</v>
      </c>
      <c r="O177" s="2">
        <v>8</v>
      </c>
      <c r="P177" s="2">
        <v>8</v>
      </c>
      <c r="Q177" s="1"/>
      <c r="R177" s="1"/>
      <c r="S177" s="1"/>
      <c r="T177" s="1"/>
      <c r="U177" s="1"/>
      <c r="V177" s="1"/>
      <c r="W177" s="1"/>
      <c r="X177" s="1"/>
      <c r="Y177" s="1"/>
    </row>
    <row r="178" spans="1:25" ht="15" thickBot="1" x14ac:dyDescent="0.35">
      <c r="A178" s="2">
        <v>787</v>
      </c>
      <c r="B178" s="3">
        <v>40665</v>
      </c>
      <c r="C178" s="2">
        <v>1</v>
      </c>
      <c r="D178" s="2">
        <v>0</v>
      </c>
      <c r="E178" s="2">
        <v>2</v>
      </c>
      <c r="F178" s="2">
        <v>5</v>
      </c>
      <c r="G178" s="4" t="b">
        <v>0</v>
      </c>
      <c r="H178" s="2">
        <v>6</v>
      </c>
      <c r="I178" s="2">
        <v>3</v>
      </c>
      <c r="J178" s="2">
        <v>0.2</v>
      </c>
      <c r="K178" s="2">
        <v>0.2273</v>
      </c>
      <c r="L178" s="2">
        <v>1</v>
      </c>
      <c r="M178" s="44">
        <v>8.9599999999999999E-2</v>
      </c>
      <c r="N178" s="2">
        <v>0</v>
      </c>
      <c r="O178" s="2">
        <v>9</v>
      </c>
      <c r="P178" s="2">
        <v>9</v>
      </c>
      <c r="Q178" s="1"/>
      <c r="R178" s="1"/>
      <c r="S178" s="1"/>
      <c r="T178" s="1"/>
      <c r="U178" s="1"/>
      <c r="V178" s="1"/>
      <c r="W178" s="1"/>
      <c r="X178" s="1"/>
      <c r="Y178" s="1"/>
    </row>
    <row r="179" spans="1:25" ht="15" thickBot="1" x14ac:dyDescent="0.35">
      <c r="A179" s="2">
        <v>788</v>
      </c>
      <c r="B179" s="3">
        <v>40665</v>
      </c>
      <c r="C179" s="2">
        <v>1</v>
      </c>
      <c r="D179" s="2">
        <v>0</v>
      </c>
      <c r="E179" s="2">
        <v>2</v>
      </c>
      <c r="F179" s="2">
        <v>6</v>
      </c>
      <c r="G179" s="4" t="b">
        <v>0</v>
      </c>
      <c r="H179" s="2">
        <v>6</v>
      </c>
      <c r="I179" s="2">
        <v>3</v>
      </c>
      <c r="J179" s="2">
        <v>0.2</v>
      </c>
      <c r="K179" s="2">
        <v>0.2576</v>
      </c>
      <c r="L179" s="2">
        <v>1</v>
      </c>
      <c r="M179" s="43">
        <v>0.1794158974358977</v>
      </c>
      <c r="N179" s="2">
        <v>0</v>
      </c>
      <c r="O179" s="2">
        <v>4</v>
      </c>
      <c r="P179" s="2">
        <v>4</v>
      </c>
      <c r="Q179" s="1"/>
      <c r="R179" s="1"/>
      <c r="S179" s="1"/>
      <c r="T179" s="1"/>
      <c r="U179" s="1"/>
      <c r="V179" s="1"/>
      <c r="W179" s="1"/>
      <c r="X179" s="1"/>
      <c r="Y179" s="1"/>
    </row>
    <row r="180" spans="1:25" ht="15" thickBot="1" x14ac:dyDescent="0.35">
      <c r="A180" s="2">
        <v>789</v>
      </c>
      <c r="B180" s="3">
        <v>40665</v>
      </c>
      <c r="C180" s="2">
        <v>1</v>
      </c>
      <c r="D180" s="2">
        <v>0</v>
      </c>
      <c r="E180" s="2">
        <v>2</v>
      </c>
      <c r="F180" s="2">
        <v>7</v>
      </c>
      <c r="G180" s="4" t="b">
        <v>0</v>
      </c>
      <c r="H180" s="2">
        <v>6</v>
      </c>
      <c r="I180" s="2">
        <v>3</v>
      </c>
      <c r="J180" s="2">
        <v>0.22</v>
      </c>
      <c r="K180" s="2">
        <v>0.2576</v>
      </c>
      <c r="L180" s="2">
        <v>0.93</v>
      </c>
      <c r="M180" s="44">
        <v>8.9599999999999999E-2</v>
      </c>
      <c r="N180" s="2">
        <v>0</v>
      </c>
      <c r="O180" s="2">
        <v>4</v>
      </c>
      <c r="P180" s="2">
        <v>4</v>
      </c>
      <c r="Q180" s="1"/>
      <c r="R180" s="1"/>
      <c r="S180" s="1"/>
      <c r="T180" s="1"/>
      <c r="U180" s="1"/>
      <c r="V180" s="1"/>
      <c r="W180" s="1"/>
      <c r="X180" s="1"/>
      <c r="Y180" s="1"/>
    </row>
    <row r="181" spans="1:25" ht="15" thickBot="1" x14ac:dyDescent="0.35">
      <c r="A181" s="2">
        <v>790</v>
      </c>
      <c r="B181" s="3">
        <v>40665</v>
      </c>
      <c r="C181" s="2">
        <v>1</v>
      </c>
      <c r="D181" s="2">
        <v>0</v>
      </c>
      <c r="E181" s="2">
        <v>2</v>
      </c>
      <c r="F181" s="2">
        <v>8</v>
      </c>
      <c r="G181" s="4" t="b">
        <v>0</v>
      </c>
      <c r="H181" s="2">
        <v>6</v>
      </c>
      <c r="I181" s="2">
        <v>3</v>
      </c>
      <c r="J181" s="2">
        <v>0.2</v>
      </c>
      <c r="K181" s="2">
        <v>0.2273</v>
      </c>
      <c r="L181" s="2">
        <v>1</v>
      </c>
      <c r="M181" s="44">
        <v>8.9599999999999999E-2</v>
      </c>
      <c r="N181" s="2">
        <v>0</v>
      </c>
      <c r="O181" s="2">
        <v>10</v>
      </c>
      <c r="P181" s="2">
        <v>10</v>
      </c>
      <c r="Q181" s="1"/>
      <c r="R181" s="1"/>
      <c r="S181" s="1"/>
      <c r="T181" s="1"/>
      <c r="U181" s="1"/>
      <c r="V181" s="1"/>
      <c r="W181" s="1"/>
      <c r="X181" s="1"/>
      <c r="Y181" s="1"/>
    </row>
    <row r="182" spans="1:25" ht="15" thickBot="1" x14ac:dyDescent="0.35">
      <c r="A182" s="2">
        <v>791</v>
      </c>
      <c r="B182" s="3">
        <v>40665</v>
      </c>
      <c r="C182" s="2">
        <v>1</v>
      </c>
      <c r="D182" s="2">
        <v>0</v>
      </c>
      <c r="E182" s="2">
        <v>2</v>
      </c>
      <c r="F182" s="2">
        <v>9</v>
      </c>
      <c r="G182" s="4" t="b">
        <v>0</v>
      </c>
      <c r="H182" s="2">
        <v>6</v>
      </c>
      <c r="I182" s="2">
        <v>3</v>
      </c>
      <c r="J182" s="2">
        <v>0.2</v>
      </c>
      <c r="K182" s="2">
        <v>0.2273</v>
      </c>
      <c r="L182" s="2">
        <v>1</v>
      </c>
      <c r="M182" s="44">
        <v>8.9599999999999999E-2</v>
      </c>
      <c r="N182" s="2">
        <v>3</v>
      </c>
      <c r="O182" s="2">
        <v>17</v>
      </c>
      <c r="P182" s="2">
        <v>20</v>
      </c>
      <c r="Q182" s="1"/>
      <c r="R182" s="1"/>
      <c r="S182" s="1"/>
      <c r="T182" s="1"/>
      <c r="U182" s="1"/>
      <c r="V182" s="1"/>
      <c r="W182" s="1"/>
      <c r="X182" s="1"/>
      <c r="Y182" s="1"/>
    </row>
    <row r="183" spans="1:25" ht="15" thickBot="1" x14ac:dyDescent="0.35">
      <c r="A183" s="2">
        <v>792</v>
      </c>
      <c r="B183" s="3">
        <v>40665</v>
      </c>
      <c r="C183" s="2">
        <v>1</v>
      </c>
      <c r="D183" s="2">
        <v>0</v>
      </c>
      <c r="E183" s="2">
        <v>2</v>
      </c>
      <c r="F183" s="2">
        <v>10</v>
      </c>
      <c r="G183" s="4" t="b">
        <v>0</v>
      </c>
      <c r="H183" s="2">
        <v>6</v>
      </c>
      <c r="I183" s="2">
        <v>3</v>
      </c>
      <c r="J183" s="2">
        <v>0.2</v>
      </c>
      <c r="K183" s="2">
        <v>0.21210000000000001</v>
      </c>
      <c r="L183" s="2">
        <v>1</v>
      </c>
      <c r="M183" s="44">
        <v>0.1343</v>
      </c>
      <c r="N183" s="2">
        <v>3</v>
      </c>
      <c r="O183" s="2">
        <v>31</v>
      </c>
      <c r="P183" s="2">
        <v>34</v>
      </c>
      <c r="Q183" s="1"/>
      <c r="R183" s="1"/>
      <c r="S183" s="1"/>
      <c r="T183" s="1"/>
      <c r="U183" s="1"/>
      <c r="V183" s="1"/>
      <c r="W183" s="1"/>
      <c r="X183" s="1"/>
      <c r="Y183" s="1"/>
    </row>
    <row r="184" spans="1:25" ht="15" thickBot="1" x14ac:dyDescent="0.35">
      <c r="A184" s="2">
        <v>793</v>
      </c>
      <c r="B184" s="3">
        <v>40665</v>
      </c>
      <c r="C184" s="2">
        <v>1</v>
      </c>
      <c r="D184" s="2">
        <v>0</v>
      </c>
      <c r="E184" s="2">
        <v>2</v>
      </c>
      <c r="F184" s="2">
        <v>11</v>
      </c>
      <c r="G184" s="4" t="b">
        <v>0</v>
      </c>
      <c r="H184" s="2">
        <v>6</v>
      </c>
      <c r="I184" s="2">
        <v>3</v>
      </c>
      <c r="J184" s="2">
        <v>0.22</v>
      </c>
      <c r="K184" s="2">
        <v>0.2273</v>
      </c>
      <c r="L184" s="2">
        <v>1</v>
      </c>
      <c r="M184" s="44">
        <v>0.1343</v>
      </c>
      <c r="N184" s="2">
        <v>1</v>
      </c>
      <c r="O184" s="2">
        <v>46</v>
      </c>
      <c r="P184" s="2">
        <v>47</v>
      </c>
      <c r="Q184" s="1"/>
      <c r="R184" s="1"/>
      <c r="S184" s="1"/>
      <c r="T184" s="1"/>
      <c r="U184" s="1"/>
      <c r="V184" s="1"/>
      <c r="W184" s="1"/>
      <c r="X184" s="1"/>
      <c r="Y184" s="1"/>
    </row>
    <row r="185" spans="1:25" ht="15" thickBot="1" x14ac:dyDescent="0.35">
      <c r="A185" s="2">
        <v>794</v>
      </c>
      <c r="B185" s="3">
        <v>40665</v>
      </c>
      <c r="C185" s="2">
        <v>1</v>
      </c>
      <c r="D185" s="2">
        <v>0</v>
      </c>
      <c r="E185" s="2">
        <v>2</v>
      </c>
      <c r="F185" s="2">
        <v>12</v>
      </c>
      <c r="G185" s="4" t="b">
        <v>0</v>
      </c>
      <c r="H185" s="2">
        <v>6</v>
      </c>
      <c r="I185" s="2">
        <v>3</v>
      </c>
      <c r="J185" s="2">
        <v>0.22</v>
      </c>
      <c r="K185" s="2">
        <v>0.2273</v>
      </c>
      <c r="L185" s="2">
        <v>1</v>
      </c>
      <c r="M185" s="44">
        <v>0.16420000000000001</v>
      </c>
      <c r="N185" s="2">
        <v>10</v>
      </c>
      <c r="O185" s="2">
        <v>42</v>
      </c>
      <c r="P185" s="2">
        <v>52</v>
      </c>
      <c r="Q185" s="1"/>
      <c r="R185" s="1"/>
      <c r="S185" s="1"/>
      <c r="T185" s="1"/>
      <c r="U185" s="1"/>
      <c r="V185" s="1"/>
      <c r="W185" s="1"/>
      <c r="X185" s="1"/>
      <c r="Y185" s="1"/>
    </row>
    <row r="186" spans="1:25" ht="15" thickBot="1" x14ac:dyDescent="0.35">
      <c r="A186" s="2">
        <v>795</v>
      </c>
      <c r="B186" s="3">
        <v>40665</v>
      </c>
      <c r="C186" s="2">
        <v>1</v>
      </c>
      <c r="D186" s="2">
        <v>0</v>
      </c>
      <c r="E186" s="2">
        <v>2</v>
      </c>
      <c r="F186" s="2">
        <v>13</v>
      </c>
      <c r="G186" s="4" t="b">
        <v>0</v>
      </c>
      <c r="H186" s="2">
        <v>6</v>
      </c>
      <c r="I186" s="2">
        <v>3</v>
      </c>
      <c r="J186" s="2">
        <v>0.22</v>
      </c>
      <c r="K186" s="2">
        <v>0.2273</v>
      </c>
      <c r="L186" s="2">
        <v>1</v>
      </c>
      <c r="M186" s="44">
        <v>0.16420000000000001</v>
      </c>
      <c r="N186" s="2">
        <v>10</v>
      </c>
      <c r="O186" s="2">
        <v>62</v>
      </c>
      <c r="P186" s="2">
        <v>72</v>
      </c>
      <c r="Q186" s="1"/>
      <c r="R186" s="1"/>
      <c r="S186" s="1"/>
      <c r="T186" s="1"/>
      <c r="U186" s="1"/>
      <c r="V186" s="1"/>
      <c r="W186" s="1"/>
      <c r="X186" s="1"/>
      <c r="Y186" s="1"/>
    </row>
    <row r="187" spans="1:25" ht="15" thickBot="1" x14ac:dyDescent="0.35">
      <c r="A187" s="2">
        <v>796</v>
      </c>
      <c r="B187" s="3">
        <v>40665</v>
      </c>
      <c r="C187" s="2">
        <v>1</v>
      </c>
      <c r="D187" s="2">
        <v>0</v>
      </c>
      <c r="E187" s="2">
        <v>2</v>
      </c>
      <c r="F187" s="2">
        <v>14</v>
      </c>
      <c r="G187" s="4" t="b">
        <v>0</v>
      </c>
      <c r="H187" s="2">
        <v>6</v>
      </c>
      <c r="I187" s="2">
        <v>3</v>
      </c>
      <c r="J187" s="2">
        <v>0.22</v>
      </c>
      <c r="K187" s="2">
        <v>0.2727</v>
      </c>
      <c r="L187" s="2">
        <v>1</v>
      </c>
      <c r="M187" s="43">
        <v>0.1794158974358977</v>
      </c>
      <c r="N187" s="2">
        <v>5</v>
      </c>
      <c r="O187" s="2">
        <v>50</v>
      </c>
      <c r="P187" s="2">
        <v>55</v>
      </c>
      <c r="Q187" s="1"/>
      <c r="R187" s="1"/>
      <c r="S187" s="1"/>
      <c r="T187" s="1"/>
      <c r="U187" s="1"/>
      <c r="V187" s="1"/>
      <c r="W187" s="1"/>
      <c r="X187" s="1"/>
      <c r="Y187" s="1"/>
    </row>
    <row r="188" spans="1:25" ht="15" thickBot="1" x14ac:dyDescent="0.35">
      <c r="A188" s="2">
        <v>797</v>
      </c>
      <c r="B188" s="3">
        <v>40665</v>
      </c>
      <c r="C188" s="2">
        <v>1</v>
      </c>
      <c r="D188" s="2">
        <v>0</v>
      </c>
      <c r="E188" s="2">
        <v>2</v>
      </c>
      <c r="F188" s="2">
        <v>15</v>
      </c>
      <c r="G188" s="4" t="b">
        <v>0</v>
      </c>
      <c r="H188" s="2">
        <v>6</v>
      </c>
      <c r="I188" s="2">
        <v>3</v>
      </c>
      <c r="J188" s="2">
        <v>0.22</v>
      </c>
      <c r="K188" s="2">
        <v>0.2727</v>
      </c>
      <c r="L188" s="2">
        <v>1</v>
      </c>
      <c r="M188" s="43">
        <v>0.1794158974358977</v>
      </c>
      <c r="N188" s="2">
        <v>11</v>
      </c>
      <c r="O188" s="2">
        <v>49</v>
      </c>
      <c r="P188" s="2">
        <v>60</v>
      </c>
      <c r="Q188" s="1"/>
      <c r="R188" s="1"/>
      <c r="S188" s="1"/>
      <c r="T188" s="1"/>
      <c r="U188" s="1"/>
      <c r="V188" s="1"/>
      <c r="W188" s="1"/>
      <c r="X188" s="1"/>
      <c r="Y188" s="1"/>
    </row>
    <row r="189" spans="1:25" ht="15" thickBot="1" x14ac:dyDescent="0.35">
      <c r="A189" s="2">
        <v>798</v>
      </c>
      <c r="B189" s="3">
        <v>40665</v>
      </c>
      <c r="C189" s="2">
        <v>1</v>
      </c>
      <c r="D189" s="2">
        <v>0</v>
      </c>
      <c r="E189" s="2">
        <v>2</v>
      </c>
      <c r="F189" s="2">
        <v>16</v>
      </c>
      <c r="G189" s="4" t="b">
        <v>0</v>
      </c>
      <c r="H189" s="2">
        <v>6</v>
      </c>
      <c r="I189" s="2">
        <v>3</v>
      </c>
      <c r="J189" s="2">
        <v>0.22</v>
      </c>
      <c r="K189" s="2">
        <v>0.2273</v>
      </c>
      <c r="L189" s="2">
        <v>1</v>
      </c>
      <c r="M189" s="44">
        <v>0.1343</v>
      </c>
      <c r="N189" s="2">
        <v>8</v>
      </c>
      <c r="O189" s="2">
        <v>63</v>
      </c>
      <c r="P189" s="2">
        <v>71</v>
      </c>
      <c r="Q189" s="1"/>
      <c r="R189" s="1"/>
      <c r="S189" s="1"/>
      <c r="T189" s="1"/>
      <c r="U189" s="1"/>
      <c r="V189" s="1"/>
      <c r="W189" s="1"/>
      <c r="X189" s="1"/>
      <c r="Y189" s="1"/>
    </row>
    <row r="190" spans="1:25" ht="15" thickBot="1" x14ac:dyDescent="0.35">
      <c r="A190" s="2">
        <v>799</v>
      </c>
      <c r="B190" s="3">
        <v>40665</v>
      </c>
      <c r="C190" s="2">
        <v>1</v>
      </c>
      <c r="D190" s="2">
        <v>0</v>
      </c>
      <c r="E190" s="2">
        <v>2</v>
      </c>
      <c r="F190" s="2">
        <v>17</v>
      </c>
      <c r="G190" s="4" t="b">
        <v>0</v>
      </c>
      <c r="H190" s="2">
        <v>6</v>
      </c>
      <c r="I190" s="2">
        <v>2</v>
      </c>
      <c r="J190" s="2">
        <v>0.24</v>
      </c>
      <c r="K190" s="2">
        <v>0.21210000000000001</v>
      </c>
      <c r="L190" s="2">
        <v>1</v>
      </c>
      <c r="M190" s="44">
        <v>0.28360000000000002</v>
      </c>
      <c r="N190" s="2">
        <v>14</v>
      </c>
      <c r="O190" s="2">
        <v>64</v>
      </c>
      <c r="P190" s="2">
        <v>78</v>
      </c>
      <c r="Q190" s="1"/>
      <c r="R190" s="1"/>
      <c r="S190" s="1"/>
      <c r="T190" s="1"/>
      <c r="U190" s="1"/>
      <c r="V190" s="1"/>
      <c r="W190" s="1"/>
      <c r="X190" s="1"/>
      <c r="Y190" s="1"/>
    </row>
    <row r="191" spans="1:25" ht="15" thickBot="1" x14ac:dyDescent="0.35">
      <c r="A191" s="2">
        <v>800</v>
      </c>
      <c r="B191" s="3">
        <v>40665</v>
      </c>
      <c r="C191" s="2">
        <v>1</v>
      </c>
      <c r="D191" s="2">
        <v>0</v>
      </c>
      <c r="E191" s="2">
        <v>2</v>
      </c>
      <c r="F191" s="2">
        <v>18</v>
      </c>
      <c r="G191" s="4" t="b">
        <v>0</v>
      </c>
      <c r="H191" s="2">
        <v>6</v>
      </c>
      <c r="I191" s="2">
        <v>2</v>
      </c>
      <c r="J191" s="2">
        <v>0.28000000000000003</v>
      </c>
      <c r="K191" s="2">
        <v>0.2424</v>
      </c>
      <c r="L191" s="2">
        <v>0.93</v>
      </c>
      <c r="M191" s="44">
        <v>0.44779999999999998</v>
      </c>
      <c r="N191" s="2">
        <v>2</v>
      </c>
      <c r="O191" s="2">
        <v>81</v>
      </c>
      <c r="P191" s="2">
        <v>83</v>
      </c>
      <c r="Q191" s="1"/>
      <c r="R191" s="1"/>
      <c r="S191" s="1"/>
      <c r="T191" s="1"/>
      <c r="U191" s="1"/>
      <c r="V191" s="1"/>
      <c r="W191" s="1"/>
      <c r="X191" s="1"/>
      <c r="Y191" s="1"/>
    </row>
    <row r="192" spans="1:25" ht="15" thickBot="1" x14ac:dyDescent="0.35">
      <c r="A192" s="2">
        <v>801</v>
      </c>
      <c r="B192" s="3">
        <v>40665</v>
      </c>
      <c r="C192" s="2">
        <v>1</v>
      </c>
      <c r="D192" s="2">
        <v>0</v>
      </c>
      <c r="E192" s="2">
        <v>2</v>
      </c>
      <c r="F192" s="2">
        <v>19</v>
      </c>
      <c r="G192" s="4" t="b">
        <v>0</v>
      </c>
      <c r="H192" s="2">
        <v>6</v>
      </c>
      <c r="I192" s="2">
        <v>2</v>
      </c>
      <c r="J192" s="2">
        <v>0.28000000000000003</v>
      </c>
      <c r="K192" s="2">
        <v>0.2424</v>
      </c>
      <c r="L192" s="2">
        <v>0.93</v>
      </c>
      <c r="M192" s="44">
        <v>0.44779999999999998</v>
      </c>
      <c r="N192" s="2">
        <v>6</v>
      </c>
      <c r="O192" s="2">
        <v>78</v>
      </c>
      <c r="P192" s="2">
        <v>84</v>
      </c>
      <c r="Q192" s="1"/>
      <c r="R192" s="1"/>
      <c r="S192" s="1"/>
      <c r="T192" s="1"/>
      <c r="U192" s="1"/>
      <c r="V192" s="1"/>
      <c r="W192" s="1"/>
      <c r="X192" s="1"/>
      <c r="Y192" s="1"/>
    </row>
    <row r="193" spans="1:25" ht="15" thickBot="1" x14ac:dyDescent="0.35">
      <c r="A193" s="2">
        <v>802</v>
      </c>
      <c r="B193" s="3">
        <v>40665</v>
      </c>
      <c r="C193" s="2">
        <v>1</v>
      </c>
      <c r="D193" s="2">
        <v>0</v>
      </c>
      <c r="E193" s="2">
        <v>2</v>
      </c>
      <c r="F193" s="2">
        <v>20</v>
      </c>
      <c r="G193" s="4" t="b">
        <v>0</v>
      </c>
      <c r="H193" s="2">
        <v>6</v>
      </c>
      <c r="I193" s="2">
        <v>1</v>
      </c>
      <c r="J193" s="2">
        <v>0.3</v>
      </c>
      <c r="K193" s="2">
        <v>0.28789999999999999</v>
      </c>
      <c r="L193" s="2">
        <v>0.87</v>
      </c>
      <c r="M193" s="44">
        <v>0.25369999999999998</v>
      </c>
      <c r="N193" s="2">
        <v>5</v>
      </c>
      <c r="O193" s="2">
        <v>64</v>
      </c>
      <c r="P193" s="2">
        <v>69</v>
      </c>
      <c r="Q193" s="1"/>
      <c r="R193" s="1"/>
      <c r="S193" s="1"/>
      <c r="T193" s="1"/>
      <c r="U193" s="1"/>
      <c r="V193" s="1"/>
      <c r="W193" s="1"/>
      <c r="X193" s="1"/>
      <c r="Y193" s="1"/>
    </row>
    <row r="194" spans="1:25" ht="15" thickBot="1" x14ac:dyDescent="0.35">
      <c r="A194" s="2">
        <v>803</v>
      </c>
      <c r="B194" s="3">
        <v>40665</v>
      </c>
      <c r="C194" s="2">
        <v>1</v>
      </c>
      <c r="D194" s="2">
        <v>0</v>
      </c>
      <c r="E194" s="2">
        <v>2</v>
      </c>
      <c r="F194" s="2">
        <v>21</v>
      </c>
      <c r="G194" s="4" t="b">
        <v>0</v>
      </c>
      <c r="H194" s="2">
        <v>6</v>
      </c>
      <c r="I194" s="2">
        <v>1</v>
      </c>
      <c r="J194" s="2">
        <v>0.26</v>
      </c>
      <c r="K194" s="2">
        <v>0.2576</v>
      </c>
      <c r="L194" s="2">
        <v>1</v>
      </c>
      <c r="M194" s="44">
        <v>0.19400000000000001</v>
      </c>
      <c r="N194" s="2">
        <v>3</v>
      </c>
      <c r="O194" s="2">
        <v>53</v>
      </c>
      <c r="P194" s="2">
        <v>56</v>
      </c>
      <c r="Q194" s="1"/>
      <c r="R194" s="1"/>
      <c r="S194" s="1"/>
      <c r="T194" s="1"/>
      <c r="U194" s="1"/>
      <c r="V194" s="1"/>
      <c r="W194" s="1"/>
      <c r="X194" s="1"/>
      <c r="Y194" s="1"/>
    </row>
    <row r="195" spans="1:25" ht="15" thickBot="1" x14ac:dyDescent="0.35">
      <c r="A195" s="2">
        <v>804</v>
      </c>
      <c r="B195" s="3">
        <v>40665</v>
      </c>
      <c r="C195" s="2">
        <v>1</v>
      </c>
      <c r="D195" s="2">
        <v>0</v>
      </c>
      <c r="E195" s="2">
        <v>2</v>
      </c>
      <c r="F195" s="2">
        <v>22</v>
      </c>
      <c r="G195" s="4" t="b">
        <v>0</v>
      </c>
      <c r="H195" s="2">
        <v>6</v>
      </c>
      <c r="I195" s="2">
        <v>1</v>
      </c>
      <c r="J195" s="2">
        <v>0.26</v>
      </c>
      <c r="K195" s="2">
        <v>0.2727</v>
      </c>
      <c r="L195" s="2">
        <v>0.93</v>
      </c>
      <c r="M195" s="44">
        <v>0.1343</v>
      </c>
      <c r="N195" s="2">
        <v>2</v>
      </c>
      <c r="O195" s="2">
        <v>43</v>
      </c>
      <c r="P195" s="2">
        <v>45</v>
      </c>
      <c r="Q195" s="1"/>
      <c r="R195" s="1"/>
      <c r="S195" s="1"/>
      <c r="T195" s="1"/>
      <c r="U195" s="1"/>
      <c r="V195" s="1"/>
      <c r="W195" s="1"/>
      <c r="X195" s="1"/>
      <c r="Y195" s="1"/>
    </row>
    <row r="196" spans="1:25" ht="15" thickBot="1" x14ac:dyDescent="0.35">
      <c r="A196" s="2">
        <v>805</v>
      </c>
      <c r="B196" s="3">
        <v>40665</v>
      </c>
      <c r="C196" s="2">
        <v>1</v>
      </c>
      <c r="D196" s="2">
        <v>0</v>
      </c>
      <c r="E196" s="2">
        <v>2</v>
      </c>
      <c r="F196" s="2">
        <v>23</v>
      </c>
      <c r="G196" s="4" t="b">
        <v>0</v>
      </c>
      <c r="H196" s="2">
        <v>6</v>
      </c>
      <c r="I196" s="2">
        <v>1</v>
      </c>
      <c r="J196" s="2">
        <v>0.26</v>
      </c>
      <c r="K196" s="2">
        <v>0.2576</v>
      </c>
      <c r="L196" s="2">
        <v>0.93</v>
      </c>
      <c r="M196" s="44">
        <v>0.22389999999999999</v>
      </c>
      <c r="N196" s="2">
        <v>7</v>
      </c>
      <c r="O196" s="2">
        <v>52</v>
      </c>
      <c r="P196" s="2">
        <v>59</v>
      </c>
      <c r="Q196" s="1"/>
      <c r="R196" s="1"/>
      <c r="S196" s="1"/>
      <c r="T196" s="1"/>
      <c r="U196" s="1"/>
      <c r="V196" s="1"/>
      <c r="W196" s="1"/>
      <c r="X196" s="1"/>
      <c r="Y196" s="1"/>
    </row>
    <row r="197" spans="1:25" ht="15" thickBot="1" x14ac:dyDescent="0.35">
      <c r="A197" s="2">
        <v>806</v>
      </c>
      <c r="B197" s="3">
        <v>40696</v>
      </c>
      <c r="C197" s="2">
        <v>1</v>
      </c>
      <c r="D197" s="2">
        <v>0</v>
      </c>
      <c r="E197" s="2">
        <v>2</v>
      </c>
      <c r="F197" s="2">
        <v>0</v>
      </c>
      <c r="G197" s="4" t="b">
        <v>0</v>
      </c>
      <c r="H197" s="2">
        <v>0</v>
      </c>
      <c r="I197" s="2">
        <v>1</v>
      </c>
      <c r="J197" s="2">
        <v>0.26</v>
      </c>
      <c r="K197" s="2">
        <v>0.2576</v>
      </c>
      <c r="L197" s="2">
        <v>0.7</v>
      </c>
      <c r="M197" s="44">
        <v>0.19400000000000001</v>
      </c>
      <c r="N197" s="2">
        <v>2</v>
      </c>
      <c r="O197" s="2">
        <v>37</v>
      </c>
      <c r="P197" s="2">
        <v>39</v>
      </c>
      <c r="Q197" s="1"/>
      <c r="R197" s="1"/>
      <c r="S197" s="1"/>
      <c r="T197" s="1"/>
      <c r="U197" s="1"/>
      <c r="V197" s="1"/>
      <c r="W197" s="1"/>
      <c r="X197" s="1"/>
      <c r="Y197" s="1"/>
    </row>
    <row r="198" spans="1:25" ht="15" thickBot="1" x14ac:dyDescent="0.35">
      <c r="A198" s="2">
        <v>807</v>
      </c>
      <c r="B198" s="3">
        <v>40696</v>
      </c>
      <c r="C198" s="2">
        <v>1</v>
      </c>
      <c r="D198" s="2">
        <v>0</v>
      </c>
      <c r="E198" s="2">
        <v>2</v>
      </c>
      <c r="F198" s="2">
        <v>1</v>
      </c>
      <c r="G198" s="4" t="b">
        <v>0</v>
      </c>
      <c r="H198" s="2">
        <v>0</v>
      </c>
      <c r="I198" s="2">
        <v>1</v>
      </c>
      <c r="J198" s="2">
        <v>0.26</v>
      </c>
      <c r="K198" s="2">
        <v>0.2273</v>
      </c>
      <c r="L198" s="2">
        <v>0.65</v>
      </c>
      <c r="M198" s="44">
        <v>0.41789999999999999</v>
      </c>
      <c r="N198" s="2">
        <v>4</v>
      </c>
      <c r="O198" s="2">
        <v>40</v>
      </c>
      <c r="P198" s="2">
        <v>44</v>
      </c>
      <c r="Q198" s="1"/>
      <c r="R198" s="1"/>
      <c r="S198" s="1"/>
      <c r="T198" s="1"/>
      <c r="U198" s="1"/>
      <c r="V198" s="1"/>
      <c r="W198" s="1"/>
      <c r="X198" s="1"/>
      <c r="Y198" s="1"/>
    </row>
    <row r="199" spans="1:25" ht="15" thickBot="1" x14ac:dyDescent="0.35">
      <c r="A199" s="2">
        <v>808</v>
      </c>
      <c r="B199" s="3">
        <v>40696</v>
      </c>
      <c r="C199" s="2">
        <v>1</v>
      </c>
      <c r="D199" s="2">
        <v>0</v>
      </c>
      <c r="E199" s="2">
        <v>2</v>
      </c>
      <c r="F199" s="2">
        <v>2</v>
      </c>
      <c r="G199" s="4" t="b">
        <v>0</v>
      </c>
      <c r="H199" s="2">
        <v>0</v>
      </c>
      <c r="I199" s="2">
        <v>1</v>
      </c>
      <c r="J199" s="2">
        <v>0.26</v>
      </c>
      <c r="K199" s="2">
        <v>0.2273</v>
      </c>
      <c r="L199" s="2">
        <v>0.6</v>
      </c>
      <c r="M199" s="44">
        <v>0.32840000000000003</v>
      </c>
      <c r="N199" s="2">
        <v>0</v>
      </c>
      <c r="O199" s="2">
        <v>20</v>
      </c>
      <c r="P199" s="2">
        <v>20</v>
      </c>
      <c r="Q199" s="1"/>
      <c r="R199" s="1"/>
      <c r="S199" s="1"/>
      <c r="T199" s="1"/>
      <c r="U199" s="1"/>
      <c r="V199" s="1"/>
      <c r="W199" s="1"/>
      <c r="X199" s="1"/>
      <c r="Y199" s="1"/>
    </row>
    <row r="200" spans="1:25" ht="15" thickBot="1" x14ac:dyDescent="0.35">
      <c r="A200" s="2">
        <v>809</v>
      </c>
      <c r="B200" s="3">
        <v>40696</v>
      </c>
      <c r="C200" s="2">
        <v>1</v>
      </c>
      <c r="D200" s="2">
        <v>0</v>
      </c>
      <c r="E200" s="2">
        <v>2</v>
      </c>
      <c r="F200" s="2">
        <v>3</v>
      </c>
      <c r="G200" s="4" t="b">
        <v>0</v>
      </c>
      <c r="H200" s="2">
        <v>0</v>
      </c>
      <c r="I200" s="2">
        <v>1</v>
      </c>
      <c r="J200" s="2">
        <v>0.26</v>
      </c>
      <c r="K200" s="2">
        <v>0.28789999999999999</v>
      </c>
      <c r="L200" s="2">
        <v>0.6</v>
      </c>
      <c r="M200" s="44">
        <v>8.9599999999999999E-2</v>
      </c>
      <c r="N200" s="2">
        <v>3</v>
      </c>
      <c r="O200" s="2">
        <v>10</v>
      </c>
      <c r="P200" s="2">
        <v>13</v>
      </c>
      <c r="Q200" s="1"/>
      <c r="R200" s="1"/>
      <c r="S200" s="1"/>
      <c r="T200" s="1"/>
      <c r="U200" s="1"/>
      <c r="V200" s="1"/>
      <c r="W200" s="1"/>
      <c r="X200" s="1"/>
      <c r="Y200" s="1"/>
    </row>
    <row r="201" spans="1:25" ht="15" thickBot="1" x14ac:dyDescent="0.35">
      <c r="A201" s="2">
        <v>810</v>
      </c>
      <c r="B201" s="3">
        <v>40696</v>
      </c>
      <c r="C201" s="2">
        <v>1</v>
      </c>
      <c r="D201" s="2">
        <v>0</v>
      </c>
      <c r="E201" s="2">
        <v>2</v>
      </c>
      <c r="F201" s="2">
        <v>4</v>
      </c>
      <c r="G201" s="4" t="b">
        <v>0</v>
      </c>
      <c r="H201" s="2">
        <v>0</v>
      </c>
      <c r="I201" s="2">
        <v>1</v>
      </c>
      <c r="J201" s="2">
        <v>0.26</v>
      </c>
      <c r="K201" s="2">
        <v>0.2273</v>
      </c>
      <c r="L201" s="2">
        <v>0.6</v>
      </c>
      <c r="M201" s="44">
        <v>0.35820000000000002</v>
      </c>
      <c r="N201" s="2">
        <v>0</v>
      </c>
      <c r="O201" s="2">
        <v>2</v>
      </c>
      <c r="P201" s="2">
        <v>2</v>
      </c>
      <c r="Q201" s="1"/>
      <c r="R201" s="1"/>
      <c r="S201" s="1"/>
      <c r="T201" s="1"/>
      <c r="U201" s="1"/>
      <c r="V201" s="1"/>
      <c r="W201" s="1"/>
      <c r="X201" s="1"/>
      <c r="Y201" s="1"/>
    </row>
    <row r="202" spans="1:25" ht="15" thickBot="1" x14ac:dyDescent="0.35">
      <c r="A202" s="2">
        <v>811</v>
      </c>
      <c r="B202" s="3">
        <v>40696</v>
      </c>
      <c r="C202" s="2">
        <v>1</v>
      </c>
      <c r="D202" s="2">
        <v>0</v>
      </c>
      <c r="E202" s="2">
        <v>2</v>
      </c>
      <c r="F202" s="2">
        <v>5</v>
      </c>
      <c r="G202" s="4" t="b">
        <v>0</v>
      </c>
      <c r="H202" s="2">
        <v>0</v>
      </c>
      <c r="I202" s="2">
        <v>1</v>
      </c>
      <c r="J202" s="2">
        <v>0.26</v>
      </c>
      <c r="K202" s="2">
        <v>0.2576</v>
      </c>
      <c r="L202" s="2">
        <v>0.6</v>
      </c>
      <c r="M202" s="44">
        <v>0.22389999999999999</v>
      </c>
      <c r="N202" s="2">
        <v>0</v>
      </c>
      <c r="O202" s="2">
        <v>1</v>
      </c>
      <c r="P202" s="2">
        <v>1</v>
      </c>
      <c r="Q202" s="1"/>
      <c r="R202" s="1"/>
      <c r="S202" s="1"/>
      <c r="T202" s="1"/>
      <c r="U202" s="1"/>
      <c r="V202" s="1"/>
      <c r="W202" s="1"/>
      <c r="X202" s="1"/>
      <c r="Y202" s="1"/>
    </row>
    <row r="203" spans="1:25" ht="15" thickBot="1" x14ac:dyDescent="0.35">
      <c r="A203" s="2">
        <v>812</v>
      </c>
      <c r="B203" s="3">
        <v>40696</v>
      </c>
      <c r="C203" s="2">
        <v>1</v>
      </c>
      <c r="D203" s="2">
        <v>0</v>
      </c>
      <c r="E203" s="2">
        <v>2</v>
      </c>
      <c r="F203" s="2">
        <v>6</v>
      </c>
      <c r="G203" s="4" t="b">
        <v>0</v>
      </c>
      <c r="H203" s="2">
        <v>0</v>
      </c>
      <c r="I203" s="2">
        <v>1</v>
      </c>
      <c r="J203" s="2">
        <v>0.26</v>
      </c>
      <c r="K203" s="2">
        <v>0.2576</v>
      </c>
      <c r="L203" s="2">
        <v>0.6</v>
      </c>
      <c r="M203" s="44">
        <v>0.22389999999999999</v>
      </c>
      <c r="N203" s="2">
        <v>0</v>
      </c>
      <c r="O203" s="2">
        <v>1</v>
      </c>
      <c r="P203" s="2">
        <v>1</v>
      </c>
      <c r="Q203" s="1"/>
      <c r="R203" s="1"/>
      <c r="S203" s="1"/>
      <c r="T203" s="1"/>
      <c r="U203" s="1"/>
      <c r="V203" s="1"/>
      <c r="W203" s="1"/>
      <c r="X203" s="1"/>
      <c r="Y203" s="1"/>
    </row>
    <row r="204" spans="1:25" ht="15" thickBot="1" x14ac:dyDescent="0.35">
      <c r="A204" s="2">
        <v>813</v>
      </c>
      <c r="B204" s="3">
        <v>40696</v>
      </c>
      <c r="C204" s="2">
        <v>1</v>
      </c>
      <c r="D204" s="2">
        <v>0</v>
      </c>
      <c r="E204" s="2">
        <v>2</v>
      </c>
      <c r="F204" s="2">
        <v>7</v>
      </c>
      <c r="G204" s="4" t="b">
        <v>0</v>
      </c>
      <c r="H204" s="2">
        <v>0</v>
      </c>
      <c r="I204" s="2">
        <v>1</v>
      </c>
      <c r="J204" s="2">
        <v>0.24</v>
      </c>
      <c r="K204" s="2">
        <v>0.2424</v>
      </c>
      <c r="L204" s="2">
        <v>0.65</v>
      </c>
      <c r="M204" s="44">
        <v>0.16420000000000001</v>
      </c>
      <c r="N204" s="2">
        <v>0</v>
      </c>
      <c r="O204" s="2">
        <v>8</v>
      </c>
      <c r="P204" s="2">
        <v>8</v>
      </c>
      <c r="Q204" s="1"/>
      <c r="R204" s="1"/>
      <c r="S204" s="1"/>
      <c r="T204" s="1"/>
      <c r="U204" s="1"/>
      <c r="V204" s="1"/>
      <c r="W204" s="1"/>
      <c r="X204" s="1"/>
      <c r="Y204" s="1"/>
    </row>
    <row r="205" spans="1:25" ht="15" thickBot="1" x14ac:dyDescent="0.35">
      <c r="A205" s="2">
        <v>814</v>
      </c>
      <c r="B205" s="3">
        <v>40696</v>
      </c>
      <c r="C205" s="2">
        <v>1</v>
      </c>
      <c r="D205" s="2">
        <v>0</v>
      </c>
      <c r="E205" s="2">
        <v>2</v>
      </c>
      <c r="F205" s="2">
        <v>8</v>
      </c>
      <c r="G205" s="4" t="b">
        <v>0</v>
      </c>
      <c r="H205" s="2">
        <v>0</v>
      </c>
      <c r="I205" s="2">
        <v>1</v>
      </c>
      <c r="J205" s="2">
        <v>0.24</v>
      </c>
      <c r="K205" s="2">
        <v>0.2576</v>
      </c>
      <c r="L205" s="2">
        <v>0.65</v>
      </c>
      <c r="M205" s="44">
        <v>0.1045</v>
      </c>
      <c r="N205" s="2">
        <v>2</v>
      </c>
      <c r="O205" s="2">
        <v>21</v>
      </c>
      <c r="P205" s="2">
        <v>23</v>
      </c>
      <c r="Q205" s="1"/>
      <c r="R205" s="1"/>
      <c r="S205" s="1"/>
      <c r="T205" s="1"/>
      <c r="U205" s="1"/>
      <c r="V205" s="1"/>
      <c r="W205" s="1"/>
      <c r="X205" s="1"/>
      <c r="Y205" s="1"/>
    </row>
    <row r="206" spans="1:25" ht="15" thickBot="1" x14ac:dyDescent="0.35">
      <c r="A206" s="2">
        <v>815</v>
      </c>
      <c r="B206" s="3">
        <v>40696</v>
      </c>
      <c r="C206" s="2">
        <v>1</v>
      </c>
      <c r="D206" s="2">
        <v>0</v>
      </c>
      <c r="E206" s="2">
        <v>2</v>
      </c>
      <c r="F206" s="2">
        <v>9</v>
      </c>
      <c r="G206" s="4" t="b">
        <v>0</v>
      </c>
      <c r="H206" s="2">
        <v>0</v>
      </c>
      <c r="I206" s="2">
        <v>1</v>
      </c>
      <c r="J206" s="2">
        <v>0.28000000000000003</v>
      </c>
      <c r="K206" s="2">
        <v>0.28789999999999999</v>
      </c>
      <c r="L206" s="2">
        <v>0.56000000000000005</v>
      </c>
      <c r="M206" s="44">
        <v>0.1045</v>
      </c>
      <c r="N206" s="2">
        <v>7</v>
      </c>
      <c r="O206" s="2">
        <v>38</v>
      </c>
      <c r="P206" s="2">
        <v>45</v>
      </c>
      <c r="Q206" s="1"/>
      <c r="R206" s="1"/>
      <c r="S206" s="1"/>
      <c r="T206" s="1"/>
      <c r="U206" s="1"/>
      <c r="V206" s="1"/>
      <c r="W206" s="1"/>
      <c r="X206" s="1"/>
      <c r="Y206" s="1"/>
    </row>
    <row r="207" spans="1:25" ht="15" thickBot="1" x14ac:dyDescent="0.35">
      <c r="A207" s="2">
        <v>816</v>
      </c>
      <c r="B207" s="3">
        <v>40696</v>
      </c>
      <c r="C207" s="2">
        <v>1</v>
      </c>
      <c r="D207" s="2">
        <v>0</v>
      </c>
      <c r="E207" s="2">
        <v>2</v>
      </c>
      <c r="F207" s="2">
        <v>10</v>
      </c>
      <c r="G207" s="4" t="b">
        <v>0</v>
      </c>
      <c r="H207" s="2">
        <v>0</v>
      </c>
      <c r="I207" s="2">
        <v>1</v>
      </c>
      <c r="J207" s="2">
        <v>0.3</v>
      </c>
      <c r="K207" s="2">
        <v>0.28789999999999999</v>
      </c>
      <c r="L207" s="2">
        <v>0.52</v>
      </c>
      <c r="M207" s="44">
        <v>0.25369999999999998</v>
      </c>
      <c r="N207" s="2">
        <v>15</v>
      </c>
      <c r="O207" s="2">
        <v>74</v>
      </c>
      <c r="P207" s="2">
        <v>89</v>
      </c>
      <c r="Q207" s="1"/>
      <c r="R207" s="1"/>
      <c r="S207" s="1"/>
      <c r="T207" s="1"/>
      <c r="U207" s="1"/>
      <c r="V207" s="1"/>
      <c r="W207" s="1"/>
      <c r="X207" s="1"/>
      <c r="Y207" s="1"/>
    </row>
    <row r="208" spans="1:25" ht="15" thickBot="1" x14ac:dyDescent="0.35">
      <c r="A208" s="2">
        <v>817</v>
      </c>
      <c r="B208" s="3">
        <v>40696</v>
      </c>
      <c r="C208" s="2">
        <v>1</v>
      </c>
      <c r="D208" s="2">
        <v>0</v>
      </c>
      <c r="E208" s="2">
        <v>2</v>
      </c>
      <c r="F208" s="2">
        <v>11</v>
      </c>
      <c r="G208" s="4" t="b">
        <v>0</v>
      </c>
      <c r="H208" s="2">
        <v>0</v>
      </c>
      <c r="I208" s="2">
        <v>1</v>
      </c>
      <c r="J208" s="2">
        <v>0.32</v>
      </c>
      <c r="K208" s="2">
        <v>0.30299999999999999</v>
      </c>
      <c r="L208" s="2">
        <v>0.49</v>
      </c>
      <c r="M208" s="44">
        <v>0.25369999999999998</v>
      </c>
      <c r="N208" s="2">
        <v>28</v>
      </c>
      <c r="O208" s="2">
        <v>89</v>
      </c>
      <c r="P208" s="2">
        <v>117</v>
      </c>
      <c r="Q208" s="1"/>
      <c r="R208" s="1"/>
      <c r="S208" s="1"/>
      <c r="T208" s="1"/>
      <c r="U208" s="1"/>
      <c r="V208" s="1"/>
      <c r="W208" s="1"/>
      <c r="X208" s="1"/>
      <c r="Y208" s="1"/>
    </row>
    <row r="209" spans="1:25" ht="15" thickBot="1" x14ac:dyDescent="0.35">
      <c r="A209" s="2">
        <v>818</v>
      </c>
      <c r="B209" s="3">
        <v>40696</v>
      </c>
      <c r="C209" s="2">
        <v>1</v>
      </c>
      <c r="D209" s="2">
        <v>0</v>
      </c>
      <c r="E209" s="2">
        <v>2</v>
      </c>
      <c r="F209" s="2">
        <v>12</v>
      </c>
      <c r="G209" s="4" t="b">
        <v>0</v>
      </c>
      <c r="H209" s="2">
        <v>0</v>
      </c>
      <c r="I209" s="2">
        <v>1</v>
      </c>
      <c r="J209" s="2">
        <v>0.34</v>
      </c>
      <c r="K209" s="2">
        <v>0.33329999999999999</v>
      </c>
      <c r="L209" s="2">
        <v>0.46</v>
      </c>
      <c r="M209" s="43">
        <v>0.1794158974358977</v>
      </c>
      <c r="N209" s="2">
        <v>48</v>
      </c>
      <c r="O209" s="2">
        <v>126</v>
      </c>
      <c r="P209" s="2">
        <v>174</v>
      </c>
      <c r="Q209" s="1"/>
      <c r="R209" s="1"/>
      <c r="S209" s="1"/>
      <c r="T209" s="1"/>
      <c r="U209" s="1"/>
      <c r="V209" s="1"/>
      <c r="W209" s="1"/>
      <c r="X209" s="1"/>
      <c r="Y209" s="1"/>
    </row>
    <row r="210" spans="1:25" ht="15" thickBot="1" x14ac:dyDescent="0.35">
      <c r="A210" s="2">
        <v>819</v>
      </c>
      <c r="B210" s="3">
        <v>40696</v>
      </c>
      <c r="C210" s="2">
        <v>1</v>
      </c>
      <c r="D210" s="2">
        <v>0</v>
      </c>
      <c r="E210" s="2">
        <v>2</v>
      </c>
      <c r="F210" s="2">
        <v>13</v>
      </c>
      <c r="G210" s="4" t="b">
        <v>0</v>
      </c>
      <c r="H210" s="2">
        <v>0</v>
      </c>
      <c r="I210" s="2">
        <v>1</v>
      </c>
      <c r="J210" s="2">
        <v>0.34</v>
      </c>
      <c r="K210" s="2">
        <v>0.36359999999999998</v>
      </c>
      <c r="L210" s="2">
        <v>0.46</v>
      </c>
      <c r="M210" s="43">
        <v>0.1794158974358977</v>
      </c>
      <c r="N210" s="2">
        <v>47</v>
      </c>
      <c r="O210" s="2">
        <v>135</v>
      </c>
      <c r="P210" s="2">
        <v>182</v>
      </c>
      <c r="Q210" s="1"/>
      <c r="R210" s="1"/>
      <c r="S210" s="1"/>
      <c r="T210" s="1"/>
      <c r="U210" s="1"/>
      <c r="V210" s="1"/>
      <c r="W210" s="1"/>
      <c r="X210" s="1"/>
      <c r="Y210" s="1"/>
    </row>
    <row r="211" spans="1:25" ht="15" thickBot="1" x14ac:dyDescent="0.35">
      <c r="A211" s="2">
        <v>820</v>
      </c>
      <c r="B211" s="3">
        <v>40696</v>
      </c>
      <c r="C211" s="2">
        <v>1</v>
      </c>
      <c r="D211" s="2">
        <v>0</v>
      </c>
      <c r="E211" s="2">
        <v>2</v>
      </c>
      <c r="F211" s="2">
        <v>14</v>
      </c>
      <c r="G211" s="4" t="b">
        <v>0</v>
      </c>
      <c r="H211" s="2">
        <v>0</v>
      </c>
      <c r="I211" s="2">
        <v>1</v>
      </c>
      <c r="J211" s="2">
        <v>0.34</v>
      </c>
      <c r="K211" s="2">
        <v>0.34849999999999998</v>
      </c>
      <c r="L211" s="2">
        <v>0.46</v>
      </c>
      <c r="M211" s="44">
        <v>8.9599999999999999E-2</v>
      </c>
      <c r="N211" s="2">
        <v>47</v>
      </c>
      <c r="O211" s="2">
        <v>114</v>
      </c>
      <c r="P211" s="2">
        <v>161</v>
      </c>
      <c r="Q211" s="1"/>
      <c r="R211" s="1"/>
      <c r="S211" s="1"/>
      <c r="T211" s="1"/>
      <c r="U211" s="1"/>
      <c r="V211" s="1"/>
      <c r="W211" s="1"/>
      <c r="X211" s="1"/>
      <c r="Y211" s="1"/>
    </row>
    <row r="212" spans="1:25" ht="15" thickBot="1" x14ac:dyDescent="0.35">
      <c r="A212" s="2">
        <v>821</v>
      </c>
      <c r="B212" s="3">
        <v>40696</v>
      </c>
      <c r="C212" s="2">
        <v>1</v>
      </c>
      <c r="D212" s="2">
        <v>0</v>
      </c>
      <c r="E212" s="2">
        <v>2</v>
      </c>
      <c r="F212" s="2">
        <v>15</v>
      </c>
      <c r="G212" s="4" t="b">
        <v>0</v>
      </c>
      <c r="H212" s="2">
        <v>0</v>
      </c>
      <c r="I212" s="2">
        <v>1</v>
      </c>
      <c r="J212" s="2">
        <v>0.34</v>
      </c>
      <c r="K212" s="2">
        <v>0.34849999999999998</v>
      </c>
      <c r="L212" s="2">
        <v>0.46</v>
      </c>
      <c r="M212" s="44">
        <v>8.9599999999999999E-2</v>
      </c>
      <c r="N212" s="2">
        <v>52</v>
      </c>
      <c r="O212" s="2">
        <v>130</v>
      </c>
      <c r="P212" s="2">
        <v>182</v>
      </c>
      <c r="Q212" s="1"/>
      <c r="R212" s="1"/>
      <c r="S212" s="1"/>
      <c r="T212" s="1"/>
      <c r="U212" s="1"/>
      <c r="V212" s="1"/>
      <c r="W212" s="1"/>
      <c r="X212" s="1"/>
      <c r="Y212" s="1"/>
    </row>
    <row r="213" spans="1:25" ht="15" thickBot="1" x14ac:dyDescent="0.35">
      <c r="A213" s="2">
        <v>822</v>
      </c>
      <c r="B213" s="3">
        <v>40696</v>
      </c>
      <c r="C213" s="2">
        <v>1</v>
      </c>
      <c r="D213" s="2">
        <v>0</v>
      </c>
      <c r="E213" s="2">
        <v>2</v>
      </c>
      <c r="F213" s="2">
        <v>16</v>
      </c>
      <c r="G213" s="4" t="b">
        <v>0</v>
      </c>
      <c r="H213" s="2">
        <v>0</v>
      </c>
      <c r="I213" s="2">
        <v>1</v>
      </c>
      <c r="J213" s="2">
        <v>0.34</v>
      </c>
      <c r="K213" s="2">
        <v>0.34849999999999998</v>
      </c>
      <c r="L213" s="2">
        <v>0.49</v>
      </c>
      <c r="M213" s="44">
        <v>0.1045</v>
      </c>
      <c r="N213" s="2">
        <v>42</v>
      </c>
      <c r="O213" s="2">
        <v>115</v>
      </c>
      <c r="P213" s="2">
        <v>157</v>
      </c>
      <c r="Q213" s="1"/>
      <c r="R213" s="1"/>
      <c r="S213" s="1"/>
      <c r="T213" s="1"/>
      <c r="U213" s="1"/>
      <c r="V213" s="1"/>
      <c r="W213" s="1"/>
      <c r="X213" s="1"/>
      <c r="Y213" s="1"/>
    </row>
    <row r="214" spans="1:25" ht="15" thickBot="1" x14ac:dyDescent="0.35">
      <c r="A214" s="2">
        <v>823</v>
      </c>
      <c r="B214" s="3">
        <v>40696</v>
      </c>
      <c r="C214" s="2">
        <v>1</v>
      </c>
      <c r="D214" s="2">
        <v>0</v>
      </c>
      <c r="E214" s="2">
        <v>2</v>
      </c>
      <c r="F214" s="2">
        <v>17</v>
      </c>
      <c r="G214" s="4" t="b">
        <v>0</v>
      </c>
      <c r="H214" s="2">
        <v>0</v>
      </c>
      <c r="I214" s="2">
        <v>1</v>
      </c>
      <c r="J214" s="2">
        <v>0.34</v>
      </c>
      <c r="K214" s="2">
        <v>0.36359999999999998</v>
      </c>
      <c r="L214" s="2">
        <v>0.46</v>
      </c>
      <c r="M214" s="43">
        <v>0.1794158974358977</v>
      </c>
      <c r="N214" s="2">
        <v>24</v>
      </c>
      <c r="O214" s="2">
        <v>97</v>
      </c>
      <c r="P214" s="2">
        <v>121</v>
      </c>
      <c r="Q214" s="1"/>
      <c r="R214" s="1"/>
      <c r="S214" s="1"/>
      <c r="T214" s="1"/>
      <c r="U214" s="1"/>
      <c r="V214" s="1"/>
      <c r="W214" s="1"/>
      <c r="X214" s="1"/>
      <c r="Y214" s="1"/>
    </row>
    <row r="215" spans="1:25" ht="15" thickBot="1" x14ac:dyDescent="0.35">
      <c r="A215" s="2">
        <v>824</v>
      </c>
      <c r="B215" s="3">
        <v>40696</v>
      </c>
      <c r="C215" s="2">
        <v>1</v>
      </c>
      <c r="D215" s="2">
        <v>0</v>
      </c>
      <c r="E215" s="2">
        <v>2</v>
      </c>
      <c r="F215" s="2">
        <v>18</v>
      </c>
      <c r="G215" s="4" t="b">
        <v>0</v>
      </c>
      <c r="H215" s="2">
        <v>0</v>
      </c>
      <c r="I215" s="2">
        <v>1</v>
      </c>
      <c r="J215" s="2">
        <v>0.3</v>
      </c>
      <c r="K215" s="2">
        <v>0.30299999999999999</v>
      </c>
      <c r="L215" s="2">
        <v>0.56000000000000005</v>
      </c>
      <c r="M215" s="44">
        <v>0.16420000000000001</v>
      </c>
      <c r="N215" s="2">
        <v>13</v>
      </c>
      <c r="O215" s="2">
        <v>65</v>
      </c>
      <c r="P215" s="2">
        <v>78</v>
      </c>
      <c r="Q215" s="1"/>
      <c r="R215" s="1"/>
      <c r="S215" s="1"/>
      <c r="T215" s="1"/>
      <c r="U215" s="1"/>
      <c r="V215" s="1"/>
      <c r="W215" s="1"/>
      <c r="X215" s="1"/>
      <c r="Y215" s="1"/>
    </row>
    <row r="216" spans="1:25" ht="15" thickBot="1" x14ac:dyDescent="0.35">
      <c r="A216" s="2">
        <v>825</v>
      </c>
      <c r="B216" s="3">
        <v>40696</v>
      </c>
      <c r="C216" s="2">
        <v>1</v>
      </c>
      <c r="D216" s="2">
        <v>0</v>
      </c>
      <c r="E216" s="2">
        <v>2</v>
      </c>
      <c r="F216" s="2">
        <v>19</v>
      </c>
      <c r="G216" s="4" t="b">
        <v>0</v>
      </c>
      <c r="H216" s="2">
        <v>0</v>
      </c>
      <c r="I216" s="2">
        <v>1</v>
      </c>
      <c r="J216" s="2">
        <v>0.28000000000000003</v>
      </c>
      <c r="K216" s="2">
        <v>0.28789999999999999</v>
      </c>
      <c r="L216" s="2">
        <v>0.61</v>
      </c>
      <c r="M216" s="44">
        <v>0.1343</v>
      </c>
      <c r="N216" s="2">
        <v>1</v>
      </c>
      <c r="O216" s="2">
        <v>20</v>
      </c>
      <c r="P216" s="2">
        <v>21</v>
      </c>
      <c r="Q216" s="1"/>
      <c r="R216" s="1"/>
      <c r="S216" s="1"/>
      <c r="T216" s="1"/>
      <c r="U216" s="1"/>
      <c r="V216" s="1"/>
      <c r="W216" s="1"/>
      <c r="X216" s="1"/>
      <c r="Y216" s="1"/>
    </row>
    <row r="217" spans="1:25" ht="15" thickBot="1" x14ac:dyDescent="0.35">
      <c r="A217" s="2">
        <v>826</v>
      </c>
      <c r="B217" s="3">
        <v>40696</v>
      </c>
      <c r="C217" s="2">
        <v>1</v>
      </c>
      <c r="D217" s="2">
        <v>0</v>
      </c>
      <c r="E217" s="2">
        <v>2</v>
      </c>
      <c r="F217" s="2">
        <v>20</v>
      </c>
      <c r="G217" s="4" t="b">
        <v>0</v>
      </c>
      <c r="H217" s="2">
        <v>0</v>
      </c>
      <c r="I217" s="2">
        <v>1</v>
      </c>
      <c r="J217" s="2">
        <v>0.28000000000000003</v>
      </c>
      <c r="K217" s="2">
        <v>0.28789999999999999</v>
      </c>
      <c r="L217" s="2">
        <v>0.61</v>
      </c>
      <c r="M217" s="44">
        <v>0.1045</v>
      </c>
      <c r="N217" s="2">
        <v>5</v>
      </c>
      <c r="O217" s="2">
        <v>21</v>
      </c>
      <c r="P217" s="2">
        <v>26</v>
      </c>
      <c r="Q217" s="1"/>
      <c r="R217" s="1"/>
      <c r="S217" s="1"/>
      <c r="T217" s="1"/>
      <c r="U217" s="1"/>
      <c r="V217" s="1"/>
      <c r="W217" s="1"/>
      <c r="X217" s="1"/>
      <c r="Y217" s="1"/>
    </row>
    <row r="218" spans="1:25" ht="15" thickBot="1" x14ac:dyDescent="0.35">
      <c r="A218" s="2">
        <v>827</v>
      </c>
      <c r="B218" s="3">
        <v>40696</v>
      </c>
      <c r="C218" s="2">
        <v>1</v>
      </c>
      <c r="D218" s="2">
        <v>0</v>
      </c>
      <c r="E218" s="2">
        <v>2</v>
      </c>
      <c r="F218" s="2">
        <v>21</v>
      </c>
      <c r="G218" s="4" t="b">
        <v>0</v>
      </c>
      <c r="H218" s="2">
        <v>0</v>
      </c>
      <c r="I218" s="2">
        <v>1</v>
      </c>
      <c r="J218" s="2">
        <v>0.26</v>
      </c>
      <c r="K218" s="2">
        <v>0.30299999999999999</v>
      </c>
      <c r="L218" s="2">
        <v>0.6</v>
      </c>
      <c r="M218" s="43">
        <v>0.1794158974358977</v>
      </c>
      <c r="N218" s="2">
        <v>5</v>
      </c>
      <c r="O218" s="2">
        <v>22</v>
      </c>
      <c r="P218" s="2">
        <v>27</v>
      </c>
      <c r="Q218" s="1"/>
      <c r="R218" s="1"/>
      <c r="S218" s="1"/>
      <c r="T218" s="1"/>
      <c r="U218" s="1"/>
      <c r="V218" s="1"/>
      <c r="W218" s="1"/>
      <c r="X218" s="1"/>
      <c r="Y218" s="1"/>
    </row>
    <row r="219" spans="1:25" ht="15" thickBot="1" x14ac:dyDescent="0.35">
      <c r="A219" s="2">
        <v>828</v>
      </c>
      <c r="B219" s="3">
        <v>40696</v>
      </c>
      <c r="C219" s="2">
        <v>1</v>
      </c>
      <c r="D219" s="2">
        <v>0</v>
      </c>
      <c r="E219" s="2">
        <v>2</v>
      </c>
      <c r="F219" s="2">
        <v>22</v>
      </c>
      <c r="G219" s="4" t="b">
        <v>0</v>
      </c>
      <c r="H219" s="2">
        <v>0</v>
      </c>
      <c r="I219" s="2">
        <v>1</v>
      </c>
      <c r="J219" s="2">
        <v>0.26</v>
      </c>
      <c r="K219" s="2">
        <v>0.30299999999999999</v>
      </c>
      <c r="L219" s="2">
        <v>0.6</v>
      </c>
      <c r="M219" s="43">
        <v>0.1794158974358977</v>
      </c>
      <c r="N219" s="2">
        <v>5</v>
      </c>
      <c r="O219" s="2">
        <v>57</v>
      </c>
      <c r="P219" s="2">
        <v>62</v>
      </c>
      <c r="Q219" s="1"/>
      <c r="R219" s="1"/>
      <c r="S219" s="1"/>
      <c r="T219" s="1"/>
      <c r="U219" s="1"/>
      <c r="V219" s="1"/>
      <c r="W219" s="1"/>
      <c r="X219" s="1"/>
      <c r="Y219" s="1"/>
    </row>
    <row r="220" spans="1:25" ht="15" thickBot="1" x14ac:dyDescent="0.35">
      <c r="A220" s="2">
        <v>829</v>
      </c>
      <c r="B220" s="3">
        <v>40696</v>
      </c>
      <c r="C220" s="2">
        <v>1</v>
      </c>
      <c r="D220" s="2">
        <v>0</v>
      </c>
      <c r="E220" s="2">
        <v>2</v>
      </c>
      <c r="F220" s="2">
        <v>23</v>
      </c>
      <c r="G220" s="4" t="b">
        <v>0</v>
      </c>
      <c r="H220" s="2">
        <v>0</v>
      </c>
      <c r="I220" s="2">
        <v>1</v>
      </c>
      <c r="J220" s="2">
        <v>0.24</v>
      </c>
      <c r="K220" s="2">
        <v>0.28789999999999999</v>
      </c>
      <c r="L220" s="2">
        <v>0.65</v>
      </c>
      <c r="M220" s="43">
        <v>0.1794158974358977</v>
      </c>
      <c r="N220" s="2">
        <v>4</v>
      </c>
      <c r="O220" s="2">
        <v>26</v>
      </c>
      <c r="P220" s="2">
        <v>30</v>
      </c>
      <c r="Q220" s="1"/>
      <c r="R220" s="1"/>
      <c r="S220" s="1"/>
      <c r="T220" s="1"/>
      <c r="U220" s="1"/>
      <c r="V220" s="1"/>
      <c r="W220" s="1"/>
      <c r="X220" s="1"/>
      <c r="Y220" s="1"/>
    </row>
    <row r="221" spans="1:25" ht="15" thickBot="1" x14ac:dyDescent="0.35">
      <c r="A221" s="2">
        <v>830</v>
      </c>
      <c r="B221" s="3">
        <v>40726</v>
      </c>
      <c r="C221" s="2">
        <v>1</v>
      </c>
      <c r="D221" s="2">
        <v>0</v>
      </c>
      <c r="E221" s="2">
        <v>2</v>
      </c>
      <c r="F221" s="2">
        <v>0</v>
      </c>
      <c r="G221" s="4" t="b">
        <v>0</v>
      </c>
      <c r="H221" s="2">
        <v>1</v>
      </c>
      <c r="I221" s="2">
        <v>1</v>
      </c>
      <c r="J221" s="2">
        <v>0.24</v>
      </c>
      <c r="K221" s="2">
        <v>0.28789999999999999</v>
      </c>
      <c r="L221" s="2">
        <v>0.65</v>
      </c>
      <c r="M221" s="43">
        <v>0.1794158974358977</v>
      </c>
      <c r="N221" s="2">
        <v>1</v>
      </c>
      <c r="O221" s="2">
        <v>14</v>
      </c>
      <c r="P221" s="2">
        <v>15</v>
      </c>
      <c r="Q221" s="1"/>
      <c r="R221" s="1"/>
      <c r="S221" s="1"/>
      <c r="T221" s="1"/>
      <c r="U221" s="1"/>
      <c r="V221" s="1"/>
      <c r="W221" s="1"/>
      <c r="X221" s="1"/>
      <c r="Y221" s="1"/>
    </row>
    <row r="222" spans="1:25" ht="15" thickBot="1" x14ac:dyDescent="0.35">
      <c r="A222" s="2">
        <v>831</v>
      </c>
      <c r="B222" s="3">
        <v>40726</v>
      </c>
      <c r="C222" s="2">
        <v>1</v>
      </c>
      <c r="D222" s="2">
        <v>0</v>
      </c>
      <c r="E222" s="2">
        <v>2</v>
      </c>
      <c r="F222" s="2">
        <v>1</v>
      </c>
      <c r="G222" s="4" t="b">
        <v>0</v>
      </c>
      <c r="H222" s="2">
        <v>1</v>
      </c>
      <c r="I222" s="2">
        <v>1</v>
      </c>
      <c r="J222" s="2">
        <v>0.22</v>
      </c>
      <c r="K222" s="2">
        <v>0.2727</v>
      </c>
      <c r="L222" s="2">
        <v>0.75</v>
      </c>
      <c r="M222" s="43">
        <v>0.1794158974358977</v>
      </c>
      <c r="N222" s="2">
        <v>1</v>
      </c>
      <c r="O222" s="2">
        <v>4</v>
      </c>
      <c r="P222" s="2">
        <v>5</v>
      </c>
      <c r="Q222" s="1"/>
      <c r="R222" s="1"/>
      <c r="S222" s="1"/>
      <c r="T222" s="1"/>
      <c r="U222" s="1"/>
      <c r="V222" s="1"/>
      <c r="W222" s="1"/>
      <c r="X222" s="1"/>
      <c r="Y222" s="1"/>
    </row>
    <row r="223" spans="1:25" ht="15" thickBot="1" x14ac:dyDescent="0.35">
      <c r="A223" s="2">
        <v>832</v>
      </c>
      <c r="B223" s="3">
        <v>40726</v>
      </c>
      <c r="C223" s="2">
        <v>1</v>
      </c>
      <c r="D223" s="2">
        <v>0</v>
      </c>
      <c r="E223" s="2">
        <v>2</v>
      </c>
      <c r="F223" s="2">
        <v>2</v>
      </c>
      <c r="G223" s="4" t="b">
        <v>0</v>
      </c>
      <c r="H223" s="2">
        <v>1</v>
      </c>
      <c r="I223" s="2">
        <v>1</v>
      </c>
      <c r="J223" s="2">
        <v>0.2</v>
      </c>
      <c r="K223" s="2">
        <v>0.2576</v>
      </c>
      <c r="L223" s="2">
        <v>0.8</v>
      </c>
      <c r="M223" s="43">
        <v>0.1794158974358977</v>
      </c>
      <c r="N223" s="2">
        <v>0</v>
      </c>
      <c r="O223" s="2">
        <v>3</v>
      </c>
      <c r="P223" s="2">
        <v>3</v>
      </c>
      <c r="Q223" s="1"/>
      <c r="R223" s="1"/>
      <c r="S223" s="1"/>
      <c r="T223" s="1"/>
      <c r="U223" s="1"/>
      <c r="V223" s="1"/>
      <c r="W223" s="1"/>
      <c r="X223" s="1"/>
      <c r="Y223" s="1"/>
    </row>
    <row r="224" spans="1:25" ht="15" thickBot="1" x14ac:dyDescent="0.35">
      <c r="A224" s="2">
        <v>833</v>
      </c>
      <c r="B224" s="3">
        <v>40726</v>
      </c>
      <c r="C224" s="2">
        <v>1</v>
      </c>
      <c r="D224" s="2">
        <v>0</v>
      </c>
      <c r="E224" s="2">
        <v>2</v>
      </c>
      <c r="F224" s="2">
        <v>3</v>
      </c>
      <c r="G224" s="4" t="b">
        <v>0</v>
      </c>
      <c r="H224" s="2">
        <v>1</v>
      </c>
      <c r="I224" s="2">
        <v>1</v>
      </c>
      <c r="J224" s="2">
        <v>0.2</v>
      </c>
      <c r="K224" s="2">
        <v>0.2576</v>
      </c>
      <c r="L224" s="2">
        <v>0.86</v>
      </c>
      <c r="M224" s="43">
        <v>0.1794158974358977</v>
      </c>
      <c r="N224" s="2">
        <v>0</v>
      </c>
      <c r="O224" s="2">
        <v>1</v>
      </c>
      <c r="P224" s="2">
        <v>1</v>
      </c>
      <c r="Q224" s="1"/>
      <c r="R224" s="1"/>
      <c r="S224" s="1"/>
      <c r="T224" s="1"/>
      <c r="U224" s="1"/>
      <c r="V224" s="1"/>
      <c r="W224" s="1"/>
      <c r="X224" s="1"/>
      <c r="Y224" s="1"/>
    </row>
    <row r="225" spans="1:25" ht="15" thickBot="1" x14ac:dyDescent="0.35">
      <c r="A225" s="2">
        <v>834</v>
      </c>
      <c r="B225" s="3">
        <v>40726</v>
      </c>
      <c r="C225" s="2">
        <v>1</v>
      </c>
      <c r="D225" s="2">
        <v>0</v>
      </c>
      <c r="E225" s="2">
        <v>2</v>
      </c>
      <c r="F225" s="2">
        <v>4</v>
      </c>
      <c r="G225" s="4" t="b">
        <v>0</v>
      </c>
      <c r="H225" s="2">
        <v>1</v>
      </c>
      <c r="I225" s="2">
        <v>1</v>
      </c>
      <c r="J225" s="2">
        <v>0.2</v>
      </c>
      <c r="K225" s="2">
        <v>0.2576</v>
      </c>
      <c r="L225" s="2">
        <v>0.86</v>
      </c>
      <c r="M225" s="43">
        <v>0.1794158974358977</v>
      </c>
      <c r="N225" s="2">
        <v>1</v>
      </c>
      <c r="O225" s="2">
        <v>1</v>
      </c>
      <c r="P225" s="2">
        <v>2</v>
      </c>
      <c r="Q225" s="1"/>
      <c r="R225" s="1"/>
      <c r="S225" s="1"/>
      <c r="T225" s="1"/>
      <c r="U225" s="1"/>
      <c r="V225" s="1"/>
      <c r="W225" s="1"/>
      <c r="X225" s="1"/>
      <c r="Y225" s="1"/>
    </row>
    <row r="226" spans="1:25" ht="15" thickBot="1" x14ac:dyDescent="0.35">
      <c r="A226" s="2">
        <v>835</v>
      </c>
      <c r="B226" s="3">
        <v>40726</v>
      </c>
      <c r="C226" s="2">
        <v>1</v>
      </c>
      <c r="D226" s="2">
        <v>0</v>
      </c>
      <c r="E226" s="2">
        <v>2</v>
      </c>
      <c r="F226" s="2">
        <v>5</v>
      </c>
      <c r="G226" s="4" t="b">
        <v>0</v>
      </c>
      <c r="H226" s="2">
        <v>1</v>
      </c>
      <c r="I226" s="2">
        <v>1</v>
      </c>
      <c r="J226" s="2">
        <v>0.2</v>
      </c>
      <c r="K226" s="2">
        <v>0.2576</v>
      </c>
      <c r="L226" s="2">
        <v>0.86</v>
      </c>
      <c r="M226" s="43">
        <v>0.1794158974358977</v>
      </c>
      <c r="N226" s="2">
        <v>1</v>
      </c>
      <c r="O226" s="2">
        <v>9</v>
      </c>
      <c r="P226" s="2">
        <v>10</v>
      </c>
      <c r="Q226" s="1"/>
      <c r="R226" s="1"/>
      <c r="S226" s="1"/>
      <c r="T226" s="1"/>
      <c r="U226" s="1"/>
      <c r="V226" s="1"/>
      <c r="W226" s="1"/>
      <c r="X226" s="1"/>
      <c r="Y226" s="1"/>
    </row>
    <row r="227" spans="1:25" ht="15" thickBot="1" x14ac:dyDescent="0.35">
      <c r="A227" s="2">
        <v>836</v>
      </c>
      <c r="B227" s="3">
        <v>40726</v>
      </c>
      <c r="C227" s="2">
        <v>1</v>
      </c>
      <c r="D227" s="2">
        <v>0</v>
      </c>
      <c r="E227" s="2">
        <v>2</v>
      </c>
      <c r="F227" s="2">
        <v>6</v>
      </c>
      <c r="G227" s="4" t="b">
        <v>0</v>
      </c>
      <c r="H227" s="2">
        <v>1</v>
      </c>
      <c r="I227" s="2">
        <v>1</v>
      </c>
      <c r="J227" s="2">
        <v>0.18</v>
      </c>
      <c r="K227" s="2">
        <v>0.2424</v>
      </c>
      <c r="L227" s="2">
        <v>0.93</v>
      </c>
      <c r="M227" s="43">
        <v>0.1794158974358977</v>
      </c>
      <c r="N227" s="2">
        <v>1</v>
      </c>
      <c r="O227" s="2">
        <v>29</v>
      </c>
      <c r="P227" s="2">
        <v>30</v>
      </c>
      <c r="Q227" s="1"/>
      <c r="R227" s="1"/>
      <c r="S227" s="1"/>
      <c r="T227" s="1"/>
      <c r="U227" s="1"/>
      <c r="V227" s="1"/>
      <c r="W227" s="1"/>
      <c r="X227" s="1"/>
      <c r="Y227" s="1"/>
    </row>
    <row r="228" spans="1:25" ht="15" thickBot="1" x14ac:dyDescent="0.35">
      <c r="A228" s="2">
        <v>837</v>
      </c>
      <c r="B228" s="3">
        <v>40726</v>
      </c>
      <c r="C228" s="2">
        <v>1</v>
      </c>
      <c r="D228" s="2">
        <v>0</v>
      </c>
      <c r="E228" s="2">
        <v>2</v>
      </c>
      <c r="F228" s="2">
        <v>7</v>
      </c>
      <c r="G228" s="4" t="b">
        <v>0</v>
      </c>
      <c r="H228" s="2">
        <v>1</v>
      </c>
      <c r="I228" s="2">
        <v>1</v>
      </c>
      <c r="J228" s="2">
        <v>0.18</v>
      </c>
      <c r="K228" s="2">
        <v>0.2424</v>
      </c>
      <c r="L228" s="2">
        <v>0.86</v>
      </c>
      <c r="M228" s="43">
        <v>0.1794158974358977</v>
      </c>
      <c r="N228" s="2">
        <v>6</v>
      </c>
      <c r="O228" s="2">
        <v>89</v>
      </c>
      <c r="P228" s="2">
        <v>95</v>
      </c>
      <c r="Q228" s="1"/>
      <c r="R228" s="1"/>
      <c r="S228" s="1"/>
      <c r="T228" s="1"/>
      <c r="U228" s="1"/>
      <c r="V228" s="1"/>
      <c r="W228" s="1"/>
      <c r="X228" s="1"/>
      <c r="Y228" s="1"/>
    </row>
    <row r="229" spans="1:25" ht="15" thickBot="1" x14ac:dyDescent="0.35">
      <c r="A229" s="2">
        <v>838</v>
      </c>
      <c r="B229" s="3">
        <v>40726</v>
      </c>
      <c r="C229" s="2">
        <v>1</v>
      </c>
      <c r="D229" s="2">
        <v>0</v>
      </c>
      <c r="E229" s="2">
        <v>2</v>
      </c>
      <c r="F229" s="2">
        <v>8</v>
      </c>
      <c r="G229" s="4" t="b">
        <v>0</v>
      </c>
      <c r="H229" s="2">
        <v>1</v>
      </c>
      <c r="I229" s="2">
        <v>2</v>
      </c>
      <c r="J229" s="2">
        <v>0.16</v>
      </c>
      <c r="K229" s="2">
        <v>0.2273</v>
      </c>
      <c r="L229" s="2">
        <v>1</v>
      </c>
      <c r="M229" s="43">
        <v>0.1794158974358977</v>
      </c>
      <c r="N229" s="2">
        <v>7</v>
      </c>
      <c r="O229" s="2">
        <v>223</v>
      </c>
      <c r="P229" s="2">
        <v>230</v>
      </c>
      <c r="Q229" s="1"/>
      <c r="R229" s="1"/>
      <c r="S229" s="1"/>
      <c r="T229" s="1"/>
      <c r="U229" s="1"/>
      <c r="V229" s="1"/>
      <c r="W229" s="1"/>
      <c r="X229" s="1"/>
      <c r="Y229" s="1"/>
    </row>
    <row r="230" spans="1:25" ht="15" thickBot="1" x14ac:dyDescent="0.35">
      <c r="A230" s="2">
        <v>839</v>
      </c>
      <c r="B230" s="3">
        <v>40726</v>
      </c>
      <c r="C230" s="2">
        <v>1</v>
      </c>
      <c r="D230" s="2">
        <v>0</v>
      </c>
      <c r="E230" s="2">
        <v>2</v>
      </c>
      <c r="F230" s="2">
        <v>9</v>
      </c>
      <c r="G230" s="4" t="b">
        <v>0</v>
      </c>
      <c r="H230" s="2">
        <v>1</v>
      </c>
      <c r="I230" s="2">
        <v>1</v>
      </c>
      <c r="J230" s="2">
        <v>0.22</v>
      </c>
      <c r="K230" s="2">
        <v>0.2727</v>
      </c>
      <c r="L230" s="2">
        <v>0.8</v>
      </c>
      <c r="M230" s="43">
        <v>0.1794158974358977</v>
      </c>
      <c r="N230" s="2">
        <v>3</v>
      </c>
      <c r="O230" s="2">
        <v>115</v>
      </c>
      <c r="P230" s="2">
        <v>118</v>
      </c>
      <c r="Q230" s="1"/>
      <c r="R230" s="1"/>
      <c r="S230" s="1"/>
      <c r="T230" s="1"/>
      <c r="U230" s="1"/>
      <c r="V230" s="1"/>
      <c r="W230" s="1"/>
      <c r="X230" s="1"/>
      <c r="Y230" s="1"/>
    </row>
    <row r="231" spans="1:25" ht="15" thickBot="1" x14ac:dyDescent="0.35">
      <c r="A231" s="2">
        <v>840</v>
      </c>
      <c r="B231" s="3">
        <v>40726</v>
      </c>
      <c r="C231" s="2">
        <v>1</v>
      </c>
      <c r="D231" s="2">
        <v>0</v>
      </c>
      <c r="E231" s="2">
        <v>2</v>
      </c>
      <c r="F231" s="2">
        <v>10</v>
      </c>
      <c r="G231" s="4" t="b">
        <v>0</v>
      </c>
      <c r="H231" s="2">
        <v>1</v>
      </c>
      <c r="I231" s="2">
        <v>1</v>
      </c>
      <c r="J231" s="2">
        <v>0.24</v>
      </c>
      <c r="K231" s="2">
        <v>0.2576</v>
      </c>
      <c r="L231" s="2">
        <v>0.75</v>
      </c>
      <c r="M231" s="44">
        <v>0.1045</v>
      </c>
      <c r="N231" s="2">
        <v>6</v>
      </c>
      <c r="O231" s="2">
        <v>49</v>
      </c>
      <c r="P231" s="2">
        <v>55</v>
      </c>
      <c r="Q231" s="1"/>
      <c r="R231" s="1"/>
      <c r="S231" s="1"/>
      <c r="T231" s="1"/>
      <c r="U231" s="1"/>
      <c r="V231" s="1"/>
      <c r="W231" s="1"/>
      <c r="X231" s="1"/>
      <c r="Y231" s="1"/>
    </row>
    <row r="232" spans="1:25" ht="15" thickBot="1" x14ac:dyDescent="0.35">
      <c r="A232" s="2">
        <v>841</v>
      </c>
      <c r="B232" s="3">
        <v>40726</v>
      </c>
      <c r="C232" s="2">
        <v>1</v>
      </c>
      <c r="D232" s="2">
        <v>0</v>
      </c>
      <c r="E232" s="2">
        <v>2</v>
      </c>
      <c r="F232" s="2">
        <v>11</v>
      </c>
      <c r="G232" s="4" t="b">
        <v>0</v>
      </c>
      <c r="H232" s="2">
        <v>1</v>
      </c>
      <c r="I232" s="2">
        <v>1</v>
      </c>
      <c r="J232" s="2">
        <v>0.3</v>
      </c>
      <c r="K232" s="2">
        <v>0.31819999999999998</v>
      </c>
      <c r="L232" s="2">
        <v>0.65</v>
      </c>
      <c r="M232" s="44">
        <v>8.9599999999999999E-2</v>
      </c>
      <c r="N232" s="2">
        <v>11</v>
      </c>
      <c r="O232" s="2">
        <v>36</v>
      </c>
      <c r="P232" s="2">
        <v>47</v>
      </c>
      <c r="Q232" s="1"/>
      <c r="R232" s="1"/>
      <c r="S232" s="1"/>
      <c r="T232" s="1"/>
      <c r="U232" s="1"/>
      <c r="V232" s="1"/>
      <c r="W232" s="1"/>
      <c r="X232" s="1"/>
      <c r="Y232" s="1"/>
    </row>
    <row r="233" spans="1:25" ht="15" thickBot="1" x14ac:dyDescent="0.35">
      <c r="A233" s="2">
        <v>842</v>
      </c>
      <c r="B233" s="3">
        <v>40726</v>
      </c>
      <c r="C233" s="2">
        <v>1</v>
      </c>
      <c r="D233" s="2">
        <v>0</v>
      </c>
      <c r="E233" s="2">
        <v>2</v>
      </c>
      <c r="F233" s="2">
        <v>12</v>
      </c>
      <c r="G233" s="4" t="b">
        <v>0</v>
      </c>
      <c r="H233" s="2">
        <v>1</v>
      </c>
      <c r="I233" s="2">
        <v>2</v>
      </c>
      <c r="J233" s="2">
        <v>0.32</v>
      </c>
      <c r="K233" s="2">
        <v>0.34849999999999998</v>
      </c>
      <c r="L233" s="2">
        <v>0.62</v>
      </c>
      <c r="M233" s="43">
        <v>0.1794158974358977</v>
      </c>
      <c r="N233" s="2">
        <v>7</v>
      </c>
      <c r="O233" s="2">
        <v>59</v>
      </c>
      <c r="P233" s="2">
        <v>66</v>
      </c>
      <c r="Q233" s="1"/>
      <c r="R233" s="1"/>
      <c r="S233" s="1"/>
      <c r="T233" s="1"/>
      <c r="U233" s="1"/>
      <c r="V233" s="1"/>
      <c r="W233" s="1"/>
      <c r="X233" s="1"/>
      <c r="Y233" s="1"/>
    </row>
    <row r="234" spans="1:25" ht="15" thickBot="1" x14ac:dyDescent="0.35">
      <c r="A234" s="2">
        <v>843</v>
      </c>
      <c r="B234" s="3">
        <v>40726</v>
      </c>
      <c r="C234" s="2">
        <v>1</v>
      </c>
      <c r="D234" s="2">
        <v>0</v>
      </c>
      <c r="E234" s="2">
        <v>2</v>
      </c>
      <c r="F234" s="2">
        <v>13</v>
      </c>
      <c r="G234" s="4" t="b">
        <v>0</v>
      </c>
      <c r="H234" s="2">
        <v>1</v>
      </c>
      <c r="I234" s="2">
        <v>2</v>
      </c>
      <c r="J234" s="2">
        <v>0.36</v>
      </c>
      <c r="K234" s="2">
        <v>0.36359999999999998</v>
      </c>
      <c r="L234" s="2">
        <v>0.56999999999999995</v>
      </c>
      <c r="M234" s="44">
        <v>8.9599999999999999E-2</v>
      </c>
      <c r="N234" s="2">
        <v>10</v>
      </c>
      <c r="O234" s="2">
        <v>54</v>
      </c>
      <c r="P234" s="2">
        <v>64</v>
      </c>
      <c r="Q234" s="1"/>
      <c r="R234" s="1"/>
      <c r="S234" s="1"/>
      <c r="T234" s="1"/>
      <c r="U234" s="1"/>
      <c r="V234" s="1"/>
      <c r="W234" s="1"/>
      <c r="X234" s="1"/>
      <c r="Y234" s="1"/>
    </row>
    <row r="235" spans="1:25" ht="15" thickBot="1" x14ac:dyDescent="0.35">
      <c r="A235" s="2">
        <v>844</v>
      </c>
      <c r="B235" s="3">
        <v>40726</v>
      </c>
      <c r="C235" s="2">
        <v>1</v>
      </c>
      <c r="D235" s="2">
        <v>0</v>
      </c>
      <c r="E235" s="2">
        <v>2</v>
      </c>
      <c r="F235" s="2">
        <v>14</v>
      </c>
      <c r="G235" s="4" t="b">
        <v>0</v>
      </c>
      <c r="H235" s="2">
        <v>1</v>
      </c>
      <c r="I235" s="2">
        <v>2</v>
      </c>
      <c r="J235" s="2">
        <v>0.36</v>
      </c>
      <c r="K235" s="2">
        <v>0.36359999999999998</v>
      </c>
      <c r="L235" s="2">
        <v>0.56999999999999995</v>
      </c>
      <c r="M235" s="44">
        <v>8.9599999999999999E-2</v>
      </c>
      <c r="N235" s="2">
        <v>8</v>
      </c>
      <c r="O235" s="2">
        <v>52</v>
      </c>
      <c r="P235" s="2">
        <v>60</v>
      </c>
      <c r="Q235" s="1"/>
      <c r="R235" s="1"/>
      <c r="S235" s="1"/>
      <c r="T235" s="1"/>
      <c r="U235" s="1"/>
      <c r="V235" s="1"/>
      <c r="W235" s="1"/>
      <c r="X235" s="1"/>
      <c r="Y235" s="1"/>
    </row>
    <row r="236" spans="1:25" ht="15" thickBot="1" x14ac:dyDescent="0.35">
      <c r="A236" s="2">
        <v>845</v>
      </c>
      <c r="B236" s="3">
        <v>40726</v>
      </c>
      <c r="C236" s="2">
        <v>1</v>
      </c>
      <c r="D236" s="2">
        <v>0</v>
      </c>
      <c r="E236" s="2">
        <v>2</v>
      </c>
      <c r="F236" s="2">
        <v>15</v>
      </c>
      <c r="G236" s="4" t="b">
        <v>0</v>
      </c>
      <c r="H236" s="2">
        <v>1</v>
      </c>
      <c r="I236" s="2">
        <v>2</v>
      </c>
      <c r="J236" s="2">
        <v>0.38</v>
      </c>
      <c r="K236" s="2">
        <v>0.39389999999999997</v>
      </c>
      <c r="L236" s="2">
        <v>0.54</v>
      </c>
      <c r="M236" s="44">
        <v>8.9599999999999999E-2</v>
      </c>
      <c r="N236" s="2">
        <v>4</v>
      </c>
      <c r="O236" s="2">
        <v>46</v>
      </c>
      <c r="P236" s="2">
        <v>50</v>
      </c>
      <c r="Q236" s="1"/>
      <c r="R236" s="1"/>
      <c r="S236" s="1"/>
      <c r="T236" s="1"/>
      <c r="U236" s="1"/>
      <c r="V236" s="1"/>
      <c r="W236" s="1"/>
      <c r="X236" s="1"/>
      <c r="Y236" s="1"/>
    </row>
    <row r="237" spans="1:25" ht="15" thickBot="1" x14ac:dyDescent="0.35">
      <c r="A237" s="2">
        <v>846</v>
      </c>
      <c r="B237" s="3">
        <v>40726</v>
      </c>
      <c r="C237" s="2">
        <v>1</v>
      </c>
      <c r="D237" s="2">
        <v>0</v>
      </c>
      <c r="E237" s="2">
        <v>2</v>
      </c>
      <c r="F237" s="2">
        <v>16</v>
      </c>
      <c r="G237" s="4" t="b">
        <v>0</v>
      </c>
      <c r="H237" s="2">
        <v>1</v>
      </c>
      <c r="I237" s="2">
        <v>2</v>
      </c>
      <c r="J237" s="2">
        <v>0.36</v>
      </c>
      <c r="K237" s="2">
        <v>0.34849999999999998</v>
      </c>
      <c r="L237" s="2">
        <v>0.56999999999999995</v>
      </c>
      <c r="M237" s="44">
        <v>0.1343</v>
      </c>
      <c r="N237" s="2">
        <v>16</v>
      </c>
      <c r="O237" s="2">
        <v>98</v>
      </c>
      <c r="P237" s="2">
        <v>114</v>
      </c>
      <c r="Q237" s="1"/>
      <c r="R237" s="1"/>
      <c r="S237" s="1"/>
      <c r="T237" s="1"/>
      <c r="U237" s="1"/>
      <c r="V237" s="1"/>
      <c r="W237" s="1"/>
      <c r="X237" s="1"/>
      <c r="Y237" s="1"/>
    </row>
    <row r="238" spans="1:25" ht="15" thickBot="1" x14ac:dyDescent="0.35">
      <c r="A238" s="2">
        <v>847</v>
      </c>
      <c r="B238" s="3">
        <v>40726</v>
      </c>
      <c r="C238" s="2">
        <v>1</v>
      </c>
      <c r="D238" s="2">
        <v>0</v>
      </c>
      <c r="E238" s="2">
        <v>2</v>
      </c>
      <c r="F238" s="2">
        <v>17</v>
      </c>
      <c r="G238" s="4" t="b">
        <v>0</v>
      </c>
      <c r="H238" s="2">
        <v>1</v>
      </c>
      <c r="I238" s="2">
        <v>2</v>
      </c>
      <c r="J238" s="2">
        <v>0.32</v>
      </c>
      <c r="K238" s="2">
        <v>0.31819999999999998</v>
      </c>
      <c r="L238" s="2">
        <v>0.7</v>
      </c>
      <c r="M238" s="44">
        <v>0.16420000000000001</v>
      </c>
      <c r="N238" s="2">
        <v>9</v>
      </c>
      <c r="O238" s="2">
        <v>207</v>
      </c>
      <c r="P238" s="2">
        <v>216</v>
      </c>
      <c r="Q238" s="1"/>
      <c r="R238" s="1"/>
      <c r="S238" s="1"/>
      <c r="T238" s="1"/>
      <c r="U238" s="1"/>
      <c r="V238" s="1"/>
      <c r="W238" s="1"/>
      <c r="X238" s="1"/>
      <c r="Y238" s="1"/>
    </row>
    <row r="239" spans="1:25" ht="15" thickBot="1" x14ac:dyDescent="0.35">
      <c r="A239" s="2">
        <v>848</v>
      </c>
      <c r="B239" s="3">
        <v>40726</v>
      </c>
      <c r="C239" s="2">
        <v>1</v>
      </c>
      <c r="D239" s="2">
        <v>0</v>
      </c>
      <c r="E239" s="2">
        <v>2</v>
      </c>
      <c r="F239" s="2">
        <v>18</v>
      </c>
      <c r="G239" s="4" t="b">
        <v>0</v>
      </c>
      <c r="H239" s="2">
        <v>1</v>
      </c>
      <c r="I239" s="2">
        <v>2</v>
      </c>
      <c r="J239" s="2">
        <v>0.34</v>
      </c>
      <c r="K239" s="2">
        <v>0.33329999999999999</v>
      </c>
      <c r="L239" s="2">
        <v>0.66</v>
      </c>
      <c r="M239" s="44">
        <v>0.1343</v>
      </c>
      <c r="N239" s="2">
        <v>5</v>
      </c>
      <c r="O239" s="2">
        <v>170</v>
      </c>
      <c r="P239" s="2">
        <v>175</v>
      </c>
      <c r="Q239" s="1"/>
      <c r="R239" s="1"/>
      <c r="S239" s="1"/>
      <c r="T239" s="1"/>
      <c r="U239" s="1"/>
      <c r="V239" s="1"/>
      <c r="W239" s="1"/>
      <c r="X239" s="1"/>
      <c r="Y239" s="1"/>
    </row>
    <row r="240" spans="1:25" ht="15" thickBot="1" x14ac:dyDescent="0.35">
      <c r="A240" s="2">
        <v>849</v>
      </c>
      <c r="B240" s="3">
        <v>40726</v>
      </c>
      <c r="C240" s="2">
        <v>1</v>
      </c>
      <c r="D240" s="2">
        <v>0</v>
      </c>
      <c r="E240" s="2">
        <v>2</v>
      </c>
      <c r="F240" s="2">
        <v>19</v>
      </c>
      <c r="G240" s="4" t="b">
        <v>0</v>
      </c>
      <c r="H240" s="2">
        <v>1</v>
      </c>
      <c r="I240" s="2">
        <v>2</v>
      </c>
      <c r="J240" s="2">
        <v>0.32</v>
      </c>
      <c r="K240" s="2">
        <v>0.34849999999999998</v>
      </c>
      <c r="L240" s="2">
        <v>0.7</v>
      </c>
      <c r="M240" s="43">
        <v>0.1794158974358977</v>
      </c>
      <c r="N240" s="2">
        <v>5</v>
      </c>
      <c r="O240" s="2">
        <v>123</v>
      </c>
      <c r="P240" s="2">
        <v>128</v>
      </c>
      <c r="Q240" s="1"/>
      <c r="R240" s="1"/>
      <c r="S240" s="1"/>
      <c r="T240" s="1"/>
      <c r="U240" s="1"/>
      <c r="V240" s="1"/>
      <c r="W240" s="1"/>
      <c r="X240" s="1"/>
      <c r="Y240" s="1"/>
    </row>
    <row r="241" spans="1:25" ht="15" thickBot="1" x14ac:dyDescent="0.35">
      <c r="A241" s="2">
        <v>850</v>
      </c>
      <c r="B241" s="3">
        <v>40726</v>
      </c>
      <c r="C241" s="2">
        <v>1</v>
      </c>
      <c r="D241" s="2">
        <v>0</v>
      </c>
      <c r="E241" s="2">
        <v>2</v>
      </c>
      <c r="F241" s="2">
        <v>20</v>
      </c>
      <c r="G241" s="4" t="b">
        <v>0</v>
      </c>
      <c r="H241" s="2">
        <v>1</v>
      </c>
      <c r="I241" s="2">
        <v>2</v>
      </c>
      <c r="J241" s="2">
        <v>0.32</v>
      </c>
      <c r="K241" s="2">
        <v>0.33329999999999999</v>
      </c>
      <c r="L241" s="2">
        <v>0.7</v>
      </c>
      <c r="M241" s="44">
        <v>0.1045</v>
      </c>
      <c r="N241" s="2">
        <v>6</v>
      </c>
      <c r="O241" s="2">
        <v>82</v>
      </c>
      <c r="P241" s="2">
        <v>88</v>
      </c>
      <c r="Q241" s="1"/>
      <c r="R241" s="1"/>
      <c r="S241" s="1"/>
      <c r="T241" s="1"/>
      <c r="U241" s="1"/>
      <c r="V241" s="1"/>
      <c r="W241" s="1"/>
      <c r="X241" s="1"/>
      <c r="Y241" s="1"/>
    </row>
    <row r="242" spans="1:25" ht="15" thickBot="1" x14ac:dyDescent="0.35">
      <c r="A242" s="2">
        <v>851</v>
      </c>
      <c r="B242" s="3">
        <v>40726</v>
      </c>
      <c r="C242" s="2">
        <v>1</v>
      </c>
      <c r="D242" s="2">
        <v>0</v>
      </c>
      <c r="E242" s="2">
        <v>2</v>
      </c>
      <c r="F242" s="2">
        <v>21</v>
      </c>
      <c r="G242" s="4" t="b">
        <v>0</v>
      </c>
      <c r="H242" s="2">
        <v>1</v>
      </c>
      <c r="I242" s="2">
        <v>1</v>
      </c>
      <c r="J242" s="2">
        <v>0.32</v>
      </c>
      <c r="K242" s="2">
        <v>0.34849999999999998</v>
      </c>
      <c r="L242" s="2">
        <v>0.7</v>
      </c>
      <c r="M242" s="43">
        <v>0.1794158974358977</v>
      </c>
      <c r="N242" s="2">
        <v>3</v>
      </c>
      <c r="O242" s="2">
        <v>75</v>
      </c>
      <c r="P242" s="2">
        <v>78</v>
      </c>
      <c r="Q242" s="1"/>
      <c r="R242" s="1"/>
      <c r="S242" s="1"/>
      <c r="T242" s="1"/>
      <c r="U242" s="1"/>
      <c r="V242" s="1"/>
      <c r="W242" s="1"/>
      <c r="X242" s="1"/>
      <c r="Y242" s="1"/>
    </row>
    <row r="243" spans="1:25" ht="15" thickBot="1" x14ac:dyDescent="0.35">
      <c r="A243" s="2">
        <v>852</v>
      </c>
      <c r="B243" s="3">
        <v>40726</v>
      </c>
      <c r="C243" s="2">
        <v>1</v>
      </c>
      <c r="D243" s="2">
        <v>0</v>
      </c>
      <c r="E243" s="2">
        <v>2</v>
      </c>
      <c r="F243" s="2">
        <v>22</v>
      </c>
      <c r="G243" s="4" t="b">
        <v>0</v>
      </c>
      <c r="H243" s="2">
        <v>1</v>
      </c>
      <c r="I243" s="2">
        <v>1</v>
      </c>
      <c r="J243" s="2">
        <v>0.28000000000000003</v>
      </c>
      <c r="K243" s="2">
        <v>0.30299999999999999</v>
      </c>
      <c r="L243" s="2">
        <v>0.81</v>
      </c>
      <c r="M243" s="44">
        <v>8.9599999999999999E-2</v>
      </c>
      <c r="N243" s="2">
        <v>3</v>
      </c>
      <c r="O243" s="2">
        <v>34</v>
      </c>
      <c r="P243" s="2">
        <v>37</v>
      </c>
      <c r="Q243" s="1"/>
      <c r="R243" s="1"/>
      <c r="S243" s="1"/>
      <c r="T243" s="1"/>
      <c r="U243" s="1"/>
      <c r="V243" s="1"/>
      <c r="W243" s="1"/>
      <c r="X243" s="1"/>
      <c r="Y243" s="1"/>
    </row>
    <row r="244" spans="1:25" ht="15" thickBot="1" x14ac:dyDescent="0.35">
      <c r="A244" s="2">
        <v>853</v>
      </c>
      <c r="B244" s="3">
        <v>40726</v>
      </c>
      <c r="C244" s="2">
        <v>1</v>
      </c>
      <c r="D244" s="2">
        <v>0</v>
      </c>
      <c r="E244" s="2">
        <v>2</v>
      </c>
      <c r="F244" s="2">
        <v>23</v>
      </c>
      <c r="G244" s="4" t="b">
        <v>0</v>
      </c>
      <c r="H244" s="2">
        <v>1</v>
      </c>
      <c r="I244" s="2">
        <v>2</v>
      </c>
      <c r="J244" s="2">
        <v>0.3</v>
      </c>
      <c r="K244" s="2">
        <v>0.33329999999999999</v>
      </c>
      <c r="L244" s="2">
        <v>0.81</v>
      </c>
      <c r="M244" s="43">
        <v>0.1794158974358977</v>
      </c>
      <c r="N244" s="2">
        <v>6</v>
      </c>
      <c r="O244" s="2">
        <v>19</v>
      </c>
      <c r="P244" s="2">
        <v>25</v>
      </c>
      <c r="Q244" s="1"/>
      <c r="R244" s="1"/>
      <c r="S244" s="1"/>
      <c r="T244" s="1"/>
      <c r="U244" s="1"/>
      <c r="V244" s="1"/>
      <c r="W244" s="1"/>
      <c r="X244" s="1"/>
      <c r="Y244" s="1"/>
    </row>
    <row r="245" spans="1:25" ht="15" thickBot="1" x14ac:dyDescent="0.35">
      <c r="A245" s="2">
        <v>854</v>
      </c>
      <c r="B245" s="3">
        <v>40757</v>
      </c>
      <c r="C245" s="2">
        <v>1</v>
      </c>
      <c r="D245" s="2">
        <v>0</v>
      </c>
      <c r="E245" s="2">
        <v>2</v>
      </c>
      <c r="F245" s="2">
        <v>0</v>
      </c>
      <c r="G245" s="4" t="b">
        <v>0</v>
      </c>
      <c r="H245" s="2">
        <v>2</v>
      </c>
      <c r="I245" s="2">
        <v>2</v>
      </c>
      <c r="J245" s="2">
        <v>0.28000000000000003</v>
      </c>
      <c r="K245" s="2">
        <v>0.31819999999999998</v>
      </c>
      <c r="L245" s="2">
        <v>0.87</v>
      </c>
      <c r="M245" s="43">
        <v>0.1794158974358977</v>
      </c>
      <c r="N245" s="2">
        <v>4</v>
      </c>
      <c r="O245" s="2">
        <v>6</v>
      </c>
      <c r="P245" s="2">
        <v>10</v>
      </c>
      <c r="Q245" s="1"/>
      <c r="R245" s="1"/>
      <c r="S245" s="1"/>
      <c r="T245" s="1"/>
      <c r="U245" s="1"/>
      <c r="V245" s="1"/>
      <c r="W245" s="1"/>
      <c r="X245" s="1"/>
      <c r="Y245" s="1"/>
    </row>
    <row r="246" spans="1:25" ht="15" thickBot="1" x14ac:dyDescent="0.35">
      <c r="A246" s="2">
        <v>855</v>
      </c>
      <c r="B246" s="3">
        <v>40757</v>
      </c>
      <c r="C246" s="2">
        <v>1</v>
      </c>
      <c r="D246" s="2">
        <v>0</v>
      </c>
      <c r="E246" s="2">
        <v>2</v>
      </c>
      <c r="F246" s="2">
        <v>1</v>
      </c>
      <c r="G246" s="4" t="b">
        <v>0</v>
      </c>
      <c r="H246" s="2">
        <v>2</v>
      </c>
      <c r="I246" s="2">
        <v>2</v>
      </c>
      <c r="J246" s="2">
        <v>0.28000000000000003</v>
      </c>
      <c r="K246" s="2">
        <v>0.31819999999999998</v>
      </c>
      <c r="L246" s="2">
        <v>0.87</v>
      </c>
      <c r="M246" s="43">
        <v>0.1794158974358977</v>
      </c>
      <c r="N246" s="2">
        <v>0</v>
      </c>
      <c r="O246" s="2">
        <v>4</v>
      </c>
      <c r="P246" s="2">
        <v>4</v>
      </c>
      <c r="Q246" s="1"/>
      <c r="R246" s="1"/>
      <c r="S246" s="1"/>
      <c r="T246" s="1"/>
      <c r="U246" s="1"/>
      <c r="V246" s="1"/>
      <c r="W246" s="1"/>
      <c r="X246" s="1"/>
      <c r="Y246" s="1"/>
    </row>
    <row r="247" spans="1:25" ht="15" thickBot="1" x14ac:dyDescent="0.35">
      <c r="A247" s="2">
        <v>856</v>
      </c>
      <c r="B247" s="3">
        <v>40757</v>
      </c>
      <c r="C247" s="2">
        <v>1</v>
      </c>
      <c r="D247" s="2">
        <v>0</v>
      </c>
      <c r="E247" s="2">
        <v>2</v>
      </c>
      <c r="F247" s="2">
        <v>2</v>
      </c>
      <c r="G247" s="4" t="b">
        <v>0</v>
      </c>
      <c r="H247" s="2">
        <v>2</v>
      </c>
      <c r="I247" s="2">
        <v>2</v>
      </c>
      <c r="J247" s="2">
        <v>0.26</v>
      </c>
      <c r="K247" s="2">
        <v>0.2727</v>
      </c>
      <c r="L247" s="2">
        <v>0.93</v>
      </c>
      <c r="M247" s="44">
        <v>0.1045</v>
      </c>
      <c r="N247" s="2">
        <v>1</v>
      </c>
      <c r="O247" s="2">
        <v>1</v>
      </c>
      <c r="P247" s="2">
        <v>2</v>
      </c>
      <c r="Q247" s="1"/>
      <c r="R247" s="1"/>
      <c r="S247" s="1"/>
      <c r="T247" s="1"/>
      <c r="U247" s="1"/>
      <c r="V247" s="1"/>
      <c r="W247" s="1"/>
      <c r="X247" s="1"/>
      <c r="Y247" s="1"/>
    </row>
    <row r="248" spans="1:25" ht="15" thickBot="1" x14ac:dyDescent="0.35">
      <c r="A248" s="2">
        <v>857</v>
      </c>
      <c r="B248" s="3">
        <v>40757</v>
      </c>
      <c r="C248" s="2">
        <v>1</v>
      </c>
      <c r="D248" s="2">
        <v>0</v>
      </c>
      <c r="E248" s="2">
        <v>2</v>
      </c>
      <c r="F248" s="2">
        <v>3</v>
      </c>
      <c r="G248" s="4" t="b">
        <v>0</v>
      </c>
      <c r="H248" s="2">
        <v>2</v>
      </c>
      <c r="I248" s="2">
        <v>3</v>
      </c>
      <c r="J248" s="2">
        <v>0.28000000000000003</v>
      </c>
      <c r="K248" s="2">
        <v>0.2727</v>
      </c>
      <c r="L248" s="2">
        <v>0.93</v>
      </c>
      <c r="M248" s="44">
        <v>0.16420000000000001</v>
      </c>
      <c r="N248" s="2">
        <v>0</v>
      </c>
      <c r="O248" s="2">
        <v>1</v>
      </c>
      <c r="P248" s="2">
        <v>1</v>
      </c>
      <c r="Q248" s="1"/>
      <c r="R248" s="1"/>
      <c r="S248" s="1"/>
      <c r="T248" s="1"/>
      <c r="U248" s="1"/>
      <c r="V248" s="1"/>
      <c r="W248" s="1"/>
      <c r="X248" s="1"/>
      <c r="Y248" s="1"/>
    </row>
    <row r="249" spans="1:25" ht="15" thickBot="1" x14ac:dyDescent="0.35">
      <c r="A249" s="2">
        <v>858</v>
      </c>
      <c r="B249" s="3">
        <v>40757</v>
      </c>
      <c r="C249" s="2">
        <v>1</v>
      </c>
      <c r="D249" s="2">
        <v>0</v>
      </c>
      <c r="E249" s="2">
        <v>2</v>
      </c>
      <c r="F249" s="2">
        <v>4</v>
      </c>
      <c r="G249" s="4" t="b">
        <v>0</v>
      </c>
      <c r="H249" s="2">
        <v>2</v>
      </c>
      <c r="I249" s="2">
        <v>1</v>
      </c>
      <c r="J249" s="2">
        <v>0.26</v>
      </c>
      <c r="K249" s="2">
        <v>0.2576</v>
      </c>
      <c r="L249" s="2">
        <v>0.93</v>
      </c>
      <c r="M249" s="44">
        <v>0.16420000000000001</v>
      </c>
      <c r="N249" s="2">
        <v>0</v>
      </c>
      <c r="O249" s="2">
        <v>3</v>
      </c>
      <c r="P249" s="2">
        <v>3</v>
      </c>
      <c r="Q249" s="1"/>
      <c r="R249" s="1"/>
      <c r="S249" s="1"/>
      <c r="T249" s="1"/>
      <c r="U249" s="1"/>
      <c r="V249" s="1"/>
      <c r="W249" s="1"/>
      <c r="X249" s="1"/>
      <c r="Y249" s="1"/>
    </row>
    <row r="250" spans="1:25" ht="15" thickBot="1" x14ac:dyDescent="0.35">
      <c r="A250" s="2">
        <v>859</v>
      </c>
      <c r="B250" s="3">
        <v>40757</v>
      </c>
      <c r="C250" s="2">
        <v>1</v>
      </c>
      <c r="D250" s="2">
        <v>0</v>
      </c>
      <c r="E250" s="2">
        <v>2</v>
      </c>
      <c r="F250" s="2">
        <v>5</v>
      </c>
      <c r="G250" s="4" t="b">
        <v>0</v>
      </c>
      <c r="H250" s="2">
        <v>2</v>
      </c>
      <c r="I250" s="2">
        <v>1</v>
      </c>
      <c r="J250" s="2">
        <v>0.26</v>
      </c>
      <c r="K250" s="2">
        <v>0.2273</v>
      </c>
      <c r="L250" s="2">
        <v>0.81</v>
      </c>
      <c r="M250" s="44">
        <v>0.32840000000000003</v>
      </c>
      <c r="N250" s="2">
        <v>0</v>
      </c>
      <c r="O250" s="2">
        <v>2</v>
      </c>
      <c r="P250" s="2">
        <v>2</v>
      </c>
      <c r="Q250" s="1"/>
      <c r="R250" s="1"/>
      <c r="S250" s="1"/>
      <c r="T250" s="1"/>
      <c r="U250" s="1"/>
      <c r="V250" s="1"/>
      <c r="W250" s="1"/>
      <c r="X250" s="1"/>
      <c r="Y250" s="1"/>
    </row>
    <row r="251" spans="1:25" ht="15" thickBot="1" x14ac:dyDescent="0.35">
      <c r="A251" s="2">
        <v>860</v>
      </c>
      <c r="B251" s="3">
        <v>40757</v>
      </c>
      <c r="C251" s="2">
        <v>1</v>
      </c>
      <c r="D251" s="2">
        <v>0</v>
      </c>
      <c r="E251" s="2">
        <v>2</v>
      </c>
      <c r="F251" s="2">
        <v>6</v>
      </c>
      <c r="G251" s="4" t="b">
        <v>0</v>
      </c>
      <c r="H251" s="2">
        <v>2</v>
      </c>
      <c r="I251" s="2">
        <v>1</v>
      </c>
      <c r="J251" s="2">
        <v>0.26</v>
      </c>
      <c r="K251" s="2">
        <v>0.2273</v>
      </c>
      <c r="L251" s="2">
        <v>0.7</v>
      </c>
      <c r="M251" s="44">
        <v>0.32840000000000003</v>
      </c>
      <c r="N251" s="2">
        <v>0</v>
      </c>
      <c r="O251" s="2">
        <v>39</v>
      </c>
      <c r="P251" s="2">
        <v>39</v>
      </c>
      <c r="Q251" s="1"/>
      <c r="R251" s="1"/>
      <c r="S251" s="1"/>
      <c r="T251" s="1"/>
      <c r="U251" s="1"/>
      <c r="V251" s="1"/>
      <c r="W251" s="1"/>
      <c r="X251" s="1"/>
      <c r="Y251" s="1"/>
    </row>
    <row r="252" spans="1:25" ht="15" thickBot="1" x14ac:dyDescent="0.35">
      <c r="A252" s="2">
        <v>861</v>
      </c>
      <c r="B252" s="3">
        <v>40757</v>
      </c>
      <c r="C252" s="2">
        <v>1</v>
      </c>
      <c r="D252" s="2">
        <v>0</v>
      </c>
      <c r="E252" s="2">
        <v>2</v>
      </c>
      <c r="F252" s="2">
        <v>7</v>
      </c>
      <c r="G252" s="4" t="b">
        <v>0</v>
      </c>
      <c r="H252" s="2">
        <v>2</v>
      </c>
      <c r="I252" s="2">
        <v>1</v>
      </c>
      <c r="J252" s="2">
        <v>0.24</v>
      </c>
      <c r="K252" s="2">
        <v>0.19700000000000001</v>
      </c>
      <c r="L252" s="2">
        <v>0.65</v>
      </c>
      <c r="M252" s="44">
        <v>0.41789999999999999</v>
      </c>
      <c r="N252" s="2">
        <v>3</v>
      </c>
      <c r="O252" s="2">
        <v>97</v>
      </c>
      <c r="P252" s="2">
        <v>100</v>
      </c>
      <c r="Q252" s="1"/>
      <c r="R252" s="1"/>
      <c r="S252" s="1"/>
      <c r="T252" s="1"/>
      <c r="U252" s="1"/>
      <c r="V252" s="1"/>
      <c r="W252" s="1"/>
      <c r="X252" s="1"/>
      <c r="Y252" s="1"/>
    </row>
    <row r="253" spans="1:25" ht="15" thickBot="1" x14ac:dyDescent="0.35">
      <c r="A253" s="2">
        <v>862</v>
      </c>
      <c r="B253" s="3">
        <v>40757</v>
      </c>
      <c r="C253" s="2">
        <v>1</v>
      </c>
      <c r="D253" s="2">
        <v>0</v>
      </c>
      <c r="E253" s="2">
        <v>2</v>
      </c>
      <c r="F253" s="2">
        <v>8</v>
      </c>
      <c r="G253" s="4" t="b">
        <v>0</v>
      </c>
      <c r="H253" s="2">
        <v>2</v>
      </c>
      <c r="I253" s="2">
        <v>1</v>
      </c>
      <c r="J253" s="2">
        <v>0.24</v>
      </c>
      <c r="K253" s="2">
        <v>0.19700000000000001</v>
      </c>
      <c r="L253" s="2">
        <v>0.56000000000000005</v>
      </c>
      <c r="M253" s="44">
        <v>0.49249999999999999</v>
      </c>
      <c r="N253" s="2">
        <v>7</v>
      </c>
      <c r="O253" s="2">
        <v>236</v>
      </c>
      <c r="P253" s="2">
        <v>243</v>
      </c>
      <c r="Q253" s="1"/>
      <c r="R253" s="1"/>
      <c r="S253" s="1"/>
      <c r="T253" s="1"/>
      <c r="U253" s="1"/>
      <c r="V253" s="1"/>
      <c r="W253" s="1"/>
      <c r="X253" s="1"/>
      <c r="Y253" s="1"/>
    </row>
    <row r="254" spans="1:25" ht="15" thickBot="1" x14ac:dyDescent="0.35">
      <c r="A254" s="2">
        <v>863</v>
      </c>
      <c r="B254" s="3">
        <v>40757</v>
      </c>
      <c r="C254" s="2">
        <v>1</v>
      </c>
      <c r="D254" s="2">
        <v>0</v>
      </c>
      <c r="E254" s="2">
        <v>2</v>
      </c>
      <c r="F254" s="2">
        <v>9</v>
      </c>
      <c r="G254" s="4" t="b">
        <v>0</v>
      </c>
      <c r="H254" s="2">
        <v>2</v>
      </c>
      <c r="I254" s="2">
        <v>1</v>
      </c>
      <c r="J254" s="2">
        <v>0.24</v>
      </c>
      <c r="K254" s="2">
        <v>0.19700000000000001</v>
      </c>
      <c r="L254" s="2">
        <v>0.52</v>
      </c>
      <c r="M254" s="44">
        <v>0.49249999999999999</v>
      </c>
      <c r="N254" s="2">
        <v>7</v>
      </c>
      <c r="O254" s="2">
        <v>128</v>
      </c>
      <c r="P254" s="2">
        <v>135</v>
      </c>
      <c r="Q254" s="1"/>
      <c r="R254" s="1"/>
      <c r="S254" s="1"/>
      <c r="T254" s="1"/>
      <c r="U254" s="1"/>
      <c r="V254" s="1"/>
      <c r="W254" s="1"/>
      <c r="X254" s="1"/>
      <c r="Y254" s="1"/>
    </row>
    <row r="255" spans="1:25" ht="15" thickBot="1" x14ac:dyDescent="0.35">
      <c r="A255" s="2">
        <v>864</v>
      </c>
      <c r="B255" s="3">
        <v>40757</v>
      </c>
      <c r="C255" s="2">
        <v>1</v>
      </c>
      <c r="D255" s="2">
        <v>0</v>
      </c>
      <c r="E255" s="2">
        <v>2</v>
      </c>
      <c r="F255" s="2">
        <v>10</v>
      </c>
      <c r="G255" s="4" t="b">
        <v>0</v>
      </c>
      <c r="H255" s="2">
        <v>2</v>
      </c>
      <c r="I255" s="2">
        <v>1</v>
      </c>
      <c r="J255" s="2">
        <v>0.22</v>
      </c>
      <c r="K255" s="2">
        <v>0.18179999999999999</v>
      </c>
      <c r="L255" s="2">
        <v>0.47</v>
      </c>
      <c r="M255" s="44">
        <v>0.55220000000000002</v>
      </c>
      <c r="N255" s="2">
        <v>4</v>
      </c>
      <c r="O255" s="2">
        <v>44</v>
      </c>
      <c r="P255" s="2">
        <v>48</v>
      </c>
      <c r="Q255" s="1"/>
      <c r="R255" s="1"/>
      <c r="S255" s="1"/>
      <c r="T255" s="1"/>
      <c r="U255" s="1"/>
      <c r="V255" s="1"/>
      <c r="W255" s="1"/>
      <c r="X255" s="1"/>
      <c r="Y255" s="1"/>
    </row>
    <row r="256" spans="1:25" ht="15" thickBot="1" x14ac:dyDescent="0.35">
      <c r="A256" s="2">
        <v>865</v>
      </c>
      <c r="B256" s="3">
        <v>40757</v>
      </c>
      <c r="C256" s="2">
        <v>1</v>
      </c>
      <c r="D256" s="2">
        <v>0</v>
      </c>
      <c r="E256" s="2">
        <v>2</v>
      </c>
      <c r="F256" s="2">
        <v>11</v>
      </c>
      <c r="G256" s="4" t="b">
        <v>0</v>
      </c>
      <c r="H256" s="2">
        <v>2</v>
      </c>
      <c r="I256" s="2">
        <v>1</v>
      </c>
      <c r="J256" s="2">
        <v>0.22</v>
      </c>
      <c r="K256" s="2">
        <v>0.18179999999999999</v>
      </c>
      <c r="L256" s="2">
        <v>0.47</v>
      </c>
      <c r="M256" s="44">
        <v>0.4627</v>
      </c>
      <c r="N256" s="2">
        <v>1</v>
      </c>
      <c r="O256" s="2">
        <v>49</v>
      </c>
      <c r="P256" s="2">
        <v>50</v>
      </c>
      <c r="Q256" s="1"/>
      <c r="R256" s="1"/>
      <c r="S256" s="1"/>
      <c r="T256" s="1"/>
      <c r="U256" s="1"/>
      <c r="V256" s="1"/>
      <c r="W256" s="1"/>
      <c r="X256" s="1"/>
      <c r="Y256" s="1"/>
    </row>
    <row r="257" spans="1:25" ht="15" thickBot="1" x14ac:dyDescent="0.35">
      <c r="A257" s="2">
        <v>866</v>
      </c>
      <c r="B257" s="3">
        <v>40757</v>
      </c>
      <c r="C257" s="2">
        <v>1</v>
      </c>
      <c r="D257" s="2">
        <v>0</v>
      </c>
      <c r="E257" s="2">
        <v>2</v>
      </c>
      <c r="F257" s="2">
        <v>12</v>
      </c>
      <c r="G257" s="4" t="b">
        <v>0</v>
      </c>
      <c r="H257" s="2">
        <v>2</v>
      </c>
      <c r="I257" s="2">
        <v>1</v>
      </c>
      <c r="J257" s="2">
        <v>0.24</v>
      </c>
      <c r="K257" s="2">
        <v>0.19700000000000001</v>
      </c>
      <c r="L257" s="2">
        <v>0.38</v>
      </c>
      <c r="M257" s="44">
        <v>0.49249999999999999</v>
      </c>
      <c r="N257" s="2">
        <v>2</v>
      </c>
      <c r="O257" s="2">
        <v>63</v>
      </c>
      <c r="P257" s="2">
        <v>65</v>
      </c>
      <c r="Q257" s="1"/>
      <c r="R257" s="1"/>
      <c r="S257" s="1"/>
      <c r="T257" s="1"/>
      <c r="U257" s="1"/>
      <c r="V257" s="1"/>
      <c r="W257" s="1"/>
      <c r="X257" s="1"/>
      <c r="Y257" s="1"/>
    </row>
    <row r="258" spans="1:25" ht="15" thickBot="1" x14ac:dyDescent="0.35">
      <c r="A258" s="2">
        <v>867</v>
      </c>
      <c r="B258" s="3">
        <v>40757</v>
      </c>
      <c r="C258" s="2">
        <v>1</v>
      </c>
      <c r="D258" s="2">
        <v>0</v>
      </c>
      <c r="E258" s="2">
        <v>2</v>
      </c>
      <c r="F258" s="2">
        <v>13</v>
      </c>
      <c r="G258" s="4" t="b">
        <v>0</v>
      </c>
      <c r="H258" s="2">
        <v>2</v>
      </c>
      <c r="I258" s="2">
        <v>2</v>
      </c>
      <c r="J258" s="2">
        <v>0.24</v>
      </c>
      <c r="K258" s="2">
        <v>0.19700000000000001</v>
      </c>
      <c r="L258" s="2">
        <v>0.32</v>
      </c>
      <c r="M258" s="44">
        <v>0.44779999999999998</v>
      </c>
      <c r="N258" s="2">
        <v>2</v>
      </c>
      <c r="O258" s="2">
        <v>48</v>
      </c>
      <c r="P258" s="2">
        <v>50</v>
      </c>
      <c r="Q258" s="1"/>
      <c r="R258" s="1"/>
      <c r="S258" s="1"/>
      <c r="T258" s="1"/>
      <c r="U258" s="1"/>
      <c r="V258" s="1"/>
      <c r="W258" s="1"/>
      <c r="X258" s="1"/>
      <c r="Y258" s="1"/>
    </row>
    <row r="259" spans="1:25" ht="15" thickBot="1" x14ac:dyDescent="0.35">
      <c r="A259" s="2">
        <v>868</v>
      </c>
      <c r="B259" s="3">
        <v>40757</v>
      </c>
      <c r="C259" s="2">
        <v>1</v>
      </c>
      <c r="D259" s="2">
        <v>0</v>
      </c>
      <c r="E259" s="2">
        <v>2</v>
      </c>
      <c r="F259" s="2">
        <v>14</v>
      </c>
      <c r="G259" s="4" t="b">
        <v>0</v>
      </c>
      <c r="H259" s="2">
        <v>2</v>
      </c>
      <c r="I259" s="2">
        <v>1</v>
      </c>
      <c r="J259" s="2">
        <v>0.22</v>
      </c>
      <c r="K259" s="2">
        <v>0.19700000000000001</v>
      </c>
      <c r="L259" s="2">
        <v>0.37</v>
      </c>
      <c r="M259" s="44">
        <v>0.41789999999999999</v>
      </c>
      <c r="N259" s="2">
        <v>3</v>
      </c>
      <c r="O259" s="2">
        <v>61</v>
      </c>
      <c r="P259" s="2">
        <v>64</v>
      </c>
      <c r="Q259" s="1"/>
      <c r="R259" s="1"/>
      <c r="S259" s="1"/>
      <c r="T259" s="1"/>
      <c r="U259" s="1"/>
      <c r="V259" s="1"/>
      <c r="W259" s="1"/>
      <c r="X259" s="1"/>
      <c r="Y259" s="1"/>
    </row>
    <row r="260" spans="1:25" ht="15" thickBot="1" x14ac:dyDescent="0.35">
      <c r="A260" s="2">
        <v>869</v>
      </c>
      <c r="B260" s="3">
        <v>40757</v>
      </c>
      <c r="C260" s="2">
        <v>1</v>
      </c>
      <c r="D260" s="2">
        <v>0</v>
      </c>
      <c r="E260" s="2">
        <v>2</v>
      </c>
      <c r="F260" s="2">
        <v>15</v>
      </c>
      <c r="G260" s="4" t="b">
        <v>0</v>
      </c>
      <c r="H260" s="2">
        <v>2</v>
      </c>
      <c r="I260" s="2">
        <v>1</v>
      </c>
      <c r="J260" s="2">
        <v>0.22</v>
      </c>
      <c r="K260" s="2">
        <v>0.19700000000000001</v>
      </c>
      <c r="L260" s="2">
        <v>0.35</v>
      </c>
      <c r="M260" s="44">
        <v>0.3881</v>
      </c>
      <c r="N260" s="2">
        <v>6</v>
      </c>
      <c r="O260" s="2">
        <v>45</v>
      </c>
      <c r="P260" s="2">
        <v>51</v>
      </c>
      <c r="Q260" s="1"/>
      <c r="R260" s="1"/>
      <c r="S260" s="1"/>
      <c r="T260" s="1"/>
      <c r="U260" s="1"/>
      <c r="V260" s="1"/>
      <c r="W260" s="1"/>
      <c r="X260" s="1"/>
      <c r="Y260" s="1"/>
    </row>
    <row r="261" spans="1:25" ht="15" thickBot="1" x14ac:dyDescent="0.35">
      <c r="A261" s="2">
        <v>870</v>
      </c>
      <c r="B261" s="3">
        <v>40757</v>
      </c>
      <c r="C261" s="2">
        <v>1</v>
      </c>
      <c r="D261" s="2">
        <v>0</v>
      </c>
      <c r="E261" s="2">
        <v>2</v>
      </c>
      <c r="F261" s="2">
        <v>16</v>
      </c>
      <c r="G261" s="4" t="b">
        <v>0</v>
      </c>
      <c r="H261" s="2">
        <v>2</v>
      </c>
      <c r="I261" s="2">
        <v>1</v>
      </c>
      <c r="J261" s="2">
        <v>0.22</v>
      </c>
      <c r="K261" s="2">
        <v>0.18179999999999999</v>
      </c>
      <c r="L261" s="2">
        <v>0.35</v>
      </c>
      <c r="M261" s="44">
        <v>0.52239999999999998</v>
      </c>
      <c r="N261" s="2">
        <v>4</v>
      </c>
      <c r="O261" s="2">
        <v>79</v>
      </c>
      <c r="P261" s="2">
        <v>83</v>
      </c>
      <c r="Q261" s="1"/>
      <c r="R261" s="1"/>
      <c r="S261" s="1"/>
      <c r="T261" s="1"/>
      <c r="U261" s="1"/>
      <c r="V261" s="1"/>
      <c r="W261" s="1"/>
      <c r="X261" s="1"/>
      <c r="Y261" s="1"/>
    </row>
    <row r="262" spans="1:25" ht="15" thickBot="1" x14ac:dyDescent="0.35">
      <c r="A262" s="2">
        <v>871</v>
      </c>
      <c r="B262" s="3">
        <v>40757</v>
      </c>
      <c r="C262" s="2">
        <v>1</v>
      </c>
      <c r="D262" s="2">
        <v>0</v>
      </c>
      <c r="E262" s="2">
        <v>2</v>
      </c>
      <c r="F262" s="2">
        <v>17</v>
      </c>
      <c r="G262" s="4" t="b">
        <v>0</v>
      </c>
      <c r="H262" s="2">
        <v>2</v>
      </c>
      <c r="I262" s="2">
        <v>1</v>
      </c>
      <c r="J262" s="2">
        <v>0.22</v>
      </c>
      <c r="K262" s="2">
        <v>0.18179999999999999</v>
      </c>
      <c r="L262" s="2">
        <v>0.32</v>
      </c>
      <c r="M262" s="44">
        <v>0.58209999999999995</v>
      </c>
      <c r="N262" s="2">
        <v>4</v>
      </c>
      <c r="O262" s="2">
        <v>172</v>
      </c>
      <c r="P262" s="2">
        <v>176</v>
      </c>
      <c r="Q262" s="1"/>
      <c r="R262" s="1"/>
      <c r="S262" s="1"/>
      <c r="T262" s="1"/>
      <c r="U262" s="1"/>
      <c r="V262" s="1"/>
      <c r="W262" s="1"/>
      <c r="X262" s="1"/>
      <c r="Y262" s="1"/>
    </row>
    <row r="263" spans="1:25" ht="15" thickBot="1" x14ac:dyDescent="0.35">
      <c r="A263" s="2">
        <v>872</v>
      </c>
      <c r="B263" s="3">
        <v>40757</v>
      </c>
      <c r="C263" s="2">
        <v>1</v>
      </c>
      <c r="D263" s="2">
        <v>0</v>
      </c>
      <c r="E263" s="2">
        <v>2</v>
      </c>
      <c r="F263" s="2">
        <v>18</v>
      </c>
      <c r="G263" s="4" t="b">
        <v>0</v>
      </c>
      <c r="H263" s="2">
        <v>2</v>
      </c>
      <c r="I263" s="2">
        <v>1</v>
      </c>
      <c r="J263" s="2">
        <v>0.2</v>
      </c>
      <c r="K263" s="2">
        <v>0.18179999999999999</v>
      </c>
      <c r="L263" s="2">
        <v>0.32</v>
      </c>
      <c r="M263" s="44">
        <v>0.3881</v>
      </c>
      <c r="N263" s="2">
        <v>1</v>
      </c>
      <c r="O263" s="2">
        <v>151</v>
      </c>
      <c r="P263" s="2">
        <v>152</v>
      </c>
      <c r="Q263" s="1"/>
      <c r="R263" s="1"/>
      <c r="S263" s="1"/>
      <c r="T263" s="1"/>
      <c r="U263" s="1"/>
      <c r="V263" s="1"/>
      <c r="W263" s="1"/>
      <c r="X263" s="1"/>
      <c r="Y263" s="1"/>
    </row>
    <row r="264" spans="1:25" ht="15" thickBot="1" x14ac:dyDescent="0.35">
      <c r="A264" s="2">
        <v>873</v>
      </c>
      <c r="B264" s="3">
        <v>40757</v>
      </c>
      <c r="C264" s="2">
        <v>1</v>
      </c>
      <c r="D264" s="2">
        <v>0</v>
      </c>
      <c r="E264" s="2">
        <v>2</v>
      </c>
      <c r="F264" s="2">
        <v>19</v>
      </c>
      <c r="G264" s="4" t="b">
        <v>0</v>
      </c>
      <c r="H264" s="2">
        <v>2</v>
      </c>
      <c r="I264" s="2">
        <v>1</v>
      </c>
      <c r="J264" s="2">
        <v>0.16</v>
      </c>
      <c r="K264" s="2">
        <v>0.1212</v>
      </c>
      <c r="L264" s="2">
        <v>0.4</v>
      </c>
      <c r="M264" s="44">
        <v>0.4627</v>
      </c>
      <c r="N264" s="2">
        <v>1</v>
      </c>
      <c r="O264" s="2">
        <v>100</v>
      </c>
      <c r="P264" s="2">
        <v>101</v>
      </c>
      <c r="Q264" s="1"/>
      <c r="R264" s="1"/>
      <c r="S264" s="1"/>
      <c r="T264" s="1"/>
      <c r="U264" s="1"/>
      <c r="V264" s="1"/>
      <c r="W264" s="1"/>
      <c r="X264" s="1"/>
      <c r="Y264" s="1"/>
    </row>
    <row r="265" spans="1:25" ht="15" thickBot="1" x14ac:dyDescent="0.35">
      <c r="A265" s="2">
        <v>874</v>
      </c>
      <c r="B265" s="3">
        <v>40757</v>
      </c>
      <c r="C265" s="2">
        <v>1</v>
      </c>
      <c r="D265" s="2">
        <v>0</v>
      </c>
      <c r="E265" s="2">
        <v>2</v>
      </c>
      <c r="F265" s="2">
        <v>20</v>
      </c>
      <c r="G265" s="4" t="b">
        <v>0</v>
      </c>
      <c r="H265" s="2">
        <v>2</v>
      </c>
      <c r="I265" s="2">
        <v>1</v>
      </c>
      <c r="J265" s="2">
        <v>0.16</v>
      </c>
      <c r="K265" s="2">
        <v>0.13639999999999999</v>
      </c>
      <c r="L265" s="2">
        <v>0.4</v>
      </c>
      <c r="M265" s="44">
        <v>0.32840000000000003</v>
      </c>
      <c r="N265" s="2">
        <v>3</v>
      </c>
      <c r="O265" s="2">
        <v>53</v>
      </c>
      <c r="P265" s="2">
        <v>56</v>
      </c>
      <c r="Q265" s="1"/>
      <c r="R265" s="1"/>
      <c r="S265" s="1"/>
      <c r="T265" s="1"/>
      <c r="U265" s="1"/>
      <c r="V265" s="1"/>
      <c r="W265" s="1"/>
      <c r="X265" s="1"/>
      <c r="Y265" s="1"/>
    </row>
    <row r="266" spans="1:25" ht="15" thickBot="1" x14ac:dyDescent="0.35">
      <c r="A266" s="2">
        <v>875</v>
      </c>
      <c r="B266" s="3">
        <v>40757</v>
      </c>
      <c r="C266" s="2">
        <v>1</v>
      </c>
      <c r="D266" s="2">
        <v>0</v>
      </c>
      <c r="E266" s="2">
        <v>2</v>
      </c>
      <c r="F266" s="2">
        <v>21</v>
      </c>
      <c r="G266" s="4" t="b">
        <v>0</v>
      </c>
      <c r="H266" s="2">
        <v>2</v>
      </c>
      <c r="I266" s="2">
        <v>1</v>
      </c>
      <c r="J266" s="2">
        <v>0.14000000000000001</v>
      </c>
      <c r="K266" s="2">
        <v>0.1061</v>
      </c>
      <c r="L266" s="2">
        <v>0.33</v>
      </c>
      <c r="M266" s="44">
        <v>0.4627</v>
      </c>
      <c r="N266" s="2">
        <v>8</v>
      </c>
      <c r="O266" s="2">
        <v>46</v>
      </c>
      <c r="P266" s="2">
        <v>54</v>
      </c>
      <c r="Q266" s="1"/>
      <c r="R266" s="1"/>
      <c r="S266" s="1"/>
      <c r="T266" s="1"/>
      <c r="U266" s="1"/>
      <c r="V266" s="1"/>
      <c r="W266" s="1"/>
      <c r="X266" s="1"/>
      <c r="Y266" s="1"/>
    </row>
    <row r="267" spans="1:25" ht="15" thickBot="1" x14ac:dyDescent="0.35">
      <c r="A267" s="2">
        <v>876</v>
      </c>
      <c r="B267" s="3">
        <v>40757</v>
      </c>
      <c r="C267" s="2">
        <v>1</v>
      </c>
      <c r="D267" s="2">
        <v>0</v>
      </c>
      <c r="E267" s="2">
        <v>2</v>
      </c>
      <c r="F267" s="2">
        <v>22</v>
      </c>
      <c r="G267" s="4" t="b">
        <v>0</v>
      </c>
      <c r="H267" s="2">
        <v>2</v>
      </c>
      <c r="I267" s="2">
        <v>1</v>
      </c>
      <c r="J267" s="2">
        <v>0.12</v>
      </c>
      <c r="K267" s="2">
        <v>0.1061</v>
      </c>
      <c r="L267" s="2">
        <v>0.33</v>
      </c>
      <c r="M267" s="44">
        <v>0.35820000000000002</v>
      </c>
      <c r="N267" s="2">
        <v>0</v>
      </c>
      <c r="O267" s="2">
        <v>29</v>
      </c>
      <c r="P267" s="2">
        <v>29</v>
      </c>
      <c r="Q267" s="1"/>
      <c r="R267" s="1"/>
      <c r="S267" s="1"/>
      <c r="T267" s="1"/>
      <c r="U267" s="1"/>
      <c r="V267" s="1"/>
      <c r="W267" s="1"/>
      <c r="X267" s="1"/>
      <c r="Y267" s="1"/>
    </row>
    <row r="268" spans="1:25" ht="15" thickBot="1" x14ac:dyDescent="0.35">
      <c r="A268" s="2">
        <v>877</v>
      </c>
      <c r="B268" s="3">
        <v>40757</v>
      </c>
      <c r="C268" s="2">
        <v>1</v>
      </c>
      <c r="D268" s="2">
        <v>0</v>
      </c>
      <c r="E268" s="2">
        <v>2</v>
      </c>
      <c r="F268" s="2">
        <v>23</v>
      </c>
      <c r="G268" s="4" t="b">
        <v>0</v>
      </c>
      <c r="H268" s="2">
        <v>2</v>
      </c>
      <c r="I268" s="2">
        <v>1</v>
      </c>
      <c r="J268" s="2">
        <v>0.12</v>
      </c>
      <c r="K268" s="2">
        <v>0.1061</v>
      </c>
      <c r="L268" s="2">
        <v>0.33</v>
      </c>
      <c r="M268" s="44">
        <v>0.32840000000000003</v>
      </c>
      <c r="N268" s="2">
        <v>3</v>
      </c>
      <c r="O268" s="2">
        <v>9</v>
      </c>
      <c r="P268" s="2">
        <v>12</v>
      </c>
      <c r="Q268" s="1"/>
      <c r="R268" s="1"/>
      <c r="S268" s="1"/>
      <c r="T268" s="1"/>
      <c r="U268" s="1"/>
      <c r="V268" s="1"/>
      <c r="W268" s="1"/>
      <c r="X268" s="1"/>
      <c r="Y268" s="1"/>
    </row>
    <row r="269" spans="1:25" ht="15" thickBot="1" x14ac:dyDescent="0.35">
      <c r="A269" s="2">
        <v>878</v>
      </c>
      <c r="B269" s="3">
        <v>40788</v>
      </c>
      <c r="C269" s="2">
        <v>1</v>
      </c>
      <c r="D269" s="2">
        <v>0</v>
      </c>
      <c r="E269" s="2">
        <v>2</v>
      </c>
      <c r="F269" s="2">
        <v>0</v>
      </c>
      <c r="G269" s="4" t="b">
        <v>0</v>
      </c>
      <c r="H269" s="2">
        <v>3</v>
      </c>
      <c r="I269" s="2">
        <v>1</v>
      </c>
      <c r="J269" s="2">
        <v>0.1</v>
      </c>
      <c r="K269" s="2">
        <v>7.5800000000000006E-2</v>
      </c>
      <c r="L269" s="2">
        <v>0.36</v>
      </c>
      <c r="M269" s="44">
        <v>0.35820000000000002</v>
      </c>
      <c r="N269" s="2">
        <v>0</v>
      </c>
      <c r="O269" s="2">
        <v>17</v>
      </c>
      <c r="P269" s="2">
        <v>17</v>
      </c>
      <c r="Q269" s="1"/>
      <c r="R269" s="1"/>
      <c r="S269" s="1"/>
      <c r="T269" s="1"/>
      <c r="U269" s="1"/>
      <c r="V269" s="1"/>
      <c r="W269" s="1"/>
      <c r="X269" s="1"/>
      <c r="Y269" s="1"/>
    </row>
    <row r="270" spans="1:25" ht="15" thickBot="1" x14ac:dyDescent="0.35">
      <c r="A270" s="2">
        <v>879</v>
      </c>
      <c r="B270" s="3">
        <v>40788</v>
      </c>
      <c r="C270" s="2">
        <v>1</v>
      </c>
      <c r="D270" s="2">
        <v>0</v>
      </c>
      <c r="E270" s="2">
        <v>2</v>
      </c>
      <c r="F270" s="2">
        <v>1</v>
      </c>
      <c r="G270" s="4" t="b">
        <v>0</v>
      </c>
      <c r="H270" s="2">
        <v>3</v>
      </c>
      <c r="I270" s="2">
        <v>1</v>
      </c>
      <c r="J270" s="2">
        <v>0.1</v>
      </c>
      <c r="K270" s="2">
        <v>0.1061</v>
      </c>
      <c r="L270" s="2">
        <v>0.36</v>
      </c>
      <c r="M270" s="44">
        <v>0.22389999999999999</v>
      </c>
      <c r="N270" s="2">
        <v>0</v>
      </c>
      <c r="O270" s="2">
        <v>7</v>
      </c>
      <c r="P270" s="2">
        <v>7</v>
      </c>
      <c r="Q270" s="1"/>
      <c r="R270" s="1"/>
      <c r="S270" s="1"/>
      <c r="T270" s="1"/>
      <c r="U270" s="1"/>
      <c r="V270" s="1"/>
      <c r="W270" s="1"/>
      <c r="X270" s="1"/>
      <c r="Y270" s="1"/>
    </row>
    <row r="271" spans="1:25" ht="15" thickBot="1" x14ac:dyDescent="0.35">
      <c r="A271" s="2">
        <v>880</v>
      </c>
      <c r="B271" s="3">
        <v>40788</v>
      </c>
      <c r="C271" s="2">
        <v>1</v>
      </c>
      <c r="D271" s="2">
        <v>0</v>
      </c>
      <c r="E271" s="2">
        <v>2</v>
      </c>
      <c r="F271" s="2">
        <v>2</v>
      </c>
      <c r="G271" s="4" t="b">
        <v>0</v>
      </c>
      <c r="H271" s="2">
        <v>3</v>
      </c>
      <c r="I271" s="2">
        <v>1</v>
      </c>
      <c r="J271" s="2">
        <v>0.08</v>
      </c>
      <c r="K271" s="2">
        <v>7.5800000000000006E-2</v>
      </c>
      <c r="L271" s="2">
        <v>0.38</v>
      </c>
      <c r="M271" s="44">
        <v>0.28360000000000002</v>
      </c>
      <c r="N271" s="2">
        <v>1</v>
      </c>
      <c r="O271" s="2">
        <v>2</v>
      </c>
      <c r="P271" s="2">
        <v>3</v>
      </c>
      <c r="Q271" s="1"/>
      <c r="R271" s="1"/>
      <c r="S271" s="1"/>
      <c r="T271" s="1"/>
      <c r="U271" s="1"/>
      <c r="V271" s="1"/>
      <c r="W271" s="1"/>
      <c r="X271" s="1"/>
      <c r="Y271" s="1"/>
    </row>
    <row r="272" spans="1:25" ht="15" thickBot="1" x14ac:dyDescent="0.35">
      <c r="A272" s="2">
        <v>881</v>
      </c>
      <c r="B272" s="3">
        <v>40788</v>
      </c>
      <c r="C272" s="2">
        <v>1</v>
      </c>
      <c r="D272" s="2">
        <v>0</v>
      </c>
      <c r="E272" s="2">
        <v>2</v>
      </c>
      <c r="F272" s="2">
        <v>3</v>
      </c>
      <c r="G272" s="4" t="b">
        <v>0</v>
      </c>
      <c r="H272" s="2">
        <v>3</v>
      </c>
      <c r="I272" s="2">
        <v>1</v>
      </c>
      <c r="J272" s="2">
        <v>0.06</v>
      </c>
      <c r="K272" s="2">
        <v>7.5800000000000006E-2</v>
      </c>
      <c r="L272" s="2">
        <v>0.45</v>
      </c>
      <c r="M272" s="44">
        <v>0.1343</v>
      </c>
      <c r="N272" s="2">
        <v>0</v>
      </c>
      <c r="O272" s="2">
        <v>2</v>
      </c>
      <c r="P272" s="2">
        <v>2</v>
      </c>
      <c r="Q272" s="1"/>
      <c r="R272" s="1"/>
      <c r="S272" s="1"/>
      <c r="T272" s="1"/>
      <c r="U272" s="1"/>
      <c r="V272" s="1"/>
      <c r="W272" s="1"/>
      <c r="X272" s="1"/>
      <c r="Y272" s="1"/>
    </row>
    <row r="273" spans="1:25" ht="15" thickBot="1" x14ac:dyDescent="0.35">
      <c r="A273" s="2">
        <v>882</v>
      </c>
      <c r="B273" s="3">
        <v>40788</v>
      </c>
      <c r="C273" s="2">
        <v>1</v>
      </c>
      <c r="D273" s="2">
        <v>0</v>
      </c>
      <c r="E273" s="2">
        <v>2</v>
      </c>
      <c r="F273" s="2">
        <v>5</v>
      </c>
      <c r="G273" s="4" t="b">
        <v>0</v>
      </c>
      <c r="H273" s="2">
        <v>3</v>
      </c>
      <c r="I273" s="2">
        <v>1</v>
      </c>
      <c r="J273" s="2">
        <v>0.06</v>
      </c>
      <c r="K273" s="2">
        <v>0.1061</v>
      </c>
      <c r="L273" s="2">
        <v>0.45</v>
      </c>
      <c r="M273" s="44">
        <v>0.1045</v>
      </c>
      <c r="N273" s="2">
        <v>0</v>
      </c>
      <c r="O273" s="2">
        <v>7</v>
      </c>
      <c r="P273" s="2">
        <v>7</v>
      </c>
      <c r="Q273" s="1"/>
      <c r="R273" s="1"/>
      <c r="S273" s="1"/>
      <c r="T273" s="1"/>
      <c r="U273" s="1"/>
      <c r="V273" s="1"/>
      <c r="W273" s="1"/>
      <c r="X273" s="1"/>
      <c r="Y273" s="1"/>
    </row>
    <row r="274" spans="1:25" ht="15" thickBot="1" x14ac:dyDescent="0.35">
      <c r="A274" s="2">
        <v>883</v>
      </c>
      <c r="B274" s="3">
        <v>40788</v>
      </c>
      <c r="C274" s="2">
        <v>1</v>
      </c>
      <c r="D274" s="2">
        <v>0</v>
      </c>
      <c r="E274" s="2">
        <v>2</v>
      </c>
      <c r="F274" s="2">
        <v>6</v>
      </c>
      <c r="G274" s="4" t="b">
        <v>0</v>
      </c>
      <c r="H274" s="2">
        <v>3</v>
      </c>
      <c r="I274" s="2">
        <v>1</v>
      </c>
      <c r="J274" s="2">
        <v>0.06</v>
      </c>
      <c r="K274" s="2">
        <v>0.1515</v>
      </c>
      <c r="L274" s="2">
        <v>0.45</v>
      </c>
      <c r="M274" s="43">
        <v>0.1794158974358977</v>
      </c>
      <c r="N274" s="2">
        <v>0</v>
      </c>
      <c r="O274" s="2">
        <v>43</v>
      </c>
      <c r="P274" s="2">
        <v>43</v>
      </c>
      <c r="Q274" s="1"/>
      <c r="R274" s="1"/>
      <c r="S274" s="1"/>
      <c r="T274" s="1"/>
      <c r="U274" s="1"/>
      <c r="V274" s="1"/>
      <c r="W274" s="1"/>
      <c r="X274" s="1"/>
      <c r="Y274" s="1"/>
    </row>
    <row r="275" spans="1:25" ht="15" thickBot="1" x14ac:dyDescent="0.35">
      <c r="A275" s="2">
        <v>884</v>
      </c>
      <c r="B275" s="3">
        <v>40788</v>
      </c>
      <c r="C275" s="2">
        <v>1</v>
      </c>
      <c r="D275" s="2">
        <v>0</v>
      </c>
      <c r="E275" s="2">
        <v>2</v>
      </c>
      <c r="F275" s="2">
        <v>7</v>
      </c>
      <c r="G275" s="4" t="b">
        <v>0</v>
      </c>
      <c r="H275" s="2">
        <v>3</v>
      </c>
      <c r="I275" s="2">
        <v>1</v>
      </c>
      <c r="J275" s="2">
        <v>0.06</v>
      </c>
      <c r="K275" s="2">
        <v>0.1061</v>
      </c>
      <c r="L275" s="2">
        <v>0.49</v>
      </c>
      <c r="M275" s="44">
        <v>0.1045</v>
      </c>
      <c r="N275" s="2">
        <v>4</v>
      </c>
      <c r="O275" s="2">
        <v>95</v>
      </c>
      <c r="P275" s="2">
        <v>99</v>
      </c>
      <c r="Q275" s="1"/>
      <c r="R275" s="1"/>
      <c r="S275" s="1"/>
      <c r="T275" s="1"/>
      <c r="U275" s="1"/>
      <c r="V275" s="1"/>
      <c r="W275" s="1"/>
      <c r="X275" s="1"/>
      <c r="Y275" s="1"/>
    </row>
    <row r="276" spans="1:25" ht="15" thickBot="1" x14ac:dyDescent="0.35">
      <c r="A276" s="2">
        <v>885</v>
      </c>
      <c r="B276" s="3">
        <v>40788</v>
      </c>
      <c r="C276" s="2">
        <v>1</v>
      </c>
      <c r="D276" s="2">
        <v>0</v>
      </c>
      <c r="E276" s="2">
        <v>2</v>
      </c>
      <c r="F276" s="2">
        <v>8</v>
      </c>
      <c r="G276" s="4" t="b">
        <v>0</v>
      </c>
      <c r="H276" s="2">
        <v>3</v>
      </c>
      <c r="I276" s="2">
        <v>1</v>
      </c>
      <c r="J276" s="2">
        <v>0.1</v>
      </c>
      <c r="K276" s="2">
        <v>0.13639999999999999</v>
      </c>
      <c r="L276" s="2">
        <v>0.42</v>
      </c>
      <c r="M276" s="43">
        <v>0.1794158974358977</v>
      </c>
      <c r="N276" s="2">
        <v>1</v>
      </c>
      <c r="O276" s="2">
        <v>198</v>
      </c>
      <c r="P276" s="2">
        <v>199</v>
      </c>
      <c r="Q276" s="1"/>
      <c r="R276" s="1"/>
      <c r="S276" s="1"/>
      <c r="T276" s="1"/>
      <c r="U276" s="1"/>
      <c r="V276" s="1"/>
      <c r="W276" s="1"/>
      <c r="X276" s="1"/>
      <c r="Y276" s="1"/>
    </row>
    <row r="277" spans="1:25" ht="15" thickBot="1" x14ac:dyDescent="0.35">
      <c r="A277" s="2">
        <v>886</v>
      </c>
      <c r="B277" s="3">
        <v>40788</v>
      </c>
      <c r="C277" s="2">
        <v>1</v>
      </c>
      <c r="D277" s="2">
        <v>0</v>
      </c>
      <c r="E277" s="2">
        <v>2</v>
      </c>
      <c r="F277" s="2">
        <v>9</v>
      </c>
      <c r="G277" s="4" t="b">
        <v>0</v>
      </c>
      <c r="H277" s="2">
        <v>3</v>
      </c>
      <c r="I277" s="2">
        <v>1</v>
      </c>
      <c r="J277" s="2">
        <v>0.12</v>
      </c>
      <c r="K277" s="2">
        <v>0.13639999999999999</v>
      </c>
      <c r="L277" s="2">
        <v>0.39</v>
      </c>
      <c r="M277" s="44">
        <v>0.16420000000000001</v>
      </c>
      <c r="N277" s="2">
        <v>4</v>
      </c>
      <c r="O277" s="2">
        <v>119</v>
      </c>
      <c r="P277" s="2">
        <v>123</v>
      </c>
      <c r="Q277" s="1"/>
      <c r="R277" s="1"/>
      <c r="S277" s="1"/>
      <c r="T277" s="1"/>
      <c r="U277" s="1"/>
      <c r="V277" s="1"/>
      <c r="W277" s="1"/>
      <c r="X277" s="1"/>
      <c r="Y277" s="1"/>
    </row>
    <row r="278" spans="1:25" ht="15" thickBot="1" x14ac:dyDescent="0.35">
      <c r="A278" s="2">
        <v>887</v>
      </c>
      <c r="B278" s="3">
        <v>40788</v>
      </c>
      <c r="C278" s="2">
        <v>1</v>
      </c>
      <c r="D278" s="2">
        <v>0</v>
      </c>
      <c r="E278" s="2">
        <v>2</v>
      </c>
      <c r="F278" s="2">
        <v>10</v>
      </c>
      <c r="G278" s="4" t="b">
        <v>0</v>
      </c>
      <c r="H278" s="2">
        <v>3</v>
      </c>
      <c r="I278" s="2">
        <v>1</v>
      </c>
      <c r="J278" s="2">
        <v>0.14000000000000001</v>
      </c>
      <c r="K278" s="2">
        <v>0.18179999999999999</v>
      </c>
      <c r="L278" s="2">
        <v>0.36</v>
      </c>
      <c r="M278" s="43">
        <v>0.1794158974358977</v>
      </c>
      <c r="N278" s="2">
        <v>8</v>
      </c>
      <c r="O278" s="2">
        <v>51</v>
      </c>
      <c r="P278" s="2">
        <v>59</v>
      </c>
      <c r="Q278" s="1"/>
      <c r="R278" s="1"/>
      <c r="S278" s="1"/>
      <c r="T278" s="1"/>
      <c r="U278" s="1"/>
      <c r="V278" s="1"/>
      <c r="W278" s="1"/>
      <c r="X278" s="1"/>
      <c r="Y278" s="1"/>
    </row>
    <row r="279" spans="1:25" ht="15" thickBot="1" x14ac:dyDescent="0.35">
      <c r="A279" s="2">
        <v>888</v>
      </c>
      <c r="B279" s="3">
        <v>40788</v>
      </c>
      <c r="C279" s="2">
        <v>1</v>
      </c>
      <c r="D279" s="2">
        <v>0</v>
      </c>
      <c r="E279" s="2">
        <v>2</v>
      </c>
      <c r="F279" s="2">
        <v>11</v>
      </c>
      <c r="G279" s="4" t="b">
        <v>0</v>
      </c>
      <c r="H279" s="2">
        <v>3</v>
      </c>
      <c r="I279" s="2">
        <v>2</v>
      </c>
      <c r="J279" s="2">
        <v>0.14000000000000001</v>
      </c>
      <c r="K279" s="2">
        <v>0.1515</v>
      </c>
      <c r="L279" s="2">
        <v>0.43</v>
      </c>
      <c r="M279" s="44">
        <v>0.16420000000000001</v>
      </c>
      <c r="N279" s="2">
        <v>1</v>
      </c>
      <c r="O279" s="2">
        <v>40</v>
      </c>
      <c r="P279" s="2">
        <v>41</v>
      </c>
      <c r="Q279" s="1"/>
      <c r="R279" s="1"/>
      <c r="S279" s="1"/>
      <c r="T279" s="1"/>
      <c r="U279" s="1"/>
      <c r="V279" s="1"/>
      <c r="W279" s="1"/>
      <c r="X279" s="1"/>
      <c r="Y279" s="1"/>
    </row>
    <row r="280" spans="1:25" ht="15" thickBot="1" x14ac:dyDescent="0.35">
      <c r="A280" s="2">
        <v>889</v>
      </c>
      <c r="B280" s="3">
        <v>40788</v>
      </c>
      <c r="C280" s="2">
        <v>1</v>
      </c>
      <c r="D280" s="2">
        <v>0</v>
      </c>
      <c r="E280" s="2">
        <v>2</v>
      </c>
      <c r="F280" s="2">
        <v>12</v>
      </c>
      <c r="G280" s="4" t="b">
        <v>0</v>
      </c>
      <c r="H280" s="2">
        <v>3</v>
      </c>
      <c r="I280" s="2">
        <v>2</v>
      </c>
      <c r="J280" s="2">
        <v>0.18</v>
      </c>
      <c r="K280" s="2">
        <v>0.18179999999999999</v>
      </c>
      <c r="L280" s="2">
        <v>0.4</v>
      </c>
      <c r="M280" s="44">
        <v>0.22389999999999999</v>
      </c>
      <c r="N280" s="2">
        <v>4</v>
      </c>
      <c r="O280" s="2">
        <v>57</v>
      </c>
      <c r="P280" s="2">
        <v>61</v>
      </c>
      <c r="Q280" s="1"/>
      <c r="R280" s="1"/>
      <c r="S280" s="1"/>
      <c r="T280" s="1"/>
      <c r="U280" s="1"/>
      <c r="V280" s="1"/>
      <c r="W280" s="1"/>
      <c r="X280" s="1"/>
      <c r="Y280" s="1"/>
    </row>
    <row r="281" spans="1:25" ht="15" thickBot="1" x14ac:dyDescent="0.35">
      <c r="A281" s="2">
        <v>890</v>
      </c>
      <c r="B281" s="3">
        <v>40788</v>
      </c>
      <c r="C281" s="2">
        <v>1</v>
      </c>
      <c r="D281" s="2">
        <v>0</v>
      </c>
      <c r="E281" s="2">
        <v>2</v>
      </c>
      <c r="F281" s="2">
        <v>13</v>
      </c>
      <c r="G281" s="4" t="b">
        <v>0</v>
      </c>
      <c r="H281" s="2">
        <v>3</v>
      </c>
      <c r="I281" s="2">
        <v>1</v>
      </c>
      <c r="J281" s="2">
        <v>0.18</v>
      </c>
      <c r="K281" s="2">
        <v>0.16669999999999999</v>
      </c>
      <c r="L281" s="2">
        <v>0.4</v>
      </c>
      <c r="M281" s="44">
        <v>0.25369999999999998</v>
      </c>
      <c r="N281" s="2">
        <v>2</v>
      </c>
      <c r="O281" s="2">
        <v>67</v>
      </c>
      <c r="P281" s="2">
        <v>69</v>
      </c>
      <c r="Q281" s="1"/>
      <c r="R281" s="1"/>
      <c r="S281" s="1"/>
      <c r="T281" s="1"/>
      <c r="U281" s="1"/>
      <c r="V281" s="1"/>
      <c r="W281" s="1"/>
      <c r="X281" s="1"/>
      <c r="Y281" s="1"/>
    </row>
    <row r="282" spans="1:25" ht="15" thickBot="1" x14ac:dyDescent="0.35">
      <c r="A282" s="2">
        <v>891</v>
      </c>
      <c r="B282" s="3">
        <v>40788</v>
      </c>
      <c r="C282" s="2">
        <v>1</v>
      </c>
      <c r="D282" s="2">
        <v>0</v>
      </c>
      <c r="E282" s="2">
        <v>2</v>
      </c>
      <c r="F282" s="2">
        <v>14</v>
      </c>
      <c r="G282" s="4" t="b">
        <v>0</v>
      </c>
      <c r="H282" s="2">
        <v>3</v>
      </c>
      <c r="I282" s="2">
        <v>1</v>
      </c>
      <c r="J282" s="2">
        <v>0.2</v>
      </c>
      <c r="K282" s="2">
        <v>0.18179999999999999</v>
      </c>
      <c r="L282" s="2">
        <v>0.34</v>
      </c>
      <c r="M282" s="44">
        <v>0.29849999999999999</v>
      </c>
      <c r="N282" s="2">
        <v>2</v>
      </c>
      <c r="O282" s="2">
        <v>56</v>
      </c>
      <c r="P282" s="2">
        <v>58</v>
      </c>
      <c r="Q282" s="1"/>
      <c r="R282" s="1"/>
      <c r="S282" s="1"/>
      <c r="T282" s="1"/>
      <c r="U282" s="1"/>
      <c r="V282" s="1"/>
      <c r="W282" s="1"/>
      <c r="X282" s="1"/>
      <c r="Y282" s="1"/>
    </row>
    <row r="283" spans="1:25" ht="15" thickBot="1" x14ac:dyDescent="0.35">
      <c r="A283" s="2">
        <v>892</v>
      </c>
      <c r="B283" s="3">
        <v>40788</v>
      </c>
      <c r="C283" s="2">
        <v>1</v>
      </c>
      <c r="D283" s="2">
        <v>0</v>
      </c>
      <c r="E283" s="2">
        <v>2</v>
      </c>
      <c r="F283" s="2">
        <v>15</v>
      </c>
      <c r="G283" s="4" t="b">
        <v>0</v>
      </c>
      <c r="H283" s="2">
        <v>3</v>
      </c>
      <c r="I283" s="2">
        <v>2</v>
      </c>
      <c r="J283" s="2">
        <v>0.2</v>
      </c>
      <c r="K283" s="2">
        <v>0.18179999999999999</v>
      </c>
      <c r="L283" s="2">
        <v>0.34</v>
      </c>
      <c r="M283" s="44">
        <v>0.28360000000000002</v>
      </c>
      <c r="N283" s="2">
        <v>3</v>
      </c>
      <c r="O283" s="2">
        <v>61</v>
      </c>
      <c r="P283" s="2">
        <v>64</v>
      </c>
      <c r="Q283" s="1"/>
      <c r="R283" s="1"/>
      <c r="S283" s="1"/>
      <c r="T283" s="1"/>
      <c r="U283" s="1"/>
      <c r="V283" s="1"/>
      <c r="W283" s="1"/>
      <c r="X283" s="1"/>
      <c r="Y283" s="1"/>
    </row>
    <row r="284" spans="1:25" ht="15" thickBot="1" x14ac:dyDescent="0.35">
      <c r="A284" s="2">
        <v>893</v>
      </c>
      <c r="B284" s="3">
        <v>40788</v>
      </c>
      <c r="C284" s="2">
        <v>1</v>
      </c>
      <c r="D284" s="2">
        <v>0</v>
      </c>
      <c r="E284" s="2">
        <v>2</v>
      </c>
      <c r="F284" s="2">
        <v>16</v>
      </c>
      <c r="G284" s="4" t="b">
        <v>0</v>
      </c>
      <c r="H284" s="2">
        <v>3</v>
      </c>
      <c r="I284" s="2">
        <v>2</v>
      </c>
      <c r="J284" s="2">
        <v>0.2</v>
      </c>
      <c r="K284" s="2">
        <v>0.19700000000000001</v>
      </c>
      <c r="L284" s="2">
        <v>0.37</v>
      </c>
      <c r="M284" s="44">
        <v>0.25369999999999998</v>
      </c>
      <c r="N284" s="2">
        <v>7</v>
      </c>
      <c r="O284" s="2">
        <v>72</v>
      </c>
      <c r="P284" s="2">
        <v>79</v>
      </c>
      <c r="Q284" s="1"/>
      <c r="R284" s="1"/>
      <c r="S284" s="1"/>
      <c r="T284" s="1"/>
      <c r="U284" s="1"/>
      <c r="V284" s="1"/>
      <c r="W284" s="1"/>
      <c r="X284" s="1"/>
      <c r="Y284" s="1"/>
    </row>
    <row r="285" spans="1:25" ht="15" thickBot="1" x14ac:dyDescent="0.35">
      <c r="A285" s="2">
        <v>894</v>
      </c>
      <c r="B285" s="3">
        <v>40788</v>
      </c>
      <c r="C285" s="2">
        <v>1</v>
      </c>
      <c r="D285" s="2">
        <v>0</v>
      </c>
      <c r="E285" s="2">
        <v>2</v>
      </c>
      <c r="F285" s="2">
        <v>17</v>
      </c>
      <c r="G285" s="4" t="b">
        <v>0</v>
      </c>
      <c r="H285" s="2">
        <v>3</v>
      </c>
      <c r="I285" s="2">
        <v>2</v>
      </c>
      <c r="J285" s="2">
        <v>0.2</v>
      </c>
      <c r="K285" s="2">
        <v>0.19700000000000001</v>
      </c>
      <c r="L285" s="2">
        <v>0.34</v>
      </c>
      <c r="M285" s="44">
        <v>0.25369999999999998</v>
      </c>
      <c r="N285" s="2">
        <v>9</v>
      </c>
      <c r="O285" s="2">
        <v>157</v>
      </c>
      <c r="P285" s="2">
        <v>166</v>
      </c>
      <c r="Q285" s="1"/>
      <c r="R285" s="1"/>
      <c r="S285" s="1"/>
      <c r="T285" s="1"/>
      <c r="U285" s="1"/>
      <c r="V285" s="1"/>
      <c r="W285" s="1"/>
      <c r="X285" s="1"/>
      <c r="Y285" s="1"/>
    </row>
    <row r="286" spans="1:25" ht="15" thickBot="1" x14ac:dyDescent="0.35">
      <c r="A286" s="2">
        <v>895</v>
      </c>
      <c r="B286" s="3">
        <v>40788</v>
      </c>
      <c r="C286" s="2">
        <v>1</v>
      </c>
      <c r="D286" s="2">
        <v>0</v>
      </c>
      <c r="E286" s="2">
        <v>2</v>
      </c>
      <c r="F286" s="2">
        <v>18</v>
      </c>
      <c r="G286" s="4" t="b">
        <v>0</v>
      </c>
      <c r="H286" s="2">
        <v>3</v>
      </c>
      <c r="I286" s="2">
        <v>2</v>
      </c>
      <c r="J286" s="2">
        <v>0.18</v>
      </c>
      <c r="K286" s="2">
        <v>0.16669999999999999</v>
      </c>
      <c r="L286" s="2">
        <v>0.47</v>
      </c>
      <c r="M286" s="44">
        <v>0.29849999999999999</v>
      </c>
      <c r="N286" s="2">
        <v>2</v>
      </c>
      <c r="O286" s="2">
        <v>168</v>
      </c>
      <c r="P286" s="2">
        <v>170</v>
      </c>
      <c r="Q286" s="1"/>
      <c r="R286" s="1"/>
      <c r="S286" s="1"/>
      <c r="T286" s="1"/>
      <c r="U286" s="1"/>
      <c r="V286" s="1"/>
      <c r="W286" s="1"/>
      <c r="X286" s="1"/>
      <c r="Y286" s="1"/>
    </row>
    <row r="287" spans="1:25" ht="15" thickBot="1" x14ac:dyDescent="0.35">
      <c r="A287" s="2">
        <v>896</v>
      </c>
      <c r="B287" s="3">
        <v>40788</v>
      </c>
      <c r="C287" s="2">
        <v>1</v>
      </c>
      <c r="D287" s="2">
        <v>0</v>
      </c>
      <c r="E287" s="2">
        <v>2</v>
      </c>
      <c r="F287" s="2">
        <v>19</v>
      </c>
      <c r="G287" s="4" t="b">
        <v>0</v>
      </c>
      <c r="H287" s="2">
        <v>3</v>
      </c>
      <c r="I287" s="2">
        <v>3</v>
      </c>
      <c r="J287" s="2">
        <v>0.14000000000000001</v>
      </c>
      <c r="K287" s="2">
        <v>0.1212</v>
      </c>
      <c r="L287" s="2">
        <v>0.86</v>
      </c>
      <c r="M287" s="44">
        <v>0.25369999999999998</v>
      </c>
      <c r="N287" s="2">
        <v>1</v>
      </c>
      <c r="O287" s="2">
        <v>87</v>
      </c>
      <c r="P287" s="2">
        <v>88</v>
      </c>
      <c r="Q287" s="1"/>
      <c r="R287" s="1"/>
      <c r="S287" s="1"/>
      <c r="T287" s="1"/>
      <c r="U287" s="1"/>
      <c r="V287" s="1"/>
      <c r="W287" s="1"/>
      <c r="X287" s="1"/>
      <c r="Y287" s="1"/>
    </row>
    <row r="288" spans="1:25" ht="15" thickBot="1" x14ac:dyDescent="0.35">
      <c r="A288" s="2">
        <v>897</v>
      </c>
      <c r="B288" s="3">
        <v>40788</v>
      </c>
      <c r="C288" s="2">
        <v>1</v>
      </c>
      <c r="D288" s="2">
        <v>0</v>
      </c>
      <c r="E288" s="2">
        <v>2</v>
      </c>
      <c r="F288" s="2">
        <v>20</v>
      </c>
      <c r="G288" s="4" t="b">
        <v>0</v>
      </c>
      <c r="H288" s="2">
        <v>3</v>
      </c>
      <c r="I288" s="2">
        <v>3</v>
      </c>
      <c r="J288" s="2">
        <v>0.14000000000000001</v>
      </c>
      <c r="K288" s="2">
        <v>0.1515</v>
      </c>
      <c r="L288" s="2">
        <v>0.86</v>
      </c>
      <c r="M288" s="44">
        <v>0.16420000000000001</v>
      </c>
      <c r="N288" s="2">
        <v>0</v>
      </c>
      <c r="O288" s="2">
        <v>84</v>
      </c>
      <c r="P288" s="2">
        <v>84</v>
      </c>
      <c r="Q288" s="1"/>
      <c r="R288" s="1"/>
      <c r="S288" s="1"/>
      <c r="T288" s="1"/>
      <c r="U288" s="1"/>
      <c r="V288" s="1"/>
      <c r="W288" s="1"/>
      <c r="X288" s="1"/>
      <c r="Y288" s="1"/>
    </row>
    <row r="289" spans="1:25" ht="15" thickBot="1" x14ac:dyDescent="0.35">
      <c r="A289" s="2">
        <v>898</v>
      </c>
      <c r="B289" s="3">
        <v>40788</v>
      </c>
      <c r="C289" s="2">
        <v>1</v>
      </c>
      <c r="D289" s="2">
        <v>0</v>
      </c>
      <c r="E289" s="2">
        <v>2</v>
      </c>
      <c r="F289" s="2">
        <v>21</v>
      </c>
      <c r="G289" s="4" t="b">
        <v>0</v>
      </c>
      <c r="H289" s="2">
        <v>3</v>
      </c>
      <c r="I289" s="2">
        <v>2</v>
      </c>
      <c r="J289" s="2">
        <v>0.14000000000000001</v>
      </c>
      <c r="K289" s="2">
        <v>0.1515</v>
      </c>
      <c r="L289" s="2">
        <v>0.86</v>
      </c>
      <c r="M289" s="44">
        <v>0.16420000000000001</v>
      </c>
      <c r="N289" s="2">
        <v>0</v>
      </c>
      <c r="O289" s="2">
        <v>83</v>
      </c>
      <c r="P289" s="2">
        <v>83</v>
      </c>
      <c r="Q289" s="1"/>
      <c r="R289" s="1"/>
      <c r="S289" s="1"/>
      <c r="T289" s="1"/>
      <c r="U289" s="1"/>
      <c r="V289" s="1"/>
      <c r="W289" s="1"/>
      <c r="X289" s="1"/>
      <c r="Y289" s="1"/>
    </row>
    <row r="290" spans="1:25" ht="15" thickBot="1" x14ac:dyDescent="0.35">
      <c r="A290" s="2">
        <v>899</v>
      </c>
      <c r="B290" s="3">
        <v>40788</v>
      </c>
      <c r="C290" s="2">
        <v>1</v>
      </c>
      <c r="D290" s="2">
        <v>0</v>
      </c>
      <c r="E290" s="2">
        <v>2</v>
      </c>
      <c r="F290" s="2">
        <v>22</v>
      </c>
      <c r="G290" s="4" t="b">
        <v>0</v>
      </c>
      <c r="H290" s="2">
        <v>3</v>
      </c>
      <c r="I290" s="2">
        <v>3</v>
      </c>
      <c r="J290" s="2">
        <v>0.16</v>
      </c>
      <c r="K290" s="2">
        <v>0.16669999999999999</v>
      </c>
      <c r="L290" s="2">
        <v>0.8</v>
      </c>
      <c r="M290" s="44">
        <v>0.16420000000000001</v>
      </c>
      <c r="N290" s="2">
        <v>4</v>
      </c>
      <c r="O290" s="2">
        <v>42</v>
      </c>
      <c r="P290" s="2">
        <v>46</v>
      </c>
      <c r="Q290" s="1"/>
      <c r="R290" s="1"/>
      <c r="S290" s="1"/>
      <c r="T290" s="1"/>
      <c r="U290" s="1"/>
      <c r="V290" s="1"/>
      <c r="W290" s="1"/>
      <c r="X290" s="1"/>
      <c r="Y290" s="1"/>
    </row>
    <row r="291" spans="1:25" ht="15" thickBot="1" x14ac:dyDescent="0.35">
      <c r="A291" s="2">
        <v>900</v>
      </c>
      <c r="B291" s="3">
        <v>40788</v>
      </c>
      <c r="C291" s="2">
        <v>1</v>
      </c>
      <c r="D291" s="2">
        <v>0</v>
      </c>
      <c r="E291" s="2">
        <v>2</v>
      </c>
      <c r="F291" s="2">
        <v>23</v>
      </c>
      <c r="G291" s="4" t="b">
        <v>0</v>
      </c>
      <c r="H291" s="2">
        <v>3</v>
      </c>
      <c r="I291" s="2">
        <v>3</v>
      </c>
      <c r="J291" s="2">
        <v>0.16</v>
      </c>
      <c r="K291" s="2">
        <v>0.1515</v>
      </c>
      <c r="L291" s="2">
        <v>0.8</v>
      </c>
      <c r="M291" s="44">
        <v>0.19400000000000001</v>
      </c>
      <c r="N291" s="2">
        <v>0</v>
      </c>
      <c r="O291" s="2">
        <v>37</v>
      </c>
      <c r="P291" s="2">
        <v>37</v>
      </c>
      <c r="Q291" s="1"/>
      <c r="R291" s="1"/>
      <c r="S291" s="1"/>
      <c r="T291" s="1"/>
      <c r="U291" s="1"/>
      <c r="V291" s="1"/>
      <c r="W291" s="1"/>
      <c r="X291" s="1"/>
      <c r="Y291" s="1"/>
    </row>
    <row r="292" spans="1:25" ht="15" thickBot="1" x14ac:dyDescent="0.35">
      <c r="A292" s="2">
        <v>901</v>
      </c>
      <c r="B292" s="3">
        <v>40818</v>
      </c>
      <c r="C292" s="2">
        <v>1</v>
      </c>
      <c r="D292" s="2">
        <v>0</v>
      </c>
      <c r="E292" s="2">
        <v>2</v>
      </c>
      <c r="F292" s="2">
        <v>0</v>
      </c>
      <c r="G292" s="4" t="b">
        <v>0</v>
      </c>
      <c r="H292" s="2">
        <v>4</v>
      </c>
      <c r="I292" s="2">
        <v>3</v>
      </c>
      <c r="J292" s="2">
        <v>0.14000000000000001</v>
      </c>
      <c r="K292" s="2">
        <v>0.13639999999999999</v>
      </c>
      <c r="L292" s="2">
        <v>0.86</v>
      </c>
      <c r="M292" s="44">
        <v>0.19400000000000001</v>
      </c>
      <c r="N292" s="2">
        <v>0</v>
      </c>
      <c r="O292" s="2">
        <v>16</v>
      </c>
      <c r="P292" s="2">
        <v>16</v>
      </c>
      <c r="Q292" s="1"/>
      <c r="R292" s="1"/>
      <c r="S292" s="1"/>
      <c r="T292" s="1"/>
      <c r="U292" s="1"/>
      <c r="V292" s="1"/>
      <c r="W292" s="1"/>
      <c r="X292" s="1"/>
      <c r="Y292" s="1"/>
    </row>
    <row r="293" spans="1:25" ht="15" thickBot="1" x14ac:dyDescent="0.35">
      <c r="A293" s="2">
        <v>902</v>
      </c>
      <c r="B293" s="3">
        <v>40818</v>
      </c>
      <c r="C293" s="2">
        <v>1</v>
      </c>
      <c r="D293" s="2">
        <v>0</v>
      </c>
      <c r="E293" s="2">
        <v>2</v>
      </c>
      <c r="F293" s="2">
        <v>1</v>
      </c>
      <c r="G293" s="4" t="b">
        <v>0</v>
      </c>
      <c r="H293" s="2">
        <v>4</v>
      </c>
      <c r="I293" s="2">
        <v>3</v>
      </c>
      <c r="J293" s="2">
        <v>0.14000000000000001</v>
      </c>
      <c r="K293" s="2">
        <v>0.1515</v>
      </c>
      <c r="L293" s="2">
        <v>0.8</v>
      </c>
      <c r="M293" s="44">
        <v>0.1343</v>
      </c>
      <c r="N293" s="2">
        <v>0</v>
      </c>
      <c r="O293" s="2">
        <v>7</v>
      </c>
      <c r="P293" s="2">
        <v>7</v>
      </c>
      <c r="Q293" s="1"/>
      <c r="R293" s="1"/>
      <c r="S293" s="1"/>
      <c r="T293" s="1"/>
      <c r="U293" s="1"/>
      <c r="V293" s="1"/>
      <c r="W293" s="1"/>
      <c r="X293" s="1"/>
      <c r="Y293" s="1"/>
    </row>
    <row r="294" spans="1:25" ht="15" thickBot="1" x14ac:dyDescent="0.35">
      <c r="A294" s="2">
        <v>903</v>
      </c>
      <c r="B294" s="3">
        <v>40818</v>
      </c>
      <c r="C294" s="2">
        <v>1</v>
      </c>
      <c r="D294" s="2">
        <v>0</v>
      </c>
      <c r="E294" s="2">
        <v>2</v>
      </c>
      <c r="F294" s="2">
        <v>2</v>
      </c>
      <c r="G294" s="4" t="b">
        <v>0</v>
      </c>
      <c r="H294" s="2">
        <v>4</v>
      </c>
      <c r="I294" s="2">
        <v>3</v>
      </c>
      <c r="J294" s="2">
        <v>0.14000000000000001</v>
      </c>
      <c r="K294" s="2">
        <v>0.1515</v>
      </c>
      <c r="L294" s="2">
        <v>0.8</v>
      </c>
      <c r="M294" s="44">
        <v>0.1343</v>
      </c>
      <c r="N294" s="2">
        <v>0</v>
      </c>
      <c r="O294" s="2">
        <v>3</v>
      </c>
      <c r="P294" s="2">
        <v>3</v>
      </c>
      <c r="Q294" s="1"/>
      <c r="R294" s="1"/>
      <c r="S294" s="1"/>
      <c r="T294" s="1"/>
      <c r="U294" s="1"/>
      <c r="V294" s="1"/>
      <c r="W294" s="1"/>
      <c r="X294" s="1"/>
      <c r="Y294" s="1"/>
    </row>
    <row r="295" spans="1:25" ht="15" thickBot="1" x14ac:dyDescent="0.35">
      <c r="A295" s="2">
        <v>904</v>
      </c>
      <c r="B295" s="3">
        <v>40818</v>
      </c>
      <c r="C295" s="2">
        <v>1</v>
      </c>
      <c r="D295" s="2">
        <v>0</v>
      </c>
      <c r="E295" s="2">
        <v>2</v>
      </c>
      <c r="F295" s="2">
        <v>4</v>
      </c>
      <c r="G295" s="4" t="b">
        <v>0</v>
      </c>
      <c r="H295" s="2">
        <v>4</v>
      </c>
      <c r="I295" s="2">
        <v>2</v>
      </c>
      <c r="J295" s="2">
        <v>0.14000000000000001</v>
      </c>
      <c r="K295" s="2">
        <v>0.13639999999999999</v>
      </c>
      <c r="L295" s="2">
        <v>0.59</v>
      </c>
      <c r="M295" s="44">
        <v>0.22389999999999999</v>
      </c>
      <c r="N295" s="2">
        <v>0</v>
      </c>
      <c r="O295" s="2">
        <v>1</v>
      </c>
      <c r="P295" s="2">
        <v>1</v>
      </c>
      <c r="Q295" s="1"/>
      <c r="R295" s="1"/>
      <c r="S295" s="1"/>
      <c r="T295" s="1"/>
      <c r="U295" s="1"/>
      <c r="V295" s="1"/>
      <c r="W295" s="1"/>
      <c r="X295" s="1"/>
      <c r="Y295" s="1"/>
    </row>
    <row r="296" spans="1:25" ht="15" thickBot="1" x14ac:dyDescent="0.35">
      <c r="A296" s="2">
        <v>905</v>
      </c>
      <c r="B296" s="3">
        <v>40818</v>
      </c>
      <c r="C296" s="2">
        <v>1</v>
      </c>
      <c r="D296" s="2">
        <v>0</v>
      </c>
      <c r="E296" s="2">
        <v>2</v>
      </c>
      <c r="F296" s="2">
        <v>5</v>
      </c>
      <c r="G296" s="4" t="b">
        <v>0</v>
      </c>
      <c r="H296" s="2">
        <v>4</v>
      </c>
      <c r="I296" s="2">
        <v>2</v>
      </c>
      <c r="J296" s="2">
        <v>0.12</v>
      </c>
      <c r="K296" s="2">
        <v>0.1212</v>
      </c>
      <c r="L296" s="2">
        <v>0.5</v>
      </c>
      <c r="M296" s="44">
        <v>0.22389999999999999</v>
      </c>
      <c r="N296" s="2">
        <v>0</v>
      </c>
      <c r="O296" s="2">
        <v>6</v>
      </c>
      <c r="P296" s="2">
        <v>6</v>
      </c>
      <c r="Q296" s="1"/>
      <c r="R296" s="1"/>
      <c r="S296" s="1"/>
      <c r="T296" s="1"/>
      <c r="U296" s="1"/>
      <c r="V296" s="1"/>
      <c r="W296" s="1"/>
      <c r="X296" s="1"/>
      <c r="Y296" s="1"/>
    </row>
    <row r="297" spans="1:25" ht="15" thickBot="1" x14ac:dyDescent="0.35">
      <c r="A297" s="2">
        <v>906</v>
      </c>
      <c r="B297" s="3">
        <v>40818</v>
      </c>
      <c r="C297" s="2">
        <v>1</v>
      </c>
      <c r="D297" s="2">
        <v>0</v>
      </c>
      <c r="E297" s="2">
        <v>2</v>
      </c>
      <c r="F297" s="2">
        <v>6</v>
      </c>
      <c r="G297" s="4" t="b">
        <v>0</v>
      </c>
      <c r="H297" s="2">
        <v>4</v>
      </c>
      <c r="I297" s="2">
        <v>2</v>
      </c>
      <c r="J297" s="2">
        <v>0.12</v>
      </c>
      <c r="K297" s="2">
        <v>0.1212</v>
      </c>
      <c r="L297" s="2">
        <v>0.54</v>
      </c>
      <c r="M297" s="44">
        <v>0.28360000000000002</v>
      </c>
      <c r="N297" s="2">
        <v>0</v>
      </c>
      <c r="O297" s="2">
        <v>26</v>
      </c>
      <c r="P297" s="2">
        <v>26</v>
      </c>
      <c r="Q297" s="1"/>
      <c r="R297" s="1"/>
      <c r="S297" s="1"/>
      <c r="T297" s="1"/>
      <c r="U297" s="1"/>
      <c r="V297" s="1"/>
      <c r="W297" s="1"/>
      <c r="X297" s="1"/>
      <c r="Y297" s="1"/>
    </row>
    <row r="298" spans="1:25" ht="15" thickBot="1" x14ac:dyDescent="0.35">
      <c r="A298" s="2">
        <v>907</v>
      </c>
      <c r="B298" s="3">
        <v>40818</v>
      </c>
      <c r="C298" s="2">
        <v>1</v>
      </c>
      <c r="D298" s="2">
        <v>0</v>
      </c>
      <c r="E298" s="2">
        <v>2</v>
      </c>
      <c r="F298" s="2">
        <v>7</v>
      </c>
      <c r="G298" s="4" t="b">
        <v>0</v>
      </c>
      <c r="H298" s="2">
        <v>4</v>
      </c>
      <c r="I298" s="2">
        <v>1</v>
      </c>
      <c r="J298" s="2">
        <v>0.1</v>
      </c>
      <c r="K298" s="2">
        <v>7.5800000000000006E-2</v>
      </c>
      <c r="L298" s="2">
        <v>0.5</v>
      </c>
      <c r="M298" s="44">
        <v>0.41789999999999999</v>
      </c>
      <c r="N298" s="2">
        <v>0</v>
      </c>
      <c r="O298" s="2">
        <v>99</v>
      </c>
      <c r="P298" s="2">
        <v>99</v>
      </c>
      <c r="Q298" s="1"/>
      <c r="R298" s="1"/>
      <c r="S298" s="1"/>
      <c r="T298" s="1"/>
      <c r="U298" s="1"/>
      <c r="V298" s="1"/>
      <c r="W298" s="1"/>
      <c r="X298" s="1"/>
      <c r="Y298" s="1"/>
    </row>
    <row r="299" spans="1:25" ht="15" thickBot="1" x14ac:dyDescent="0.35">
      <c r="A299" s="2">
        <v>908</v>
      </c>
      <c r="B299" s="3">
        <v>40818</v>
      </c>
      <c r="C299" s="2">
        <v>1</v>
      </c>
      <c r="D299" s="2">
        <v>0</v>
      </c>
      <c r="E299" s="2">
        <v>2</v>
      </c>
      <c r="F299" s="2">
        <v>8</v>
      </c>
      <c r="G299" s="4" t="b">
        <v>0</v>
      </c>
      <c r="H299" s="2">
        <v>4</v>
      </c>
      <c r="I299" s="2">
        <v>1</v>
      </c>
      <c r="J299" s="2">
        <v>0.1</v>
      </c>
      <c r="K299" s="2">
        <v>7.5800000000000006E-2</v>
      </c>
      <c r="L299" s="2">
        <v>0.49</v>
      </c>
      <c r="M299" s="44">
        <v>0.32840000000000003</v>
      </c>
      <c r="N299" s="2">
        <v>5</v>
      </c>
      <c r="O299" s="2">
        <v>173</v>
      </c>
      <c r="P299" s="2">
        <v>178</v>
      </c>
      <c r="Q299" s="1"/>
      <c r="R299" s="1"/>
      <c r="S299" s="1"/>
      <c r="T299" s="1"/>
      <c r="U299" s="1"/>
      <c r="V299" s="1"/>
      <c r="W299" s="1"/>
      <c r="X299" s="1"/>
      <c r="Y299" s="1"/>
    </row>
    <row r="300" spans="1:25" ht="15" thickBot="1" x14ac:dyDescent="0.35">
      <c r="A300" s="2">
        <v>909</v>
      </c>
      <c r="B300" s="3">
        <v>40818</v>
      </c>
      <c r="C300" s="2">
        <v>1</v>
      </c>
      <c r="D300" s="2">
        <v>0</v>
      </c>
      <c r="E300" s="2">
        <v>2</v>
      </c>
      <c r="F300" s="2">
        <v>9</v>
      </c>
      <c r="G300" s="4" t="b">
        <v>0</v>
      </c>
      <c r="H300" s="2">
        <v>4</v>
      </c>
      <c r="I300" s="2">
        <v>1</v>
      </c>
      <c r="J300" s="2">
        <v>0.12</v>
      </c>
      <c r="K300" s="2">
        <v>0.1061</v>
      </c>
      <c r="L300" s="2">
        <v>0.42</v>
      </c>
      <c r="M300" s="44">
        <v>0.35820000000000002</v>
      </c>
      <c r="N300" s="2">
        <v>1</v>
      </c>
      <c r="O300" s="2">
        <v>121</v>
      </c>
      <c r="P300" s="2">
        <v>122</v>
      </c>
      <c r="Q300" s="1"/>
      <c r="R300" s="1"/>
      <c r="S300" s="1"/>
      <c r="T300" s="1"/>
      <c r="U300" s="1"/>
      <c r="V300" s="1"/>
      <c r="W300" s="1"/>
      <c r="X300" s="1"/>
      <c r="Y300" s="1"/>
    </row>
    <row r="301" spans="1:25" ht="15" thickBot="1" x14ac:dyDescent="0.35">
      <c r="A301" s="2">
        <v>910</v>
      </c>
      <c r="B301" s="3">
        <v>40818</v>
      </c>
      <c r="C301" s="2">
        <v>1</v>
      </c>
      <c r="D301" s="2">
        <v>0</v>
      </c>
      <c r="E301" s="2">
        <v>2</v>
      </c>
      <c r="F301" s="2">
        <v>10</v>
      </c>
      <c r="G301" s="4" t="b">
        <v>0</v>
      </c>
      <c r="H301" s="2">
        <v>4</v>
      </c>
      <c r="I301" s="2">
        <v>1</v>
      </c>
      <c r="J301" s="2">
        <v>0.12</v>
      </c>
      <c r="K301" s="2">
        <v>0.1061</v>
      </c>
      <c r="L301" s="2">
        <v>0.42</v>
      </c>
      <c r="M301" s="44">
        <v>0.29849999999999999</v>
      </c>
      <c r="N301" s="2">
        <v>1</v>
      </c>
      <c r="O301" s="2">
        <v>34</v>
      </c>
      <c r="P301" s="2">
        <v>35</v>
      </c>
      <c r="Q301" s="1"/>
      <c r="R301" s="1"/>
      <c r="S301" s="1"/>
      <c r="T301" s="1"/>
      <c r="U301" s="1"/>
      <c r="V301" s="1"/>
      <c r="W301" s="1"/>
      <c r="X301" s="1"/>
      <c r="Y301" s="1"/>
    </row>
    <row r="302" spans="1:25" ht="15" thickBot="1" x14ac:dyDescent="0.35">
      <c r="A302" s="2">
        <v>911</v>
      </c>
      <c r="B302" s="3">
        <v>40818</v>
      </c>
      <c r="C302" s="2">
        <v>1</v>
      </c>
      <c r="D302" s="2">
        <v>0</v>
      </c>
      <c r="E302" s="2">
        <v>2</v>
      </c>
      <c r="F302" s="2">
        <v>11</v>
      </c>
      <c r="G302" s="4" t="b">
        <v>0</v>
      </c>
      <c r="H302" s="2">
        <v>4</v>
      </c>
      <c r="I302" s="2">
        <v>1</v>
      </c>
      <c r="J302" s="2">
        <v>0.14000000000000001</v>
      </c>
      <c r="K302" s="2">
        <v>0.1212</v>
      </c>
      <c r="L302" s="2">
        <v>0.39</v>
      </c>
      <c r="M302" s="44">
        <v>0.35820000000000002</v>
      </c>
      <c r="N302" s="2">
        <v>1</v>
      </c>
      <c r="O302" s="2">
        <v>44</v>
      </c>
      <c r="P302" s="2">
        <v>45</v>
      </c>
      <c r="Q302" s="1"/>
      <c r="R302" s="1"/>
      <c r="S302" s="1"/>
      <c r="T302" s="1"/>
      <c r="U302" s="1"/>
      <c r="V302" s="1"/>
      <c r="W302" s="1"/>
      <c r="X302" s="1"/>
      <c r="Y302" s="1"/>
    </row>
    <row r="303" spans="1:25" ht="15" thickBot="1" x14ac:dyDescent="0.35">
      <c r="A303" s="2">
        <v>912</v>
      </c>
      <c r="B303" s="3">
        <v>40818</v>
      </c>
      <c r="C303" s="2">
        <v>1</v>
      </c>
      <c r="D303" s="2">
        <v>0</v>
      </c>
      <c r="E303" s="2">
        <v>2</v>
      </c>
      <c r="F303" s="2">
        <v>12</v>
      </c>
      <c r="G303" s="4" t="b">
        <v>0</v>
      </c>
      <c r="H303" s="2">
        <v>4</v>
      </c>
      <c r="I303" s="2">
        <v>1</v>
      </c>
      <c r="J303" s="2">
        <v>0.16</v>
      </c>
      <c r="K303" s="2">
        <v>0.13639999999999999</v>
      </c>
      <c r="L303" s="2">
        <v>0.34</v>
      </c>
      <c r="M303" s="44">
        <v>0.3881</v>
      </c>
      <c r="N303" s="2">
        <v>4</v>
      </c>
      <c r="O303" s="2">
        <v>65</v>
      </c>
      <c r="P303" s="2">
        <v>69</v>
      </c>
      <c r="Q303" s="1"/>
      <c r="R303" s="1"/>
      <c r="S303" s="1"/>
      <c r="T303" s="1"/>
      <c r="U303" s="1"/>
      <c r="V303" s="1"/>
      <c r="W303" s="1"/>
      <c r="X303" s="1"/>
      <c r="Y303" s="1"/>
    </row>
    <row r="304" spans="1:25" ht="15" thickBot="1" x14ac:dyDescent="0.35">
      <c r="A304" s="2">
        <v>913</v>
      </c>
      <c r="B304" s="3">
        <v>40818</v>
      </c>
      <c r="C304" s="2">
        <v>1</v>
      </c>
      <c r="D304" s="2">
        <v>0</v>
      </c>
      <c r="E304" s="2">
        <v>2</v>
      </c>
      <c r="F304" s="2">
        <v>13</v>
      </c>
      <c r="G304" s="4" t="b">
        <v>0</v>
      </c>
      <c r="H304" s="2">
        <v>4</v>
      </c>
      <c r="I304" s="2">
        <v>1</v>
      </c>
      <c r="J304" s="2">
        <v>0.18</v>
      </c>
      <c r="K304" s="2">
        <v>0.16669999999999999</v>
      </c>
      <c r="L304" s="2">
        <v>0.28999999999999998</v>
      </c>
      <c r="M304" s="44">
        <v>0.29849999999999999</v>
      </c>
      <c r="N304" s="2">
        <v>3</v>
      </c>
      <c r="O304" s="2">
        <v>59</v>
      </c>
      <c r="P304" s="2">
        <v>62</v>
      </c>
      <c r="Q304" s="1"/>
      <c r="R304" s="1"/>
      <c r="S304" s="1"/>
      <c r="T304" s="1"/>
      <c r="U304" s="1"/>
      <c r="V304" s="1"/>
      <c r="W304" s="1"/>
      <c r="X304" s="1"/>
      <c r="Y304" s="1"/>
    </row>
    <row r="305" spans="1:25" ht="15" thickBot="1" x14ac:dyDescent="0.35">
      <c r="A305" s="2">
        <v>914</v>
      </c>
      <c r="B305" s="3">
        <v>40818</v>
      </c>
      <c r="C305" s="2">
        <v>1</v>
      </c>
      <c r="D305" s="2">
        <v>0</v>
      </c>
      <c r="E305" s="2">
        <v>2</v>
      </c>
      <c r="F305" s="2">
        <v>14</v>
      </c>
      <c r="G305" s="4" t="b">
        <v>0</v>
      </c>
      <c r="H305" s="2">
        <v>4</v>
      </c>
      <c r="I305" s="2">
        <v>1</v>
      </c>
      <c r="J305" s="2">
        <v>0.2</v>
      </c>
      <c r="K305" s="2">
        <v>0.18179999999999999</v>
      </c>
      <c r="L305" s="2">
        <v>0.27</v>
      </c>
      <c r="M305" s="44">
        <v>0.28360000000000002</v>
      </c>
      <c r="N305" s="2">
        <v>6</v>
      </c>
      <c r="O305" s="2">
        <v>42</v>
      </c>
      <c r="P305" s="2">
        <v>48</v>
      </c>
      <c r="Q305" s="1"/>
      <c r="R305" s="1"/>
      <c r="S305" s="1"/>
      <c r="T305" s="1"/>
      <c r="U305" s="1"/>
      <c r="V305" s="1"/>
      <c r="W305" s="1"/>
      <c r="X305" s="1"/>
      <c r="Y305" s="1"/>
    </row>
    <row r="306" spans="1:25" ht="15" thickBot="1" x14ac:dyDescent="0.35">
      <c r="A306" s="2">
        <v>915</v>
      </c>
      <c r="B306" s="3">
        <v>40818</v>
      </c>
      <c r="C306" s="2">
        <v>1</v>
      </c>
      <c r="D306" s="2">
        <v>0</v>
      </c>
      <c r="E306" s="2">
        <v>2</v>
      </c>
      <c r="F306" s="2">
        <v>15</v>
      </c>
      <c r="G306" s="4" t="b">
        <v>0</v>
      </c>
      <c r="H306" s="2">
        <v>4</v>
      </c>
      <c r="I306" s="2">
        <v>1</v>
      </c>
      <c r="J306" s="2">
        <v>0.2</v>
      </c>
      <c r="K306" s="2">
        <v>0.19700000000000001</v>
      </c>
      <c r="L306" s="2">
        <v>0.25</v>
      </c>
      <c r="M306" s="44">
        <v>0.25369999999999998</v>
      </c>
      <c r="N306" s="2">
        <v>0</v>
      </c>
      <c r="O306" s="2">
        <v>50</v>
      </c>
      <c r="P306" s="2">
        <v>50</v>
      </c>
      <c r="Q306" s="1"/>
      <c r="R306" s="1"/>
      <c r="S306" s="1"/>
      <c r="T306" s="1"/>
      <c r="U306" s="1"/>
      <c r="V306" s="1"/>
      <c r="W306" s="1"/>
      <c r="X306" s="1"/>
      <c r="Y306" s="1"/>
    </row>
    <row r="307" spans="1:25" ht="15" thickBot="1" x14ac:dyDescent="0.35">
      <c r="A307" s="2">
        <v>916</v>
      </c>
      <c r="B307" s="3">
        <v>40818</v>
      </c>
      <c r="C307" s="2">
        <v>1</v>
      </c>
      <c r="D307" s="2">
        <v>0</v>
      </c>
      <c r="E307" s="2">
        <v>2</v>
      </c>
      <c r="F307" s="2">
        <v>16</v>
      </c>
      <c r="G307" s="4" t="b">
        <v>0</v>
      </c>
      <c r="H307" s="2">
        <v>4</v>
      </c>
      <c r="I307" s="2">
        <v>1</v>
      </c>
      <c r="J307" s="2">
        <v>0.2</v>
      </c>
      <c r="K307" s="2">
        <v>0.18179999999999999</v>
      </c>
      <c r="L307" s="2">
        <v>0.27</v>
      </c>
      <c r="M307" s="44">
        <v>0.29849999999999999</v>
      </c>
      <c r="N307" s="2">
        <v>4</v>
      </c>
      <c r="O307" s="2">
        <v>76</v>
      </c>
      <c r="P307" s="2">
        <v>80</v>
      </c>
      <c r="Q307" s="1"/>
      <c r="R307" s="1"/>
      <c r="S307" s="1"/>
      <c r="T307" s="1"/>
      <c r="U307" s="1"/>
      <c r="V307" s="1"/>
      <c r="W307" s="1"/>
      <c r="X307" s="1"/>
      <c r="Y307" s="1"/>
    </row>
    <row r="308" spans="1:25" ht="15" thickBot="1" x14ac:dyDescent="0.35">
      <c r="A308" s="2">
        <v>917</v>
      </c>
      <c r="B308" s="3">
        <v>40818</v>
      </c>
      <c r="C308" s="2">
        <v>1</v>
      </c>
      <c r="D308" s="2">
        <v>0</v>
      </c>
      <c r="E308" s="2">
        <v>2</v>
      </c>
      <c r="F308" s="2">
        <v>17</v>
      </c>
      <c r="G308" s="4" t="b">
        <v>0</v>
      </c>
      <c r="H308" s="2">
        <v>4</v>
      </c>
      <c r="I308" s="2">
        <v>1</v>
      </c>
      <c r="J308" s="2">
        <v>0.18</v>
      </c>
      <c r="K308" s="2">
        <v>0.18179999999999999</v>
      </c>
      <c r="L308" s="2">
        <v>0.26</v>
      </c>
      <c r="M308" s="44">
        <v>0.19400000000000001</v>
      </c>
      <c r="N308" s="2">
        <v>6</v>
      </c>
      <c r="O308" s="2">
        <v>159</v>
      </c>
      <c r="P308" s="2">
        <v>165</v>
      </c>
      <c r="Q308" s="1"/>
      <c r="R308" s="1"/>
      <c r="S308" s="1"/>
      <c r="T308" s="1"/>
      <c r="U308" s="1"/>
      <c r="V308" s="1"/>
      <c r="W308" s="1"/>
      <c r="X308" s="1"/>
      <c r="Y308" s="1"/>
    </row>
    <row r="309" spans="1:25" ht="15" thickBot="1" x14ac:dyDescent="0.35">
      <c r="A309" s="2">
        <v>918</v>
      </c>
      <c r="B309" s="3">
        <v>40818</v>
      </c>
      <c r="C309" s="2">
        <v>1</v>
      </c>
      <c r="D309" s="2">
        <v>0</v>
      </c>
      <c r="E309" s="2">
        <v>2</v>
      </c>
      <c r="F309" s="2">
        <v>18</v>
      </c>
      <c r="G309" s="4" t="b">
        <v>0</v>
      </c>
      <c r="H309" s="2">
        <v>4</v>
      </c>
      <c r="I309" s="2">
        <v>1</v>
      </c>
      <c r="J309" s="2">
        <v>0.16</v>
      </c>
      <c r="K309" s="2">
        <v>0.18179999999999999</v>
      </c>
      <c r="L309" s="2">
        <v>0.28000000000000003</v>
      </c>
      <c r="M309" s="44">
        <v>0.1343</v>
      </c>
      <c r="N309" s="2">
        <v>3</v>
      </c>
      <c r="O309" s="2">
        <v>157</v>
      </c>
      <c r="P309" s="2">
        <v>160</v>
      </c>
      <c r="Q309" s="1"/>
      <c r="R309" s="1"/>
      <c r="S309" s="1"/>
      <c r="T309" s="1"/>
      <c r="U309" s="1"/>
      <c r="V309" s="1"/>
      <c r="W309" s="1"/>
      <c r="X309" s="1"/>
      <c r="Y309" s="1"/>
    </row>
    <row r="310" spans="1:25" ht="15" thickBot="1" x14ac:dyDescent="0.35">
      <c r="A310" s="2">
        <v>919</v>
      </c>
      <c r="B310" s="3">
        <v>40818</v>
      </c>
      <c r="C310" s="2">
        <v>1</v>
      </c>
      <c r="D310" s="2">
        <v>0</v>
      </c>
      <c r="E310" s="2">
        <v>2</v>
      </c>
      <c r="F310" s="2">
        <v>19</v>
      </c>
      <c r="G310" s="4" t="b">
        <v>0</v>
      </c>
      <c r="H310" s="2">
        <v>4</v>
      </c>
      <c r="I310" s="2">
        <v>1</v>
      </c>
      <c r="J310" s="2">
        <v>0.14000000000000001</v>
      </c>
      <c r="K310" s="2">
        <v>0.16669999999999999</v>
      </c>
      <c r="L310" s="2">
        <v>0.28000000000000003</v>
      </c>
      <c r="M310" s="44">
        <v>0.1045</v>
      </c>
      <c r="N310" s="2">
        <v>2</v>
      </c>
      <c r="O310" s="2">
        <v>110</v>
      </c>
      <c r="P310" s="2">
        <v>112</v>
      </c>
      <c r="Q310" s="1"/>
      <c r="R310" s="1"/>
      <c r="S310" s="1"/>
      <c r="T310" s="1"/>
      <c r="U310" s="1"/>
      <c r="V310" s="1"/>
      <c r="W310" s="1"/>
      <c r="X310" s="1"/>
      <c r="Y310" s="1"/>
    </row>
    <row r="311" spans="1:25" ht="15" thickBot="1" x14ac:dyDescent="0.35">
      <c r="A311" s="2">
        <v>920</v>
      </c>
      <c r="B311" s="3">
        <v>40818</v>
      </c>
      <c r="C311" s="2">
        <v>1</v>
      </c>
      <c r="D311" s="2">
        <v>0</v>
      </c>
      <c r="E311" s="2">
        <v>2</v>
      </c>
      <c r="F311" s="2">
        <v>20</v>
      </c>
      <c r="G311" s="4" t="b">
        <v>0</v>
      </c>
      <c r="H311" s="2">
        <v>4</v>
      </c>
      <c r="I311" s="2">
        <v>1</v>
      </c>
      <c r="J311" s="2">
        <v>0.14000000000000001</v>
      </c>
      <c r="K311" s="2">
        <v>0.18179999999999999</v>
      </c>
      <c r="L311" s="2">
        <v>0.31</v>
      </c>
      <c r="M311" s="44">
        <v>8.9599999999999999E-2</v>
      </c>
      <c r="N311" s="2">
        <v>4</v>
      </c>
      <c r="O311" s="2">
        <v>93</v>
      </c>
      <c r="P311" s="2">
        <v>97</v>
      </c>
      <c r="Q311" s="1"/>
      <c r="R311" s="1"/>
      <c r="S311" s="1"/>
      <c r="T311" s="1"/>
      <c r="U311" s="1"/>
      <c r="V311" s="1"/>
      <c r="W311" s="1"/>
      <c r="X311" s="1"/>
      <c r="Y311" s="1"/>
    </row>
    <row r="312" spans="1:25" ht="15" thickBot="1" x14ac:dyDescent="0.35">
      <c r="A312" s="2">
        <v>921</v>
      </c>
      <c r="B312" s="3">
        <v>40818</v>
      </c>
      <c r="C312" s="2">
        <v>1</v>
      </c>
      <c r="D312" s="2">
        <v>0</v>
      </c>
      <c r="E312" s="2">
        <v>2</v>
      </c>
      <c r="F312" s="2">
        <v>21</v>
      </c>
      <c r="G312" s="4" t="b">
        <v>0</v>
      </c>
      <c r="H312" s="2">
        <v>4</v>
      </c>
      <c r="I312" s="2">
        <v>1</v>
      </c>
      <c r="J312" s="2">
        <v>0.14000000000000001</v>
      </c>
      <c r="K312" s="2">
        <v>0.21210000000000001</v>
      </c>
      <c r="L312" s="2">
        <v>0.39</v>
      </c>
      <c r="M312" s="43">
        <v>0.1794158974358977</v>
      </c>
      <c r="N312" s="2">
        <v>2</v>
      </c>
      <c r="O312" s="2">
        <v>70</v>
      </c>
      <c r="P312" s="2">
        <v>72</v>
      </c>
      <c r="Q312" s="1"/>
      <c r="R312" s="1"/>
      <c r="S312" s="1"/>
      <c r="T312" s="1"/>
      <c r="U312" s="1"/>
      <c r="V312" s="1"/>
      <c r="W312" s="1"/>
      <c r="X312" s="1"/>
      <c r="Y312" s="1"/>
    </row>
    <row r="313" spans="1:25" ht="15" thickBot="1" x14ac:dyDescent="0.35">
      <c r="A313" s="2">
        <v>922</v>
      </c>
      <c r="B313" s="3">
        <v>40818</v>
      </c>
      <c r="C313" s="2">
        <v>1</v>
      </c>
      <c r="D313" s="2">
        <v>0</v>
      </c>
      <c r="E313" s="2">
        <v>2</v>
      </c>
      <c r="F313" s="2">
        <v>22</v>
      </c>
      <c r="G313" s="4" t="b">
        <v>0</v>
      </c>
      <c r="H313" s="2">
        <v>4</v>
      </c>
      <c r="I313" s="2">
        <v>1</v>
      </c>
      <c r="J313" s="2">
        <v>0.12</v>
      </c>
      <c r="K313" s="2">
        <v>0.19700000000000001</v>
      </c>
      <c r="L313" s="2">
        <v>0.39</v>
      </c>
      <c r="M313" s="43">
        <v>0.1794158974358977</v>
      </c>
      <c r="N313" s="2">
        <v>4</v>
      </c>
      <c r="O313" s="2">
        <v>47</v>
      </c>
      <c r="P313" s="2">
        <v>51</v>
      </c>
      <c r="Q313" s="1"/>
      <c r="R313" s="1"/>
      <c r="S313" s="1"/>
      <c r="T313" s="1"/>
      <c r="U313" s="1"/>
      <c r="V313" s="1"/>
      <c r="W313" s="1"/>
      <c r="X313" s="1"/>
      <c r="Y313" s="1"/>
    </row>
    <row r="314" spans="1:25" ht="15" thickBot="1" x14ac:dyDescent="0.35">
      <c r="A314" s="2">
        <v>923</v>
      </c>
      <c r="B314" s="3">
        <v>40818</v>
      </c>
      <c r="C314" s="2">
        <v>1</v>
      </c>
      <c r="D314" s="2">
        <v>0</v>
      </c>
      <c r="E314" s="2">
        <v>2</v>
      </c>
      <c r="F314" s="2">
        <v>23</v>
      </c>
      <c r="G314" s="4" t="b">
        <v>0</v>
      </c>
      <c r="H314" s="2">
        <v>4</v>
      </c>
      <c r="I314" s="2">
        <v>1</v>
      </c>
      <c r="J314" s="2">
        <v>0.12</v>
      </c>
      <c r="K314" s="2">
        <v>0.1515</v>
      </c>
      <c r="L314" s="2">
        <v>0.42</v>
      </c>
      <c r="M314" s="44">
        <v>0.1045</v>
      </c>
      <c r="N314" s="2">
        <v>1</v>
      </c>
      <c r="O314" s="2">
        <v>33</v>
      </c>
      <c r="P314" s="2">
        <v>34</v>
      </c>
      <c r="Q314" s="1"/>
      <c r="R314" s="1"/>
      <c r="S314" s="1"/>
      <c r="T314" s="1"/>
      <c r="U314" s="1"/>
      <c r="V314" s="1"/>
      <c r="W314" s="1"/>
      <c r="X314" s="1"/>
      <c r="Y314" s="1"/>
    </row>
    <row r="315" spans="1:25" ht="15" thickBot="1" x14ac:dyDescent="0.35">
      <c r="A315" s="2">
        <v>924</v>
      </c>
      <c r="B315" s="3">
        <v>40849</v>
      </c>
      <c r="C315" s="2">
        <v>1</v>
      </c>
      <c r="D315" s="2">
        <v>0</v>
      </c>
      <c r="E315" s="2">
        <v>2</v>
      </c>
      <c r="F315" s="2">
        <v>0</v>
      </c>
      <c r="G315" s="4" t="b">
        <v>0</v>
      </c>
      <c r="H315" s="2">
        <v>5</v>
      </c>
      <c r="I315" s="2">
        <v>1</v>
      </c>
      <c r="J315" s="2">
        <v>0.1</v>
      </c>
      <c r="K315" s="2">
        <v>0.13639999999999999</v>
      </c>
      <c r="L315" s="2">
        <v>0.49</v>
      </c>
      <c r="M315" s="44">
        <v>0.1045</v>
      </c>
      <c r="N315" s="2">
        <v>2</v>
      </c>
      <c r="O315" s="2">
        <v>12</v>
      </c>
      <c r="P315" s="2">
        <v>14</v>
      </c>
      <c r="Q315" s="1"/>
      <c r="R315" s="1"/>
      <c r="S315" s="1"/>
      <c r="T315" s="1"/>
      <c r="U315" s="1"/>
      <c r="V315" s="1"/>
      <c r="W315" s="1"/>
      <c r="X315" s="1"/>
      <c r="Y315" s="1"/>
    </row>
    <row r="316" spans="1:25" ht="15" thickBot="1" x14ac:dyDescent="0.35">
      <c r="A316" s="2">
        <v>925</v>
      </c>
      <c r="B316" s="3">
        <v>40849</v>
      </c>
      <c r="C316" s="2">
        <v>1</v>
      </c>
      <c r="D316" s="2">
        <v>0</v>
      </c>
      <c r="E316" s="2">
        <v>2</v>
      </c>
      <c r="F316" s="2">
        <v>1</v>
      </c>
      <c r="G316" s="4" t="b">
        <v>0</v>
      </c>
      <c r="H316" s="2">
        <v>5</v>
      </c>
      <c r="I316" s="2">
        <v>1</v>
      </c>
      <c r="J316" s="2">
        <v>0.1</v>
      </c>
      <c r="K316" s="2">
        <v>0.13639999999999999</v>
      </c>
      <c r="L316" s="2">
        <v>0.54</v>
      </c>
      <c r="M316" s="44">
        <v>8.9599999999999999E-2</v>
      </c>
      <c r="N316" s="2">
        <v>1</v>
      </c>
      <c r="O316" s="2">
        <v>6</v>
      </c>
      <c r="P316" s="2">
        <v>7</v>
      </c>
      <c r="Q316" s="1"/>
      <c r="R316" s="1"/>
      <c r="S316" s="1"/>
      <c r="T316" s="1"/>
      <c r="U316" s="1"/>
      <c r="V316" s="1"/>
      <c r="W316" s="1"/>
      <c r="X316" s="1"/>
      <c r="Y316" s="1"/>
    </row>
    <row r="317" spans="1:25" ht="15" thickBot="1" x14ac:dyDescent="0.35">
      <c r="A317" s="2">
        <v>926</v>
      </c>
      <c r="B317" s="3">
        <v>40849</v>
      </c>
      <c r="C317" s="2">
        <v>1</v>
      </c>
      <c r="D317" s="2">
        <v>0</v>
      </c>
      <c r="E317" s="2">
        <v>2</v>
      </c>
      <c r="F317" s="2">
        <v>2</v>
      </c>
      <c r="G317" s="4" t="b">
        <v>0</v>
      </c>
      <c r="H317" s="2">
        <v>5</v>
      </c>
      <c r="I317" s="2">
        <v>1</v>
      </c>
      <c r="J317" s="2">
        <v>0.1</v>
      </c>
      <c r="K317" s="2">
        <v>0.13639999999999999</v>
      </c>
      <c r="L317" s="2">
        <v>0.54</v>
      </c>
      <c r="M317" s="44">
        <v>8.9599999999999999E-2</v>
      </c>
      <c r="N317" s="2">
        <v>0</v>
      </c>
      <c r="O317" s="2">
        <v>3</v>
      </c>
      <c r="P317" s="2">
        <v>3</v>
      </c>
      <c r="Q317" s="1"/>
      <c r="R317" s="1"/>
      <c r="S317" s="1"/>
      <c r="T317" s="1"/>
      <c r="U317" s="1"/>
      <c r="V317" s="1"/>
      <c r="W317" s="1"/>
      <c r="X317" s="1"/>
      <c r="Y317" s="1"/>
    </row>
    <row r="318" spans="1:25" ht="15" thickBot="1" x14ac:dyDescent="0.35">
      <c r="A318" s="2">
        <v>927</v>
      </c>
      <c r="B318" s="3">
        <v>40849</v>
      </c>
      <c r="C318" s="2">
        <v>1</v>
      </c>
      <c r="D318" s="2">
        <v>0</v>
      </c>
      <c r="E318" s="2">
        <v>2</v>
      </c>
      <c r="F318" s="2">
        <v>5</v>
      </c>
      <c r="G318" s="4" t="b">
        <v>0</v>
      </c>
      <c r="H318" s="2">
        <v>5</v>
      </c>
      <c r="I318" s="2">
        <v>1</v>
      </c>
      <c r="J318" s="2">
        <v>0.08</v>
      </c>
      <c r="K318" s="2">
        <v>0.1212</v>
      </c>
      <c r="L318" s="2">
        <v>0.63</v>
      </c>
      <c r="M318" s="44">
        <v>8.9599999999999999E-2</v>
      </c>
      <c r="N318" s="2">
        <v>0</v>
      </c>
      <c r="O318" s="2">
        <v>4</v>
      </c>
      <c r="P318" s="2">
        <v>4</v>
      </c>
      <c r="Q318" s="1"/>
      <c r="R318" s="1"/>
      <c r="S318" s="1"/>
      <c r="T318" s="1"/>
      <c r="U318" s="1"/>
      <c r="V318" s="1"/>
      <c r="W318" s="1"/>
      <c r="X318" s="1"/>
      <c r="Y318" s="1"/>
    </row>
    <row r="319" spans="1:25" ht="15" thickBot="1" x14ac:dyDescent="0.35">
      <c r="A319" s="2">
        <v>928</v>
      </c>
      <c r="B319" s="3">
        <v>40849</v>
      </c>
      <c r="C319" s="2">
        <v>1</v>
      </c>
      <c r="D319" s="2">
        <v>0</v>
      </c>
      <c r="E319" s="2">
        <v>2</v>
      </c>
      <c r="F319" s="2">
        <v>6</v>
      </c>
      <c r="G319" s="4" t="b">
        <v>0</v>
      </c>
      <c r="H319" s="2">
        <v>5</v>
      </c>
      <c r="I319" s="2">
        <v>1</v>
      </c>
      <c r="J319" s="2">
        <v>0.1</v>
      </c>
      <c r="K319" s="2">
        <v>0.18179999999999999</v>
      </c>
      <c r="L319" s="2">
        <v>0.68</v>
      </c>
      <c r="M319" s="43">
        <v>0.1794158974358977</v>
      </c>
      <c r="N319" s="2">
        <v>1</v>
      </c>
      <c r="O319" s="2">
        <v>23</v>
      </c>
      <c r="P319" s="2">
        <v>24</v>
      </c>
      <c r="Q319" s="1"/>
      <c r="R319" s="1"/>
      <c r="S319" s="1"/>
      <c r="T319" s="1"/>
      <c r="U319" s="1"/>
      <c r="V319" s="1"/>
      <c r="W319" s="1"/>
      <c r="X319" s="1"/>
      <c r="Y319" s="1"/>
    </row>
    <row r="320" spans="1:25" ht="15" thickBot="1" x14ac:dyDescent="0.35">
      <c r="A320" s="2">
        <v>929</v>
      </c>
      <c r="B320" s="3">
        <v>40849</v>
      </c>
      <c r="C320" s="2">
        <v>1</v>
      </c>
      <c r="D320" s="2">
        <v>0</v>
      </c>
      <c r="E320" s="2">
        <v>2</v>
      </c>
      <c r="F320" s="2">
        <v>7</v>
      </c>
      <c r="G320" s="4" t="b">
        <v>0</v>
      </c>
      <c r="H320" s="2">
        <v>5</v>
      </c>
      <c r="I320" s="2">
        <v>1</v>
      </c>
      <c r="J320" s="2">
        <v>0.08</v>
      </c>
      <c r="K320" s="2">
        <v>0.16669999999999999</v>
      </c>
      <c r="L320" s="2">
        <v>0.73</v>
      </c>
      <c r="M320" s="43">
        <v>0.1794158974358977</v>
      </c>
      <c r="N320" s="2">
        <v>1</v>
      </c>
      <c r="O320" s="2">
        <v>73</v>
      </c>
      <c r="P320" s="2">
        <v>74</v>
      </c>
      <c r="Q320" s="1"/>
      <c r="R320" s="1"/>
      <c r="S320" s="1"/>
      <c r="T320" s="1"/>
      <c r="U320" s="1"/>
      <c r="V320" s="1"/>
      <c r="W320" s="1"/>
      <c r="X320" s="1"/>
      <c r="Y320" s="1"/>
    </row>
    <row r="321" spans="1:25" ht="15" thickBot="1" x14ac:dyDescent="0.35">
      <c r="A321" s="2">
        <v>930</v>
      </c>
      <c r="B321" s="3">
        <v>40849</v>
      </c>
      <c r="C321" s="2">
        <v>1</v>
      </c>
      <c r="D321" s="2">
        <v>0</v>
      </c>
      <c r="E321" s="2">
        <v>2</v>
      </c>
      <c r="F321" s="2">
        <v>8</v>
      </c>
      <c r="G321" s="4" t="b">
        <v>0</v>
      </c>
      <c r="H321" s="2">
        <v>5</v>
      </c>
      <c r="I321" s="2">
        <v>1</v>
      </c>
      <c r="J321" s="2">
        <v>0.1</v>
      </c>
      <c r="K321" s="2">
        <v>0.1212</v>
      </c>
      <c r="L321" s="2">
        <v>0.74</v>
      </c>
      <c r="M321" s="44">
        <v>0.16420000000000001</v>
      </c>
      <c r="N321" s="2">
        <v>4</v>
      </c>
      <c r="O321" s="2">
        <v>212</v>
      </c>
      <c r="P321" s="2">
        <v>216</v>
      </c>
      <c r="Q321" s="1"/>
      <c r="R321" s="1"/>
      <c r="S321" s="1"/>
      <c r="T321" s="1"/>
      <c r="U321" s="1"/>
      <c r="V321" s="1"/>
      <c r="W321" s="1"/>
      <c r="X321" s="1"/>
      <c r="Y321" s="1"/>
    </row>
    <row r="322" spans="1:25" ht="15" thickBot="1" x14ac:dyDescent="0.35">
      <c r="A322" s="2">
        <v>931</v>
      </c>
      <c r="B322" s="3">
        <v>40849</v>
      </c>
      <c r="C322" s="2">
        <v>1</v>
      </c>
      <c r="D322" s="2">
        <v>0</v>
      </c>
      <c r="E322" s="2">
        <v>2</v>
      </c>
      <c r="F322" s="2">
        <v>9</v>
      </c>
      <c r="G322" s="4" t="b">
        <v>0</v>
      </c>
      <c r="H322" s="2">
        <v>5</v>
      </c>
      <c r="I322" s="2">
        <v>1</v>
      </c>
      <c r="J322" s="2">
        <v>0.12</v>
      </c>
      <c r="K322" s="2">
        <v>0.1212</v>
      </c>
      <c r="L322" s="2">
        <v>0.74</v>
      </c>
      <c r="M322" s="44">
        <v>0.22389999999999999</v>
      </c>
      <c r="N322" s="2">
        <v>8</v>
      </c>
      <c r="O322" s="2">
        <v>132</v>
      </c>
      <c r="P322" s="2">
        <v>140</v>
      </c>
      <c r="Q322" s="1"/>
      <c r="R322" s="1"/>
      <c r="S322" s="1"/>
      <c r="T322" s="1"/>
      <c r="U322" s="1"/>
      <c r="V322" s="1"/>
      <c r="W322" s="1"/>
      <c r="X322" s="1"/>
      <c r="Y322" s="1"/>
    </row>
    <row r="323" spans="1:25" ht="15" thickBot="1" x14ac:dyDescent="0.35">
      <c r="A323" s="2">
        <v>932</v>
      </c>
      <c r="B323" s="3">
        <v>40849</v>
      </c>
      <c r="C323" s="2">
        <v>1</v>
      </c>
      <c r="D323" s="2">
        <v>0</v>
      </c>
      <c r="E323" s="2">
        <v>2</v>
      </c>
      <c r="F323" s="2">
        <v>10</v>
      </c>
      <c r="G323" s="4" t="b">
        <v>0</v>
      </c>
      <c r="H323" s="2">
        <v>5</v>
      </c>
      <c r="I323" s="2">
        <v>1</v>
      </c>
      <c r="J323" s="2">
        <v>0.14000000000000001</v>
      </c>
      <c r="K323" s="2">
        <v>0.13639999999999999</v>
      </c>
      <c r="L323" s="2">
        <v>0.69</v>
      </c>
      <c r="M323" s="44">
        <v>0.19400000000000001</v>
      </c>
      <c r="N323" s="2">
        <v>5</v>
      </c>
      <c r="O323" s="2">
        <v>39</v>
      </c>
      <c r="P323" s="2">
        <v>44</v>
      </c>
      <c r="Q323" s="1"/>
      <c r="R323" s="1"/>
      <c r="S323" s="1"/>
      <c r="T323" s="1"/>
      <c r="U323" s="1"/>
      <c r="V323" s="1"/>
      <c r="W323" s="1"/>
      <c r="X323" s="1"/>
      <c r="Y323" s="1"/>
    </row>
    <row r="324" spans="1:25" ht="15" thickBot="1" x14ac:dyDescent="0.35">
      <c r="A324" s="2">
        <v>933</v>
      </c>
      <c r="B324" s="3">
        <v>40849</v>
      </c>
      <c r="C324" s="2">
        <v>1</v>
      </c>
      <c r="D324" s="2">
        <v>0</v>
      </c>
      <c r="E324" s="2">
        <v>2</v>
      </c>
      <c r="F324" s="2">
        <v>11</v>
      </c>
      <c r="G324" s="4" t="b">
        <v>0</v>
      </c>
      <c r="H324" s="2">
        <v>5</v>
      </c>
      <c r="I324" s="2">
        <v>1</v>
      </c>
      <c r="J324" s="2">
        <v>0.22</v>
      </c>
      <c r="K324" s="2">
        <v>0.2273</v>
      </c>
      <c r="L324" s="2">
        <v>0.47</v>
      </c>
      <c r="M324" s="44">
        <v>0.1343</v>
      </c>
      <c r="N324" s="2">
        <v>12</v>
      </c>
      <c r="O324" s="2">
        <v>52</v>
      </c>
      <c r="P324" s="2">
        <v>64</v>
      </c>
      <c r="Q324" s="1"/>
      <c r="R324" s="1"/>
      <c r="S324" s="1"/>
      <c r="T324" s="1"/>
      <c r="U324" s="1"/>
      <c r="V324" s="1"/>
      <c r="W324" s="1"/>
      <c r="X324" s="1"/>
      <c r="Y324" s="1"/>
    </row>
    <row r="325" spans="1:25" ht="15" thickBot="1" x14ac:dyDescent="0.35">
      <c r="A325" s="2">
        <v>934</v>
      </c>
      <c r="B325" s="3">
        <v>40849</v>
      </c>
      <c r="C325" s="2">
        <v>1</v>
      </c>
      <c r="D325" s="2">
        <v>0</v>
      </c>
      <c r="E325" s="2">
        <v>2</v>
      </c>
      <c r="F325" s="2">
        <v>12</v>
      </c>
      <c r="G325" s="4" t="b">
        <v>0</v>
      </c>
      <c r="H325" s="2">
        <v>5</v>
      </c>
      <c r="I325" s="2">
        <v>1</v>
      </c>
      <c r="J325" s="2">
        <v>0.22</v>
      </c>
      <c r="K325" s="2">
        <v>0.2273</v>
      </c>
      <c r="L325" s="2">
        <v>0.47</v>
      </c>
      <c r="M325" s="44">
        <v>0.1343</v>
      </c>
      <c r="N325" s="2">
        <v>7</v>
      </c>
      <c r="O325" s="2">
        <v>64</v>
      </c>
      <c r="P325" s="2">
        <v>71</v>
      </c>
      <c r="Q325" s="1"/>
      <c r="R325" s="1"/>
      <c r="S325" s="1"/>
      <c r="T325" s="1"/>
      <c r="U325" s="1"/>
      <c r="V325" s="1"/>
      <c r="W325" s="1"/>
      <c r="X325" s="1"/>
      <c r="Y325" s="1"/>
    </row>
    <row r="326" spans="1:25" ht="15" thickBot="1" x14ac:dyDescent="0.35">
      <c r="A326" s="2">
        <v>935</v>
      </c>
      <c r="B326" s="3">
        <v>40849</v>
      </c>
      <c r="C326" s="2">
        <v>1</v>
      </c>
      <c r="D326" s="2">
        <v>0</v>
      </c>
      <c r="E326" s="2">
        <v>2</v>
      </c>
      <c r="F326" s="2">
        <v>13</v>
      </c>
      <c r="G326" s="4" t="b">
        <v>0</v>
      </c>
      <c r="H326" s="2">
        <v>5</v>
      </c>
      <c r="I326" s="2">
        <v>1</v>
      </c>
      <c r="J326" s="2">
        <v>0.24</v>
      </c>
      <c r="K326" s="2">
        <v>0.2273</v>
      </c>
      <c r="L326" s="2">
        <v>0.35</v>
      </c>
      <c r="M326" s="44">
        <v>0.19400000000000001</v>
      </c>
      <c r="N326" s="2">
        <v>21</v>
      </c>
      <c r="O326" s="2">
        <v>89</v>
      </c>
      <c r="P326" s="2">
        <v>110</v>
      </c>
      <c r="Q326" s="1"/>
      <c r="R326" s="1"/>
      <c r="S326" s="1"/>
      <c r="T326" s="1"/>
      <c r="U326" s="1"/>
      <c r="V326" s="1"/>
      <c r="W326" s="1"/>
      <c r="X326" s="1"/>
      <c r="Y326" s="1"/>
    </row>
    <row r="327" spans="1:25" ht="15" thickBot="1" x14ac:dyDescent="0.35">
      <c r="A327" s="2">
        <v>936</v>
      </c>
      <c r="B327" s="3">
        <v>40849</v>
      </c>
      <c r="C327" s="2">
        <v>1</v>
      </c>
      <c r="D327" s="2">
        <v>0</v>
      </c>
      <c r="E327" s="2">
        <v>2</v>
      </c>
      <c r="F327" s="2">
        <v>14</v>
      </c>
      <c r="G327" s="4" t="b">
        <v>0</v>
      </c>
      <c r="H327" s="2">
        <v>5</v>
      </c>
      <c r="I327" s="2">
        <v>1</v>
      </c>
      <c r="J327" s="2">
        <v>0.3</v>
      </c>
      <c r="K327" s="2">
        <v>0.28789999999999999</v>
      </c>
      <c r="L327" s="2">
        <v>0.26</v>
      </c>
      <c r="M327" s="44">
        <v>0.25369999999999998</v>
      </c>
      <c r="N327" s="2">
        <v>17</v>
      </c>
      <c r="O327" s="2">
        <v>67</v>
      </c>
      <c r="P327" s="2">
        <v>84</v>
      </c>
      <c r="Q327" s="1"/>
      <c r="R327" s="1"/>
      <c r="S327" s="1"/>
      <c r="T327" s="1"/>
      <c r="U327" s="1"/>
      <c r="V327" s="1"/>
      <c r="W327" s="1"/>
      <c r="X327" s="1"/>
      <c r="Y327" s="1"/>
    </row>
    <row r="328" spans="1:25" ht="15" thickBot="1" x14ac:dyDescent="0.35">
      <c r="A328" s="2">
        <v>937</v>
      </c>
      <c r="B328" s="3">
        <v>40849</v>
      </c>
      <c r="C328" s="2">
        <v>1</v>
      </c>
      <c r="D328" s="2">
        <v>0</v>
      </c>
      <c r="E328" s="2">
        <v>2</v>
      </c>
      <c r="F328" s="2">
        <v>15</v>
      </c>
      <c r="G328" s="4" t="b">
        <v>0</v>
      </c>
      <c r="H328" s="2">
        <v>5</v>
      </c>
      <c r="I328" s="2">
        <v>1</v>
      </c>
      <c r="J328" s="2">
        <v>0.32</v>
      </c>
      <c r="K328" s="2">
        <v>0.31819999999999998</v>
      </c>
      <c r="L328" s="2">
        <v>0.21</v>
      </c>
      <c r="M328" s="44">
        <v>0.16420000000000001</v>
      </c>
      <c r="N328" s="2">
        <v>12</v>
      </c>
      <c r="O328" s="2">
        <v>62</v>
      </c>
      <c r="P328" s="2">
        <v>74</v>
      </c>
      <c r="Q328" s="1"/>
      <c r="R328" s="1"/>
      <c r="S328" s="1"/>
      <c r="T328" s="1"/>
      <c r="U328" s="1"/>
      <c r="V328" s="1"/>
      <c r="W328" s="1"/>
      <c r="X328" s="1"/>
      <c r="Y328" s="1"/>
    </row>
    <row r="329" spans="1:25" ht="15" thickBot="1" x14ac:dyDescent="0.35">
      <c r="A329" s="2">
        <v>938</v>
      </c>
      <c r="B329" s="3">
        <v>40849</v>
      </c>
      <c r="C329" s="2">
        <v>1</v>
      </c>
      <c r="D329" s="2">
        <v>0</v>
      </c>
      <c r="E329" s="2">
        <v>2</v>
      </c>
      <c r="F329" s="2">
        <v>16</v>
      </c>
      <c r="G329" s="4" t="b">
        <v>0</v>
      </c>
      <c r="H329" s="2">
        <v>5</v>
      </c>
      <c r="I329" s="2">
        <v>1</v>
      </c>
      <c r="J329" s="2">
        <v>0.3</v>
      </c>
      <c r="K329" s="2">
        <v>0.28789999999999999</v>
      </c>
      <c r="L329" s="2">
        <v>0.28000000000000003</v>
      </c>
      <c r="M329" s="44">
        <v>0.19400000000000001</v>
      </c>
      <c r="N329" s="2">
        <v>14</v>
      </c>
      <c r="O329" s="2">
        <v>111</v>
      </c>
      <c r="P329" s="2">
        <v>125</v>
      </c>
      <c r="Q329" s="1"/>
      <c r="R329" s="1"/>
      <c r="S329" s="1"/>
      <c r="T329" s="1"/>
      <c r="U329" s="1"/>
      <c r="V329" s="1"/>
      <c r="W329" s="1"/>
      <c r="X329" s="1"/>
      <c r="Y329" s="1"/>
    </row>
    <row r="330" spans="1:25" ht="15" thickBot="1" x14ac:dyDescent="0.35">
      <c r="A330" s="2">
        <v>939</v>
      </c>
      <c r="B330" s="3">
        <v>40849</v>
      </c>
      <c r="C330" s="2">
        <v>1</v>
      </c>
      <c r="D330" s="2">
        <v>0</v>
      </c>
      <c r="E330" s="2">
        <v>2</v>
      </c>
      <c r="F330" s="2">
        <v>17</v>
      </c>
      <c r="G330" s="4" t="b">
        <v>0</v>
      </c>
      <c r="H330" s="2">
        <v>5</v>
      </c>
      <c r="I330" s="2">
        <v>1</v>
      </c>
      <c r="J330" s="2">
        <v>0.3</v>
      </c>
      <c r="K330" s="2">
        <v>0.33329999999999999</v>
      </c>
      <c r="L330" s="2">
        <v>0.24</v>
      </c>
      <c r="M330" s="43">
        <v>0.1794158974358977</v>
      </c>
      <c r="N330" s="2">
        <v>18</v>
      </c>
      <c r="O330" s="2">
        <v>193</v>
      </c>
      <c r="P330" s="2">
        <v>211</v>
      </c>
      <c r="Q330" s="1"/>
      <c r="R330" s="1"/>
      <c r="S330" s="1"/>
      <c r="T330" s="1"/>
      <c r="U330" s="1"/>
      <c r="V330" s="1"/>
      <c r="W330" s="1"/>
      <c r="X330" s="1"/>
      <c r="Y330" s="1"/>
    </row>
    <row r="331" spans="1:25" ht="15" thickBot="1" x14ac:dyDescent="0.35">
      <c r="A331" s="2">
        <v>940</v>
      </c>
      <c r="B331" s="3">
        <v>40849</v>
      </c>
      <c r="C331" s="2">
        <v>1</v>
      </c>
      <c r="D331" s="2">
        <v>0</v>
      </c>
      <c r="E331" s="2">
        <v>2</v>
      </c>
      <c r="F331" s="2">
        <v>18</v>
      </c>
      <c r="G331" s="4" t="b">
        <v>0</v>
      </c>
      <c r="H331" s="2">
        <v>5</v>
      </c>
      <c r="I331" s="2">
        <v>1</v>
      </c>
      <c r="J331" s="2">
        <v>0.28000000000000003</v>
      </c>
      <c r="K331" s="2">
        <v>0.31819999999999998</v>
      </c>
      <c r="L331" s="2">
        <v>0.28000000000000003</v>
      </c>
      <c r="M331" s="43">
        <v>0.1794158974358977</v>
      </c>
      <c r="N331" s="2">
        <v>9</v>
      </c>
      <c r="O331" s="2">
        <v>165</v>
      </c>
      <c r="P331" s="2">
        <v>174</v>
      </c>
      <c r="Q331" s="1"/>
      <c r="R331" s="1"/>
      <c r="S331" s="1"/>
      <c r="T331" s="1"/>
      <c r="U331" s="1"/>
      <c r="V331" s="1"/>
      <c r="W331" s="1"/>
      <c r="X331" s="1"/>
      <c r="Y331" s="1"/>
    </row>
    <row r="332" spans="1:25" ht="15" thickBot="1" x14ac:dyDescent="0.35">
      <c r="A332" s="2">
        <v>941</v>
      </c>
      <c r="B332" s="3">
        <v>40849</v>
      </c>
      <c r="C332" s="2">
        <v>1</v>
      </c>
      <c r="D332" s="2">
        <v>0</v>
      </c>
      <c r="E332" s="2">
        <v>2</v>
      </c>
      <c r="F332" s="2">
        <v>19</v>
      </c>
      <c r="G332" s="4" t="b">
        <v>0</v>
      </c>
      <c r="H332" s="2">
        <v>5</v>
      </c>
      <c r="I332" s="2">
        <v>1</v>
      </c>
      <c r="J332" s="2">
        <v>0.26</v>
      </c>
      <c r="K332" s="2">
        <v>0.30299999999999999</v>
      </c>
      <c r="L332" s="2">
        <v>0.33</v>
      </c>
      <c r="M332" s="43">
        <v>0.1794158974358977</v>
      </c>
      <c r="N332" s="2">
        <v>7</v>
      </c>
      <c r="O332" s="2">
        <v>94</v>
      </c>
      <c r="P332" s="2">
        <v>101</v>
      </c>
      <c r="Q332" s="1"/>
      <c r="R332" s="1"/>
      <c r="S332" s="1"/>
      <c r="T332" s="1"/>
      <c r="U332" s="1"/>
      <c r="V332" s="1"/>
      <c r="W332" s="1"/>
      <c r="X332" s="1"/>
      <c r="Y332" s="1"/>
    </row>
    <row r="333" spans="1:25" ht="15" thickBot="1" x14ac:dyDescent="0.35">
      <c r="A333" s="2">
        <v>942</v>
      </c>
      <c r="B333" s="3">
        <v>40849</v>
      </c>
      <c r="C333" s="2">
        <v>1</v>
      </c>
      <c r="D333" s="2">
        <v>0</v>
      </c>
      <c r="E333" s="2">
        <v>2</v>
      </c>
      <c r="F333" s="2">
        <v>20</v>
      </c>
      <c r="G333" s="4" t="b">
        <v>0</v>
      </c>
      <c r="H333" s="2">
        <v>5</v>
      </c>
      <c r="I333" s="2">
        <v>1</v>
      </c>
      <c r="J333" s="2">
        <v>0.22</v>
      </c>
      <c r="K333" s="2">
        <v>0.2273</v>
      </c>
      <c r="L333" s="2">
        <v>0.55000000000000004</v>
      </c>
      <c r="M333" s="44">
        <v>0.1343</v>
      </c>
      <c r="N333" s="2">
        <v>2</v>
      </c>
      <c r="O333" s="2">
        <v>61</v>
      </c>
      <c r="P333" s="2">
        <v>63</v>
      </c>
      <c r="Q333" s="1"/>
      <c r="R333" s="1"/>
      <c r="S333" s="1"/>
      <c r="T333" s="1"/>
      <c r="U333" s="1"/>
      <c r="V333" s="1"/>
      <c r="W333" s="1"/>
      <c r="X333" s="1"/>
      <c r="Y333" s="1"/>
    </row>
    <row r="334" spans="1:25" ht="15" thickBot="1" x14ac:dyDescent="0.35">
      <c r="A334" s="2">
        <v>943</v>
      </c>
      <c r="B334" s="3">
        <v>40849</v>
      </c>
      <c r="C334" s="2">
        <v>1</v>
      </c>
      <c r="D334" s="2">
        <v>0</v>
      </c>
      <c r="E334" s="2">
        <v>2</v>
      </c>
      <c r="F334" s="2">
        <v>21</v>
      </c>
      <c r="G334" s="4" t="b">
        <v>0</v>
      </c>
      <c r="H334" s="2">
        <v>5</v>
      </c>
      <c r="I334" s="2">
        <v>1</v>
      </c>
      <c r="J334" s="2">
        <v>0.2</v>
      </c>
      <c r="K334" s="2">
        <v>0.21210000000000001</v>
      </c>
      <c r="L334" s="2">
        <v>0.59</v>
      </c>
      <c r="M334" s="44">
        <v>0.1343</v>
      </c>
      <c r="N334" s="2">
        <v>1</v>
      </c>
      <c r="O334" s="2">
        <v>46</v>
      </c>
      <c r="P334" s="2">
        <v>47</v>
      </c>
      <c r="Q334" s="1"/>
      <c r="R334" s="1"/>
      <c r="S334" s="1"/>
      <c r="T334" s="1"/>
      <c r="U334" s="1"/>
      <c r="V334" s="1"/>
      <c r="W334" s="1"/>
      <c r="X334" s="1"/>
      <c r="Y334" s="1"/>
    </row>
    <row r="335" spans="1:25" ht="15" thickBot="1" x14ac:dyDescent="0.35">
      <c r="A335" s="2">
        <v>944</v>
      </c>
      <c r="B335" s="3">
        <v>40849</v>
      </c>
      <c r="C335" s="2">
        <v>1</v>
      </c>
      <c r="D335" s="2">
        <v>0</v>
      </c>
      <c r="E335" s="2">
        <v>2</v>
      </c>
      <c r="F335" s="2">
        <v>22</v>
      </c>
      <c r="G335" s="4" t="b">
        <v>0</v>
      </c>
      <c r="H335" s="2">
        <v>5</v>
      </c>
      <c r="I335" s="2">
        <v>1</v>
      </c>
      <c r="J335" s="2">
        <v>0.2</v>
      </c>
      <c r="K335" s="2">
        <v>0.2273</v>
      </c>
      <c r="L335" s="2">
        <v>0.64</v>
      </c>
      <c r="M335" s="44">
        <v>8.9599999999999999E-2</v>
      </c>
      <c r="N335" s="2">
        <v>2</v>
      </c>
      <c r="O335" s="2">
        <v>41</v>
      </c>
      <c r="P335" s="2">
        <v>43</v>
      </c>
      <c r="Q335" s="1"/>
      <c r="R335" s="1"/>
      <c r="S335" s="1"/>
      <c r="T335" s="1"/>
      <c r="U335" s="1"/>
      <c r="V335" s="1"/>
      <c r="W335" s="1"/>
      <c r="X335" s="1"/>
      <c r="Y335" s="1"/>
    </row>
    <row r="336" spans="1:25" ht="15" thickBot="1" x14ac:dyDescent="0.35">
      <c r="A336" s="2">
        <v>945</v>
      </c>
      <c r="B336" s="3">
        <v>40849</v>
      </c>
      <c r="C336" s="2">
        <v>1</v>
      </c>
      <c r="D336" s="2">
        <v>0</v>
      </c>
      <c r="E336" s="2">
        <v>2</v>
      </c>
      <c r="F336" s="2">
        <v>23</v>
      </c>
      <c r="G336" s="4" t="b">
        <v>0</v>
      </c>
      <c r="H336" s="2">
        <v>5</v>
      </c>
      <c r="I336" s="2">
        <v>1</v>
      </c>
      <c r="J336" s="2">
        <v>0.18</v>
      </c>
      <c r="K336" s="2">
        <v>0.2424</v>
      </c>
      <c r="L336" s="2">
        <v>0.69</v>
      </c>
      <c r="M336" s="43">
        <v>0.1794158974358977</v>
      </c>
      <c r="N336" s="2">
        <v>5</v>
      </c>
      <c r="O336" s="2">
        <v>48</v>
      </c>
      <c r="P336" s="2">
        <v>53</v>
      </c>
      <c r="Q336" s="1"/>
      <c r="R336" s="1"/>
      <c r="S336" s="1"/>
      <c r="T336" s="1"/>
      <c r="U336" s="1"/>
      <c r="V336" s="1"/>
      <c r="W336" s="1"/>
      <c r="X336" s="1"/>
      <c r="Y336" s="1"/>
    </row>
    <row r="337" spans="1:25" ht="15" thickBot="1" x14ac:dyDescent="0.35">
      <c r="A337" s="2">
        <v>946</v>
      </c>
      <c r="B337" s="3">
        <v>40879</v>
      </c>
      <c r="C337" s="2">
        <v>1</v>
      </c>
      <c r="D337" s="2">
        <v>0</v>
      </c>
      <c r="E337" s="2">
        <v>2</v>
      </c>
      <c r="F337" s="2">
        <v>0</v>
      </c>
      <c r="G337" s="4" t="b">
        <v>0</v>
      </c>
      <c r="H337" s="2">
        <v>6</v>
      </c>
      <c r="I337" s="2">
        <v>1</v>
      </c>
      <c r="J337" s="2">
        <v>0.16</v>
      </c>
      <c r="K337" s="2">
        <v>0.19700000000000001</v>
      </c>
      <c r="L337" s="2">
        <v>0.69</v>
      </c>
      <c r="M337" s="44">
        <v>8.9599999999999999E-2</v>
      </c>
      <c r="N337" s="2">
        <v>3</v>
      </c>
      <c r="O337" s="2">
        <v>27</v>
      </c>
      <c r="P337" s="2">
        <v>30</v>
      </c>
      <c r="Q337" s="1"/>
      <c r="R337" s="1"/>
      <c r="S337" s="1"/>
      <c r="T337" s="1"/>
      <c r="U337" s="1"/>
      <c r="V337" s="1"/>
      <c r="W337" s="1"/>
      <c r="X337" s="1"/>
      <c r="Y337" s="1"/>
    </row>
    <row r="338" spans="1:25" ht="15" thickBot="1" x14ac:dyDescent="0.35">
      <c r="A338" s="2">
        <v>947</v>
      </c>
      <c r="B338" s="3">
        <v>40879</v>
      </c>
      <c r="C338" s="2">
        <v>1</v>
      </c>
      <c r="D338" s="2">
        <v>0</v>
      </c>
      <c r="E338" s="2">
        <v>2</v>
      </c>
      <c r="F338" s="2">
        <v>1</v>
      </c>
      <c r="G338" s="4" t="b">
        <v>0</v>
      </c>
      <c r="H338" s="2">
        <v>6</v>
      </c>
      <c r="I338" s="2">
        <v>1</v>
      </c>
      <c r="J338" s="2">
        <v>0.14000000000000001</v>
      </c>
      <c r="K338" s="2">
        <v>0.21210000000000001</v>
      </c>
      <c r="L338" s="2">
        <v>0.86</v>
      </c>
      <c r="M338" s="43">
        <v>0.1794158974358977</v>
      </c>
      <c r="N338" s="2">
        <v>2</v>
      </c>
      <c r="O338" s="2">
        <v>22</v>
      </c>
      <c r="P338" s="2">
        <v>24</v>
      </c>
      <c r="Q338" s="1"/>
      <c r="R338" s="1"/>
      <c r="S338" s="1"/>
      <c r="T338" s="1"/>
      <c r="U338" s="1"/>
      <c r="V338" s="1"/>
      <c r="W338" s="1"/>
      <c r="X338" s="1"/>
      <c r="Y338" s="1"/>
    </row>
    <row r="339" spans="1:25" ht="15" thickBot="1" x14ac:dyDescent="0.35">
      <c r="A339" s="2">
        <v>948</v>
      </c>
      <c r="B339" s="3">
        <v>40879</v>
      </c>
      <c r="C339" s="2">
        <v>1</v>
      </c>
      <c r="D339" s="2">
        <v>0</v>
      </c>
      <c r="E339" s="2">
        <v>2</v>
      </c>
      <c r="F339" s="2">
        <v>2</v>
      </c>
      <c r="G339" s="4" t="b">
        <v>0</v>
      </c>
      <c r="H339" s="2">
        <v>6</v>
      </c>
      <c r="I339" s="2">
        <v>1</v>
      </c>
      <c r="J339" s="2">
        <v>0.14000000000000001</v>
      </c>
      <c r="K339" s="2">
        <v>0.21210000000000001</v>
      </c>
      <c r="L339" s="2">
        <v>0.8</v>
      </c>
      <c r="M339" s="43">
        <v>0.1794158974358977</v>
      </c>
      <c r="N339" s="2">
        <v>2</v>
      </c>
      <c r="O339" s="2">
        <v>13</v>
      </c>
      <c r="P339" s="2">
        <v>15</v>
      </c>
      <c r="Q339" s="1"/>
      <c r="R339" s="1"/>
      <c r="S339" s="1"/>
      <c r="T339" s="1"/>
      <c r="U339" s="1"/>
      <c r="V339" s="1"/>
      <c r="W339" s="1"/>
      <c r="X339" s="1"/>
      <c r="Y339" s="1"/>
    </row>
    <row r="340" spans="1:25" ht="15" thickBot="1" x14ac:dyDescent="0.35">
      <c r="A340" s="2">
        <v>949</v>
      </c>
      <c r="B340" s="3">
        <v>40879</v>
      </c>
      <c r="C340" s="2">
        <v>1</v>
      </c>
      <c r="D340" s="2">
        <v>0</v>
      </c>
      <c r="E340" s="2">
        <v>2</v>
      </c>
      <c r="F340" s="2">
        <v>3</v>
      </c>
      <c r="G340" s="4" t="b">
        <v>0</v>
      </c>
      <c r="H340" s="2">
        <v>6</v>
      </c>
      <c r="I340" s="2">
        <v>1</v>
      </c>
      <c r="J340" s="2">
        <v>0.12</v>
      </c>
      <c r="K340" s="2">
        <v>0.19700000000000001</v>
      </c>
      <c r="L340" s="2">
        <v>0.8</v>
      </c>
      <c r="M340" s="43">
        <v>0.1794158974358977</v>
      </c>
      <c r="N340" s="2">
        <v>3</v>
      </c>
      <c r="O340" s="2">
        <v>7</v>
      </c>
      <c r="P340" s="2">
        <v>10</v>
      </c>
      <c r="Q340" s="1"/>
      <c r="R340" s="1"/>
      <c r="S340" s="1"/>
      <c r="T340" s="1"/>
      <c r="U340" s="1"/>
      <c r="V340" s="1"/>
      <c r="W340" s="1"/>
      <c r="X340" s="1"/>
      <c r="Y340" s="1"/>
    </row>
    <row r="341" spans="1:25" ht="15" thickBot="1" x14ac:dyDescent="0.35">
      <c r="A341" s="2">
        <v>950</v>
      </c>
      <c r="B341" s="3">
        <v>40879</v>
      </c>
      <c r="C341" s="2">
        <v>1</v>
      </c>
      <c r="D341" s="2">
        <v>0</v>
      </c>
      <c r="E341" s="2">
        <v>2</v>
      </c>
      <c r="F341" s="2">
        <v>4</v>
      </c>
      <c r="G341" s="4" t="b">
        <v>0</v>
      </c>
      <c r="H341" s="2">
        <v>6</v>
      </c>
      <c r="I341" s="2">
        <v>1</v>
      </c>
      <c r="J341" s="2">
        <v>0.12</v>
      </c>
      <c r="K341" s="2">
        <v>0.16669999999999999</v>
      </c>
      <c r="L341" s="2">
        <v>0.74</v>
      </c>
      <c r="M341" s="44">
        <v>8.9599999999999999E-2</v>
      </c>
      <c r="N341" s="2">
        <v>0</v>
      </c>
      <c r="O341" s="2">
        <v>4</v>
      </c>
      <c r="P341" s="2">
        <v>4</v>
      </c>
      <c r="Q341" s="1"/>
      <c r="R341" s="1"/>
      <c r="S341" s="1"/>
      <c r="T341" s="1"/>
      <c r="U341" s="1"/>
      <c r="V341" s="1"/>
      <c r="W341" s="1"/>
      <c r="X341" s="1"/>
      <c r="Y341" s="1"/>
    </row>
    <row r="342" spans="1:25" ht="15" thickBot="1" x14ac:dyDescent="0.35">
      <c r="A342" s="2">
        <v>951</v>
      </c>
      <c r="B342" s="3">
        <v>40879</v>
      </c>
      <c r="C342" s="2">
        <v>1</v>
      </c>
      <c r="D342" s="2">
        <v>0</v>
      </c>
      <c r="E342" s="2">
        <v>2</v>
      </c>
      <c r="F342" s="2">
        <v>5</v>
      </c>
      <c r="G342" s="4" t="b">
        <v>0</v>
      </c>
      <c r="H342" s="2">
        <v>6</v>
      </c>
      <c r="I342" s="2">
        <v>1</v>
      </c>
      <c r="J342" s="2">
        <v>0.12</v>
      </c>
      <c r="K342" s="2">
        <v>0.16669999999999999</v>
      </c>
      <c r="L342" s="2">
        <v>0.74</v>
      </c>
      <c r="M342" s="44">
        <v>8.9599999999999999E-2</v>
      </c>
      <c r="N342" s="2">
        <v>0</v>
      </c>
      <c r="O342" s="2">
        <v>1</v>
      </c>
      <c r="P342" s="2">
        <v>1</v>
      </c>
      <c r="Q342" s="1"/>
      <c r="R342" s="1"/>
      <c r="S342" s="1"/>
      <c r="T342" s="1"/>
      <c r="U342" s="1"/>
      <c r="V342" s="1"/>
      <c r="W342" s="1"/>
      <c r="X342" s="1"/>
      <c r="Y342" s="1"/>
    </row>
    <row r="343" spans="1:25" ht="15" thickBot="1" x14ac:dyDescent="0.35">
      <c r="A343" s="2">
        <v>952</v>
      </c>
      <c r="B343" s="3">
        <v>40879</v>
      </c>
      <c r="C343" s="2">
        <v>1</v>
      </c>
      <c r="D343" s="2">
        <v>0</v>
      </c>
      <c r="E343" s="2">
        <v>2</v>
      </c>
      <c r="F343" s="2">
        <v>6</v>
      </c>
      <c r="G343" s="4" t="b">
        <v>0</v>
      </c>
      <c r="H343" s="2">
        <v>6</v>
      </c>
      <c r="I343" s="2">
        <v>1</v>
      </c>
      <c r="J343" s="2">
        <v>0.12</v>
      </c>
      <c r="K343" s="2">
        <v>0.13639999999999999</v>
      </c>
      <c r="L343" s="2">
        <v>0.93</v>
      </c>
      <c r="M343" s="44">
        <v>0.19400000000000001</v>
      </c>
      <c r="N343" s="2">
        <v>1</v>
      </c>
      <c r="O343" s="2">
        <v>1</v>
      </c>
      <c r="P343" s="2">
        <v>2</v>
      </c>
      <c r="Q343" s="1"/>
      <c r="R343" s="1"/>
      <c r="S343" s="1"/>
      <c r="T343" s="1"/>
      <c r="U343" s="1"/>
      <c r="V343" s="1"/>
      <c r="W343" s="1"/>
      <c r="X343" s="1"/>
      <c r="Y343" s="1"/>
    </row>
    <row r="344" spans="1:25" ht="15" thickBot="1" x14ac:dyDescent="0.35">
      <c r="A344" s="2">
        <v>953</v>
      </c>
      <c r="B344" s="3">
        <v>40879</v>
      </c>
      <c r="C344" s="2">
        <v>1</v>
      </c>
      <c r="D344" s="2">
        <v>0</v>
      </c>
      <c r="E344" s="2">
        <v>2</v>
      </c>
      <c r="F344" s="2">
        <v>7</v>
      </c>
      <c r="G344" s="4" t="b">
        <v>0</v>
      </c>
      <c r="H344" s="2">
        <v>6</v>
      </c>
      <c r="I344" s="2">
        <v>1</v>
      </c>
      <c r="J344" s="2">
        <v>0.12</v>
      </c>
      <c r="K344" s="2">
        <v>0.1515</v>
      </c>
      <c r="L344" s="2">
        <v>0.8</v>
      </c>
      <c r="M344" s="44">
        <v>0.1045</v>
      </c>
      <c r="N344" s="2">
        <v>2</v>
      </c>
      <c r="O344" s="2">
        <v>9</v>
      </c>
      <c r="P344" s="2">
        <v>11</v>
      </c>
      <c r="Q344" s="1"/>
      <c r="R344" s="1"/>
      <c r="S344" s="1"/>
      <c r="T344" s="1"/>
      <c r="U344" s="1"/>
      <c r="V344" s="1"/>
      <c r="W344" s="1"/>
      <c r="X344" s="1"/>
      <c r="Y344" s="1"/>
    </row>
    <row r="345" spans="1:25" ht="15" thickBot="1" x14ac:dyDescent="0.35">
      <c r="A345" s="2">
        <v>954</v>
      </c>
      <c r="B345" s="3">
        <v>40879</v>
      </c>
      <c r="C345" s="2">
        <v>1</v>
      </c>
      <c r="D345" s="2">
        <v>0</v>
      </c>
      <c r="E345" s="2">
        <v>2</v>
      </c>
      <c r="F345" s="2">
        <v>8</v>
      </c>
      <c r="G345" s="4" t="b">
        <v>0</v>
      </c>
      <c r="H345" s="2">
        <v>6</v>
      </c>
      <c r="I345" s="2">
        <v>1</v>
      </c>
      <c r="J345" s="2">
        <v>0.14000000000000001</v>
      </c>
      <c r="K345" s="2">
        <v>0.1515</v>
      </c>
      <c r="L345" s="2">
        <v>0.86</v>
      </c>
      <c r="M345" s="44">
        <v>0.1343</v>
      </c>
      <c r="N345" s="2">
        <v>2</v>
      </c>
      <c r="O345" s="2">
        <v>28</v>
      </c>
      <c r="P345" s="2">
        <v>30</v>
      </c>
      <c r="Q345" s="1"/>
      <c r="R345" s="1"/>
      <c r="S345" s="1"/>
      <c r="T345" s="1"/>
      <c r="U345" s="1"/>
      <c r="V345" s="1"/>
      <c r="W345" s="1"/>
      <c r="X345" s="1"/>
      <c r="Y345" s="1"/>
    </row>
    <row r="346" spans="1:25" ht="15" thickBot="1" x14ac:dyDescent="0.35">
      <c r="A346" s="2">
        <v>955</v>
      </c>
      <c r="B346" s="3">
        <v>40879</v>
      </c>
      <c r="C346" s="2">
        <v>1</v>
      </c>
      <c r="D346" s="2">
        <v>0</v>
      </c>
      <c r="E346" s="2">
        <v>2</v>
      </c>
      <c r="F346" s="2">
        <v>9</v>
      </c>
      <c r="G346" s="4" t="b">
        <v>0</v>
      </c>
      <c r="H346" s="2">
        <v>6</v>
      </c>
      <c r="I346" s="2">
        <v>1</v>
      </c>
      <c r="J346" s="2">
        <v>0.16</v>
      </c>
      <c r="K346" s="2">
        <v>0.18179999999999999</v>
      </c>
      <c r="L346" s="2">
        <v>0.64</v>
      </c>
      <c r="M346" s="44">
        <v>0.1343</v>
      </c>
      <c r="N346" s="2">
        <v>5</v>
      </c>
      <c r="O346" s="2">
        <v>38</v>
      </c>
      <c r="P346" s="2">
        <v>43</v>
      </c>
      <c r="Q346" s="1"/>
      <c r="R346" s="1"/>
      <c r="S346" s="1"/>
      <c r="T346" s="1"/>
      <c r="U346" s="1"/>
      <c r="V346" s="1"/>
      <c r="W346" s="1"/>
      <c r="X346" s="1"/>
      <c r="Y346" s="1"/>
    </row>
    <row r="347" spans="1:25" ht="15" thickBot="1" x14ac:dyDescent="0.35">
      <c r="A347" s="2">
        <v>956</v>
      </c>
      <c r="B347" s="3">
        <v>40879</v>
      </c>
      <c r="C347" s="2">
        <v>1</v>
      </c>
      <c r="D347" s="2">
        <v>0</v>
      </c>
      <c r="E347" s="2">
        <v>2</v>
      </c>
      <c r="F347" s="2">
        <v>10</v>
      </c>
      <c r="G347" s="4" t="b">
        <v>0</v>
      </c>
      <c r="H347" s="2">
        <v>6</v>
      </c>
      <c r="I347" s="2">
        <v>1</v>
      </c>
      <c r="J347" s="2">
        <v>0.22</v>
      </c>
      <c r="K347" s="2">
        <v>0.21210000000000001</v>
      </c>
      <c r="L347" s="2">
        <v>0.41</v>
      </c>
      <c r="M347" s="44">
        <v>0.25369999999999998</v>
      </c>
      <c r="N347" s="2">
        <v>13</v>
      </c>
      <c r="O347" s="2">
        <v>71</v>
      </c>
      <c r="P347" s="2">
        <v>84</v>
      </c>
      <c r="Q347" s="1"/>
      <c r="R347" s="1"/>
      <c r="S347" s="1"/>
      <c r="T347" s="1"/>
      <c r="U347" s="1"/>
      <c r="V347" s="1"/>
      <c r="W347" s="1"/>
      <c r="X347" s="1"/>
      <c r="Y347" s="1"/>
    </row>
    <row r="348" spans="1:25" ht="15" thickBot="1" x14ac:dyDescent="0.35">
      <c r="A348" s="2">
        <v>957</v>
      </c>
      <c r="B348" s="3">
        <v>40879</v>
      </c>
      <c r="C348" s="2">
        <v>1</v>
      </c>
      <c r="D348" s="2">
        <v>0</v>
      </c>
      <c r="E348" s="2">
        <v>2</v>
      </c>
      <c r="F348" s="2">
        <v>11</v>
      </c>
      <c r="G348" s="4" t="b">
        <v>0</v>
      </c>
      <c r="H348" s="2">
        <v>6</v>
      </c>
      <c r="I348" s="2">
        <v>1</v>
      </c>
      <c r="J348" s="2">
        <v>0.3</v>
      </c>
      <c r="K348" s="2">
        <v>0.2727</v>
      </c>
      <c r="L348" s="2">
        <v>0.28000000000000003</v>
      </c>
      <c r="M348" s="44">
        <v>0.32840000000000003</v>
      </c>
      <c r="N348" s="2">
        <v>30</v>
      </c>
      <c r="O348" s="2">
        <v>84</v>
      </c>
      <c r="P348" s="2">
        <v>114</v>
      </c>
      <c r="Q348" s="1"/>
      <c r="R348" s="1"/>
      <c r="S348" s="1"/>
      <c r="T348" s="1"/>
      <c r="U348" s="1"/>
      <c r="V348" s="1"/>
      <c r="W348" s="1"/>
      <c r="X348" s="1"/>
      <c r="Y348" s="1"/>
    </row>
    <row r="349" spans="1:25" ht="15" thickBot="1" x14ac:dyDescent="0.35">
      <c r="A349" s="2">
        <v>958</v>
      </c>
      <c r="B349" s="3">
        <v>40879</v>
      </c>
      <c r="C349" s="2">
        <v>1</v>
      </c>
      <c r="D349" s="2">
        <v>0</v>
      </c>
      <c r="E349" s="2">
        <v>2</v>
      </c>
      <c r="F349" s="2">
        <v>12</v>
      </c>
      <c r="G349" s="4" t="b">
        <v>0</v>
      </c>
      <c r="H349" s="2">
        <v>6</v>
      </c>
      <c r="I349" s="2">
        <v>1</v>
      </c>
      <c r="J349" s="2">
        <v>0.3</v>
      </c>
      <c r="K349" s="2">
        <v>0.2727</v>
      </c>
      <c r="L349" s="2">
        <v>0.39</v>
      </c>
      <c r="M349" s="44">
        <v>0.4627</v>
      </c>
      <c r="N349" s="2">
        <v>27</v>
      </c>
      <c r="O349" s="2">
        <v>93</v>
      </c>
      <c r="P349" s="2">
        <v>120</v>
      </c>
      <c r="Q349" s="1"/>
      <c r="R349" s="1"/>
      <c r="S349" s="1"/>
      <c r="T349" s="1"/>
      <c r="U349" s="1"/>
      <c r="V349" s="1"/>
      <c r="W349" s="1"/>
      <c r="X349" s="1"/>
      <c r="Y349" s="1"/>
    </row>
    <row r="350" spans="1:25" ht="15" thickBot="1" x14ac:dyDescent="0.35">
      <c r="A350" s="2">
        <v>959</v>
      </c>
      <c r="B350" s="3">
        <v>40879</v>
      </c>
      <c r="C350" s="2">
        <v>1</v>
      </c>
      <c r="D350" s="2">
        <v>0</v>
      </c>
      <c r="E350" s="2">
        <v>2</v>
      </c>
      <c r="F350" s="2">
        <v>13</v>
      </c>
      <c r="G350" s="4" t="b">
        <v>0</v>
      </c>
      <c r="H350" s="2">
        <v>6</v>
      </c>
      <c r="I350" s="2">
        <v>1</v>
      </c>
      <c r="J350" s="2">
        <v>0.3</v>
      </c>
      <c r="K350" s="2">
        <v>0.2727</v>
      </c>
      <c r="L350" s="2">
        <v>0.39</v>
      </c>
      <c r="M350" s="44">
        <v>0.41789999999999999</v>
      </c>
      <c r="N350" s="2">
        <v>32</v>
      </c>
      <c r="O350" s="2">
        <v>103</v>
      </c>
      <c r="P350" s="2">
        <v>135</v>
      </c>
      <c r="Q350" s="1"/>
      <c r="R350" s="1"/>
      <c r="S350" s="1"/>
      <c r="T350" s="1"/>
      <c r="U350" s="1"/>
      <c r="V350" s="1"/>
      <c r="W350" s="1"/>
      <c r="X350" s="1"/>
      <c r="Y350" s="1"/>
    </row>
    <row r="351" spans="1:25" ht="15" thickBot="1" x14ac:dyDescent="0.35">
      <c r="A351" s="2">
        <v>960</v>
      </c>
      <c r="B351" s="3">
        <v>40879</v>
      </c>
      <c r="C351" s="2">
        <v>1</v>
      </c>
      <c r="D351" s="2">
        <v>0</v>
      </c>
      <c r="E351" s="2">
        <v>2</v>
      </c>
      <c r="F351" s="2">
        <v>14</v>
      </c>
      <c r="G351" s="4" t="b">
        <v>0</v>
      </c>
      <c r="H351" s="2">
        <v>6</v>
      </c>
      <c r="I351" s="2">
        <v>1</v>
      </c>
      <c r="J351" s="2">
        <v>0.34</v>
      </c>
      <c r="K351" s="2">
        <v>0.31819999999999998</v>
      </c>
      <c r="L351" s="2">
        <v>0.31</v>
      </c>
      <c r="M351" s="44">
        <v>0.28360000000000002</v>
      </c>
      <c r="N351" s="2">
        <v>30</v>
      </c>
      <c r="O351" s="2">
        <v>90</v>
      </c>
      <c r="P351" s="2">
        <v>120</v>
      </c>
      <c r="Q351" s="1"/>
      <c r="R351" s="1"/>
      <c r="S351" s="1"/>
      <c r="T351" s="1"/>
      <c r="U351" s="1"/>
      <c r="V351" s="1"/>
      <c r="W351" s="1"/>
      <c r="X351" s="1"/>
      <c r="Y351" s="1"/>
    </row>
    <row r="352" spans="1:25" ht="15" thickBot="1" x14ac:dyDescent="0.35">
      <c r="A352" s="2">
        <v>961</v>
      </c>
      <c r="B352" s="3">
        <v>40879</v>
      </c>
      <c r="C352" s="2">
        <v>1</v>
      </c>
      <c r="D352" s="2">
        <v>0</v>
      </c>
      <c r="E352" s="2">
        <v>2</v>
      </c>
      <c r="F352" s="2">
        <v>15</v>
      </c>
      <c r="G352" s="4" t="b">
        <v>0</v>
      </c>
      <c r="H352" s="2">
        <v>6</v>
      </c>
      <c r="I352" s="2">
        <v>1</v>
      </c>
      <c r="J352" s="2">
        <v>0.34</v>
      </c>
      <c r="K352" s="2">
        <v>0.30299999999999999</v>
      </c>
      <c r="L352" s="2">
        <v>0.28999999999999998</v>
      </c>
      <c r="M352" s="44">
        <v>0.41789999999999999</v>
      </c>
      <c r="N352" s="2">
        <v>47</v>
      </c>
      <c r="O352" s="2">
        <v>127</v>
      </c>
      <c r="P352" s="2">
        <v>174</v>
      </c>
      <c r="Q352" s="1"/>
      <c r="R352" s="1"/>
      <c r="S352" s="1"/>
      <c r="T352" s="1"/>
      <c r="U352" s="1"/>
      <c r="V352" s="1"/>
      <c r="W352" s="1"/>
      <c r="X352" s="1"/>
      <c r="Y352" s="1"/>
    </row>
    <row r="353" spans="1:25" ht="15" thickBot="1" x14ac:dyDescent="0.35">
      <c r="A353" s="2">
        <v>962</v>
      </c>
      <c r="B353" s="3">
        <v>40879</v>
      </c>
      <c r="C353" s="2">
        <v>1</v>
      </c>
      <c r="D353" s="2">
        <v>0</v>
      </c>
      <c r="E353" s="2">
        <v>2</v>
      </c>
      <c r="F353" s="2">
        <v>16</v>
      </c>
      <c r="G353" s="4" t="b">
        <v>0</v>
      </c>
      <c r="H353" s="2">
        <v>6</v>
      </c>
      <c r="I353" s="2">
        <v>1</v>
      </c>
      <c r="J353" s="2">
        <v>0.34</v>
      </c>
      <c r="K353" s="2">
        <v>0.30299999999999999</v>
      </c>
      <c r="L353" s="2">
        <v>0.28999999999999998</v>
      </c>
      <c r="M353" s="44">
        <v>0.41789999999999999</v>
      </c>
      <c r="N353" s="2">
        <v>42</v>
      </c>
      <c r="O353" s="2">
        <v>103</v>
      </c>
      <c r="P353" s="2">
        <v>145</v>
      </c>
      <c r="Q353" s="1"/>
      <c r="R353" s="1"/>
      <c r="S353" s="1"/>
      <c r="T353" s="1"/>
      <c r="U353" s="1"/>
      <c r="V353" s="1"/>
      <c r="W353" s="1"/>
      <c r="X353" s="1"/>
      <c r="Y353" s="1"/>
    </row>
    <row r="354" spans="1:25" ht="15" thickBot="1" x14ac:dyDescent="0.35">
      <c r="A354" s="2">
        <v>963</v>
      </c>
      <c r="B354" s="3">
        <v>40879</v>
      </c>
      <c r="C354" s="2">
        <v>1</v>
      </c>
      <c r="D354" s="2">
        <v>0</v>
      </c>
      <c r="E354" s="2">
        <v>2</v>
      </c>
      <c r="F354" s="2">
        <v>17</v>
      </c>
      <c r="G354" s="4" t="b">
        <v>0</v>
      </c>
      <c r="H354" s="2">
        <v>6</v>
      </c>
      <c r="I354" s="2">
        <v>1</v>
      </c>
      <c r="J354" s="2">
        <v>0.32</v>
      </c>
      <c r="K354" s="2">
        <v>0.28789999999999999</v>
      </c>
      <c r="L354" s="2">
        <v>0.31</v>
      </c>
      <c r="M354" s="44">
        <v>0.52239999999999998</v>
      </c>
      <c r="N354" s="2">
        <v>24</v>
      </c>
      <c r="O354" s="2">
        <v>113</v>
      </c>
      <c r="P354" s="2">
        <v>137</v>
      </c>
      <c r="Q354" s="1"/>
      <c r="R354" s="1"/>
      <c r="S354" s="1"/>
      <c r="T354" s="1"/>
      <c r="U354" s="1"/>
      <c r="V354" s="1"/>
      <c r="W354" s="1"/>
      <c r="X354" s="1"/>
      <c r="Y354" s="1"/>
    </row>
    <row r="355" spans="1:25" ht="15" thickBot="1" x14ac:dyDescent="0.35">
      <c r="A355" s="2">
        <v>964</v>
      </c>
      <c r="B355" s="3">
        <v>40879</v>
      </c>
      <c r="C355" s="2">
        <v>1</v>
      </c>
      <c r="D355" s="2">
        <v>0</v>
      </c>
      <c r="E355" s="2">
        <v>2</v>
      </c>
      <c r="F355" s="2">
        <v>18</v>
      </c>
      <c r="G355" s="4" t="b">
        <v>0</v>
      </c>
      <c r="H355" s="2">
        <v>6</v>
      </c>
      <c r="I355" s="2">
        <v>1</v>
      </c>
      <c r="J355" s="2">
        <v>0.28000000000000003</v>
      </c>
      <c r="K355" s="2">
        <v>0.2576</v>
      </c>
      <c r="L355" s="2">
        <v>0.38</v>
      </c>
      <c r="M355" s="44">
        <v>0.32840000000000003</v>
      </c>
      <c r="N355" s="2">
        <v>4</v>
      </c>
      <c r="O355" s="2">
        <v>60</v>
      </c>
      <c r="P355" s="2">
        <v>64</v>
      </c>
      <c r="Q355" s="1"/>
      <c r="R355" s="1"/>
      <c r="S355" s="1"/>
      <c r="T355" s="1"/>
      <c r="U355" s="1"/>
      <c r="V355" s="1"/>
      <c r="W355" s="1"/>
      <c r="X355" s="1"/>
      <c r="Y355" s="1"/>
    </row>
    <row r="356" spans="1:25" ht="15" thickBot="1" x14ac:dyDescent="0.35">
      <c r="A356" s="2">
        <v>965</v>
      </c>
      <c r="B356" s="3">
        <v>40879</v>
      </c>
      <c r="C356" s="2">
        <v>1</v>
      </c>
      <c r="D356" s="2">
        <v>0</v>
      </c>
      <c r="E356" s="2">
        <v>2</v>
      </c>
      <c r="F356" s="2">
        <v>19</v>
      </c>
      <c r="G356" s="4" t="b">
        <v>0</v>
      </c>
      <c r="H356" s="2">
        <v>6</v>
      </c>
      <c r="I356" s="2">
        <v>1</v>
      </c>
      <c r="J356" s="2">
        <v>0.28000000000000003</v>
      </c>
      <c r="K356" s="2">
        <v>0.2727</v>
      </c>
      <c r="L356" s="2">
        <v>0.38</v>
      </c>
      <c r="M356" s="44">
        <v>0.16420000000000001</v>
      </c>
      <c r="N356" s="2">
        <v>2</v>
      </c>
      <c r="O356" s="2">
        <v>39</v>
      </c>
      <c r="P356" s="2">
        <v>41</v>
      </c>
      <c r="Q356" s="1"/>
      <c r="R356" s="1"/>
      <c r="S356" s="1"/>
      <c r="T356" s="1"/>
      <c r="U356" s="1"/>
      <c r="V356" s="1"/>
      <c r="W356" s="1"/>
      <c r="X356" s="1"/>
      <c r="Y356" s="1"/>
    </row>
    <row r="357" spans="1:25" ht="15" thickBot="1" x14ac:dyDescent="0.35">
      <c r="A357" s="2">
        <v>966</v>
      </c>
      <c r="B357" s="3">
        <v>40879</v>
      </c>
      <c r="C357" s="2">
        <v>1</v>
      </c>
      <c r="D357" s="2">
        <v>0</v>
      </c>
      <c r="E357" s="2">
        <v>2</v>
      </c>
      <c r="F357" s="2">
        <v>20</v>
      </c>
      <c r="G357" s="4" t="b">
        <v>0</v>
      </c>
      <c r="H357" s="2">
        <v>6</v>
      </c>
      <c r="I357" s="2">
        <v>1</v>
      </c>
      <c r="J357" s="2">
        <v>0.26</v>
      </c>
      <c r="K357" s="2">
        <v>0.2576</v>
      </c>
      <c r="L357" s="2">
        <v>0.41</v>
      </c>
      <c r="M357" s="44">
        <v>0.22389999999999999</v>
      </c>
      <c r="N357" s="2">
        <v>1</v>
      </c>
      <c r="O357" s="2">
        <v>39</v>
      </c>
      <c r="P357" s="2">
        <v>40</v>
      </c>
      <c r="Q357" s="1"/>
      <c r="R357" s="1"/>
      <c r="S357" s="1"/>
      <c r="T357" s="1"/>
      <c r="U357" s="1"/>
      <c r="V357" s="1"/>
      <c r="W357" s="1"/>
      <c r="X357" s="1"/>
      <c r="Y357" s="1"/>
    </row>
    <row r="358" spans="1:25" ht="15" thickBot="1" x14ac:dyDescent="0.35">
      <c r="A358" s="2">
        <v>967</v>
      </c>
      <c r="B358" s="3">
        <v>40879</v>
      </c>
      <c r="C358" s="2">
        <v>1</v>
      </c>
      <c r="D358" s="2">
        <v>0</v>
      </c>
      <c r="E358" s="2">
        <v>2</v>
      </c>
      <c r="F358" s="2">
        <v>21</v>
      </c>
      <c r="G358" s="4" t="b">
        <v>0</v>
      </c>
      <c r="H358" s="2">
        <v>6</v>
      </c>
      <c r="I358" s="2">
        <v>1</v>
      </c>
      <c r="J358" s="2">
        <v>0.26</v>
      </c>
      <c r="K358" s="2">
        <v>0.30299999999999999</v>
      </c>
      <c r="L358" s="2">
        <v>0.41</v>
      </c>
      <c r="M358" s="43">
        <v>0.1794158974358977</v>
      </c>
      <c r="N358" s="2">
        <v>9</v>
      </c>
      <c r="O358" s="2">
        <v>42</v>
      </c>
      <c r="P358" s="2">
        <v>51</v>
      </c>
      <c r="Q358" s="1"/>
      <c r="R358" s="1"/>
      <c r="S358" s="1"/>
      <c r="T358" s="1"/>
      <c r="U358" s="1"/>
      <c r="V358" s="1"/>
      <c r="W358" s="1"/>
      <c r="X358" s="1"/>
      <c r="Y358" s="1"/>
    </row>
    <row r="359" spans="1:25" ht="15" thickBot="1" x14ac:dyDescent="0.35">
      <c r="A359" s="2">
        <v>968</v>
      </c>
      <c r="B359" s="3">
        <v>40879</v>
      </c>
      <c r="C359" s="2">
        <v>1</v>
      </c>
      <c r="D359" s="2">
        <v>0</v>
      </c>
      <c r="E359" s="2">
        <v>2</v>
      </c>
      <c r="F359" s="2">
        <v>22</v>
      </c>
      <c r="G359" s="4" t="b">
        <v>0</v>
      </c>
      <c r="H359" s="2">
        <v>6</v>
      </c>
      <c r="I359" s="2">
        <v>1</v>
      </c>
      <c r="J359" s="2">
        <v>0.24</v>
      </c>
      <c r="K359" s="2">
        <v>0.2576</v>
      </c>
      <c r="L359" s="2">
        <v>0.44</v>
      </c>
      <c r="M359" s="44">
        <v>8.9599999999999999E-2</v>
      </c>
      <c r="N359" s="2">
        <v>6</v>
      </c>
      <c r="O359" s="2">
        <v>39</v>
      </c>
      <c r="P359" s="2">
        <v>45</v>
      </c>
      <c r="Q359" s="1"/>
      <c r="R359" s="1"/>
      <c r="S359" s="1"/>
      <c r="T359" s="1"/>
      <c r="U359" s="1"/>
      <c r="V359" s="1"/>
      <c r="W359" s="1"/>
      <c r="X359" s="1"/>
      <c r="Y359" s="1"/>
    </row>
    <row r="360" spans="1:25" ht="15" thickBot="1" x14ac:dyDescent="0.35">
      <c r="A360" s="2">
        <v>969</v>
      </c>
      <c r="B360" s="3">
        <v>40879</v>
      </c>
      <c r="C360" s="2">
        <v>1</v>
      </c>
      <c r="D360" s="2">
        <v>0</v>
      </c>
      <c r="E360" s="2">
        <v>2</v>
      </c>
      <c r="F360" s="2">
        <v>23</v>
      </c>
      <c r="G360" s="4" t="b">
        <v>0</v>
      </c>
      <c r="H360" s="2">
        <v>6</v>
      </c>
      <c r="I360" s="2">
        <v>1</v>
      </c>
      <c r="J360" s="2">
        <v>0.22</v>
      </c>
      <c r="K360" s="2">
        <v>0.2273</v>
      </c>
      <c r="L360" s="2">
        <v>0.51</v>
      </c>
      <c r="M360" s="44">
        <v>0.1343</v>
      </c>
      <c r="N360" s="2">
        <v>1</v>
      </c>
      <c r="O360" s="2">
        <v>31</v>
      </c>
      <c r="P360" s="2">
        <v>32</v>
      </c>
      <c r="Q360" s="1"/>
      <c r="R360" s="1"/>
      <c r="S360" s="1"/>
      <c r="T360" s="1"/>
      <c r="U360" s="1"/>
      <c r="V360" s="1"/>
      <c r="W360" s="1"/>
      <c r="X360" s="1"/>
      <c r="Y360" s="1"/>
    </row>
    <row r="361" spans="1:25" ht="15" thickBot="1" x14ac:dyDescent="0.35">
      <c r="A361" s="2">
        <v>970</v>
      </c>
      <c r="B361" s="2" t="s">
        <v>21</v>
      </c>
      <c r="C361" s="2">
        <v>1</v>
      </c>
      <c r="D361" s="2">
        <v>0</v>
      </c>
      <c r="E361" s="2">
        <v>2</v>
      </c>
      <c r="F361" s="2">
        <v>0</v>
      </c>
      <c r="G361" s="4" t="b">
        <v>0</v>
      </c>
      <c r="H361" s="2">
        <v>0</v>
      </c>
      <c r="I361" s="2">
        <v>1</v>
      </c>
      <c r="J361" s="2">
        <v>0.2</v>
      </c>
      <c r="K361" s="2">
        <v>0.2273</v>
      </c>
      <c r="L361" s="2">
        <v>0.64</v>
      </c>
      <c r="M361" s="44">
        <v>0.1045</v>
      </c>
      <c r="N361" s="2">
        <v>5</v>
      </c>
      <c r="O361" s="2">
        <v>34</v>
      </c>
      <c r="P361" s="2">
        <v>39</v>
      </c>
      <c r="Q361" s="1"/>
      <c r="R361" s="1"/>
      <c r="S361" s="1"/>
      <c r="T361" s="1"/>
      <c r="U361" s="1"/>
      <c r="V361" s="1"/>
      <c r="W361" s="1"/>
      <c r="X361" s="1"/>
      <c r="Y361" s="1"/>
    </row>
    <row r="362" spans="1:25" ht="15" thickBot="1" x14ac:dyDescent="0.35">
      <c r="A362" s="2">
        <v>971</v>
      </c>
      <c r="B362" s="2" t="s">
        <v>21</v>
      </c>
      <c r="C362" s="2">
        <v>1</v>
      </c>
      <c r="D362" s="2">
        <v>0</v>
      </c>
      <c r="E362" s="2">
        <v>2</v>
      </c>
      <c r="F362" s="2">
        <v>1</v>
      </c>
      <c r="G362" s="4" t="b">
        <v>0</v>
      </c>
      <c r="H362" s="2">
        <v>0</v>
      </c>
      <c r="I362" s="2">
        <v>1</v>
      </c>
      <c r="J362" s="2">
        <v>0.2</v>
      </c>
      <c r="K362" s="2">
        <v>0.2273</v>
      </c>
      <c r="L362" s="2">
        <v>0.59</v>
      </c>
      <c r="M362" s="44">
        <v>8.9599999999999999E-2</v>
      </c>
      <c r="N362" s="2">
        <v>1</v>
      </c>
      <c r="O362" s="2">
        <v>23</v>
      </c>
      <c r="P362" s="2">
        <v>24</v>
      </c>
      <c r="Q362" s="1"/>
      <c r="R362" s="1"/>
      <c r="S362" s="1"/>
      <c r="T362" s="1"/>
      <c r="U362" s="1"/>
      <c r="V362" s="1"/>
      <c r="W362" s="1"/>
      <c r="X362" s="1"/>
      <c r="Y362" s="1"/>
    </row>
    <row r="363" spans="1:25" ht="15" thickBot="1" x14ac:dyDescent="0.35">
      <c r="A363" s="2">
        <v>972</v>
      </c>
      <c r="B363" s="2" t="s">
        <v>21</v>
      </c>
      <c r="C363" s="2">
        <v>1</v>
      </c>
      <c r="D363" s="2">
        <v>0</v>
      </c>
      <c r="E363" s="2">
        <v>2</v>
      </c>
      <c r="F363" s="2">
        <v>2</v>
      </c>
      <c r="G363" s="4" t="b">
        <v>0</v>
      </c>
      <c r="H363" s="2">
        <v>0</v>
      </c>
      <c r="I363" s="2">
        <v>2</v>
      </c>
      <c r="J363" s="2">
        <v>0.2</v>
      </c>
      <c r="K363" s="2">
        <v>0.2273</v>
      </c>
      <c r="L363" s="2">
        <v>0.75</v>
      </c>
      <c r="M363" s="44">
        <v>8.9599999999999999E-2</v>
      </c>
      <c r="N363" s="2">
        <v>1</v>
      </c>
      <c r="O363" s="2">
        <v>19</v>
      </c>
      <c r="P363" s="2">
        <v>20</v>
      </c>
      <c r="Q363" s="1"/>
      <c r="R363" s="1"/>
      <c r="S363" s="1"/>
      <c r="T363" s="1"/>
      <c r="U363" s="1"/>
      <c r="V363" s="1"/>
      <c r="W363" s="1"/>
      <c r="X363" s="1"/>
      <c r="Y363" s="1"/>
    </row>
    <row r="364" spans="1:25" ht="15" thickBot="1" x14ac:dyDescent="0.35">
      <c r="A364" s="2">
        <v>973</v>
      </c>
      <c r="B364" s="2" t="s">
        <v>21</v>
      </c>
      <c r="C364" s="2">
        <v>1</v>
      </c>
      <c r="D364" s="2">
        <v>0</v>
      </c>
      <c r="E364" s="2">
        <v>2</v>
      </c>
      <c r="F364" s="2">
        <v>3</v>
      </c>
      <c r="G364" s="4" t="b">
        <v>0</v>
      </c>
      <c r="H364" s="2">
        <v>0</v>
      </c>
      <c r="I364" s="2">
        <v>2</v>
      </c>
      <c r="J364" s="2">
        <v>0.2</v>
      </c>
      <c r="K364" s="2">
        <v>0.2273</v>
      </c>
      <c r="L364" s="2">
        <v>0.69</v>
      </c>
      <c r="M364" s="44">
        <v>0.1045</v>
      </c>
      <c r="N364" s="2">
        <v>4</v>
      </c>
      <c r="O364" s="2">
        <v>8</v>
      </c>
      <c r="P364" s="2">
        <v>12</v>
      </c>
      <c r="Q364" s="1"/>
      <c r="R364" s="1"/>
      <c r="S364" s="1"/>
      <c r="T364" s="1"/>
      <c r="U364" s="1"/>
      <c r="V364" s="1"/>
      <c r="W364" s="1"/>
      <c r="X364" s="1"/>
      <c r="Y364" s="1"/>
    </row>
    <row r="365" spans="1:25" ht="15" thickBot="1" x14ac:dyDescent="0.35">
      <c r="A365" s="2">
        <v>974</v>
      </c>
      <c r="B365" s="2" t="s">
        <v>21</v>
      </c>
      <c r="C365" s="2">
        <v>1</v>
      </c>
      <c r="D365" s="2">
        <v>0</v>
      </c>
      <c r="E365" s="2">
        <v>2</v>
      </c>
      <c r="F365" s="2">
        <v>4</v>
      </c>
      <c r="G365" s="4" t="b">
        <v>0</v>
      </c>
      <c r="H365" s="2">
        <v>0</v>
      </c>
      <c r="I365" s="2">
        <v>2</v>
      </c>
      <c r="J365" s="2">
        <v>0.2</v>
      </c>
      <c r="K365" s="2">
        <v>0.21210000000000001</v>
      </c>
      <c r="L365" s="2">
        <v>0.69</v>
      </c>
      <c r="M365" s="44">
        <v>0.16420000000000001</v>
      </c>
      <c r="N365" s="2">
        <v>0</v>
      </c>
      <c r="O365" s="2">
        <v>2</v>
      </c>
      <c r="P365" s="2">
        <v>2</v>
      </c>
      <c r="Q365" s="1"/>
      <c r="R365" s="1"/>
      <c r="S365" s="1"/>
      <c r="T365" s="1"/>
      <c r="U365" s="1"/>
      <c r="V365" s="1"/>
      <c r="W365" s="1"/>
      <c r="X365" s="1"/>
      <c r="Y365" s="1"/>
    </row>
    <row r="366" spans="1:25" ht="15" thickBot="1" x14ac:dyDescent="0.35">
      <c r="A366" s="2">
        <v>975</v>
      </c>
      <c r="B366" s="2" t="s">
        <v>21</v>
      </c>
      <c r="C366" s="2">
        <v>1</v>
      </c>
      <c r="D366" s="2">
        <v>0</v>
      </c>
      <c r="E366" s="2">
        <v>2</v>
      </c>
      <c r="F366" s="2">
        <v>6</v>
      </c>
      <c r="G366" s="4" t="b">
        <v>0</v>
      </c>
      <c r="H366" s="2">
        <v>0</v>
      </c>
      <c r="I366" s="2">
        <v>2</v>
      </c>
      <c r="J366" s="2">
        <v>0.2</v>
      </c>
      <c r="K366" s="2">
        <v>0.21210000000000001</v>
      </c>
      <c r="L366" s="2">
        <v>0.69</v>
      </c>
      <c r="M366" s="44">
        <v>0.1343</v>
      </c>
      <c r="N366" s="2">
        <v>2</v>
      </c>
      <c r="O366" s="2">
        <v>3</v>
      </c>
      <c r="P366" s="2">
        <v>5</v>
      </c>
      <c r="Q366" s="1"/>
      <c r="R366" s="1"/>
      <c r="S366" s="1"/>
      <c r="T366" s="1"/>
      <c r="U366" s="1"/>
      <c r="V366" s="1"/>
      <c r="W366" s="1"/>
      <c r="X366" s="1"/>
      <c r="Y366" s="1"/>
    </row>
    <row r="367" spans="1:25" ht="15" thickBot="1" x14ac:dyDescent="0.35">
      <c r="A367" s="2">
        <v>976</v>
      </c>
      <c r="B367" s="2" t="s">
        <v>21</v>
      </c>
      <c r="C367" s="2">
        <v>1</v>
      </c>
      <c r="D367" s="2">
        <v>0</v>
      </c>
      <c r="E367" s="2">
        <v>2</v>
      </c>
      <c r="F367" s="2">
        <v>7</v>
      </c>
      <c r="G367" s="4" t="b">
        <v>0</v>
      </c>
      <c r="H367" s="2">
        <v>0</v>
      </c>
      <c r="I367" s="2">
        <v>2</v>
      </c>
      <c r="J367" s="2">
        <v>0.22</v>
      </c>
      <c r="K367" s="2">
        <v>0.2727</v>
      </c>
      <c r="L367" s="2">
        <v>0.55000000000000004</v>
      </c>
      <c r="M367" s="43">
        <v>0.1794158974358977</v>
      </c>
      <c r="N367" s="2">
        <v>0</v>
      </c>
      <c r="O367" s="2">
        <v>3</v>
      </c>
      <c r="P367" s="2">
        <v>3</v>
      </c>
      <c r="Q367" s="1"/>
      <c r="R367" s="1"/>
      <c r="S367" s="1"/>
      <c r="T367" s="1"/>
      <c r="U367" s="1"/>
      <c r="V367" s="1"/>
      <c r="W367" s="1"/>
      <c r="X367" s="1"/>
      <c r="Y367" s="1"/>
    </row>
    <row r="368" spans="1:25" ht="15" thickBot="1" x14ac:dyDescent="0.35">
      <c r="A368" s="2">
        <v>977</v>
      </c>
      <c r="B368" s="2" t="s">
        <v>21</v>
      </c>
      <c r="C368" s="2">
        <v>1</v>
      </c>
      <c r="D368" s="2">
        <v>0</v>
      </c>
      <c r="E368" s="2">
        <v>2</v>
      </c>
      <c r="F368" s="2">
        <v>8</v>
      </c>
      <c r="G368" s="4" t="b">
        <v>0</v>
      </c>
      <c r="H368" s="2">
        <v>0</v>
      </c>
      <c r="I368" s="2">
        <v>2</v>
      </c>
      <c r="J368" s="2">
        <v>0.22</v>
      </c>
      <c r="K368" s="2">
        <v>0.2273</v>
      </c>
      <c r="L368" s="2">
        <v>0.64</v>
      </c>
      <c r="M368" s="44">
        <v>0.19400000000000001</v>
      </c>
      <c r="N368" s="2">
        <v>1</v>
      </c>
      <c r="O368" s="2">
        <v>11</v>
      </c>
      <c r="P368" s="2">
        <v>12</v>
      </c>
      <c r="Q368" s="1"/>
      <c r="R368" s="1"/>
      <c r="S368" s="1"/>
      <c r="T368" s="1"/>
      <c r="U368" s="1"/>
      <c r="V368" s="1"/>
      <c r="W368" s="1"/>
      <c r="X368" s="1"/>
      <c r="Y368" s="1"/>
    </row>
    <row r="369" spans="1:25" ht="15" thickBot="1" x14ac:dyDescent="0.35">
      <c r="A369" s="2">
        <v>978</v>
      </c>
      <c r="B369" s="2" t="s">
        <v>21</v>
      </c>
      <c r="C369" s="2">
        <v>1</v>
      </c>
      <c r="D369" s="2">
        <v>0</v>
      </c>
      <c r="E369" s="2">
        <v>2</v>
      </c>
      <c r="F369" s="2">
        <v>9</v>
      </c>
      <c r="G369" s="4" t="b">
        <v>0</v>
      </c>
      <c r="H369" s="2">
        <v>0</v>
      </c>
      <c r="I369" s="2">
        <v>2</v>
      </c>
      <c r="J369" s="2">
        <v>0.24</v>
      </c>
      <c r="K369" s="2">
        <v>0.2273</v>
      </c>
      <c r="L369" s="2">
        <v>0.6</v>
      </c>
      <c r="M369" s="44">
        <v>0.22389999999999999</v>
      </c>
      <c r="N369" s="2">
        <v>12</v>
      </c>
      <c r="O369" s="2">
        <v>35</v>
      </c>
      <c r="P369" s="2">
        <v>47</v>
      </c>
      <c r="Q369" s="1"/>
      <c r="R369" s="1"/>
      <c r="S369" s="1"/>
      <c r="T369" s="1"/>
      <c r="U369" s="1"/>
      <c r="V369" s="1"/>
      <c r="W369" s="1"/>
      <c r="X369" s="1"/>
      <c r="Y369" s="1"/>
    </row>
    <row r="370" spans="1:25" ht="15" thickBot="1" x14ac:dyDescent="0.35">
      <c r="A370" s="2">
        <v>979</v>
      </c>
      <c r="B370" s="2" t="s">
        <v>21</v>
      </c>
      <c r="C370" s="2">
        <v>1</v>
      </c>
      <c r="D370" s="2">
        <v>0</v>
      </c>
      <c r="E370" s="2">
        <v>2</v>
      </c>
      <c r="F370" s="2">
        <v>10</v>
      </c>
      <c r="G370" s="4" t="b">
        <v>0</v>
      </c>
      <c r="H370" s="2">
        <v>0</v>
      </c>
      <c r="I370" s="2">
        <v>1</v>
      </c>
      <c r="J370" s="2">
        <v>0.3</v>
      </c>
      <c r="K370" s="2">
        <v>0.2727</v>
      </c>
      <c r="L370" s="2">
        <v>0.45</v>
      </c>
      <c r="M370" s="44">
        <v>0.32840000000000003</v>
      </c>
      <c r="N370" s="2">
        <v>19</v>
      </c>
      <c r="O370" s="2">
        <v>86</v>
      </c>
      <c r="P370" s="2">
        <v>105</v>
      </c>
      <c r="Q370" s="1"/>
      <c r="R370" s="1"/>
      <c r="S370" s="1"/>
      <c r="T370" s="1"/>
      <c r="U370" s="1"/>
      <c r="V370" s="1"/>
      <c r="W370" s="1"/>
      <c r="X370" s="1"/>
      <c r="Y370" s="1"/>
    </row>
    <row r="371" spans="1:25" ht="15" thickBot="1" x14ac:dyDescent="0.35">
      <c r="A371" s="2">
        <v>980</v>
      </c>
      <c r="B371" s="2" t="s">
        <v>21</v>
      </c>
      <c r="C371" s="2">
        <v>1</v>
      </c>
      <c r="D371" s="2">
        <v>0</v>
      </c>
      <c r="E371" s="2">
        <v>2</v>
      </c>
      <c r="F371" s="2">
        <v>11</v>
      </c>
      <c r="G371" s="4" t="b">
        <v>0</v>
      </c>
      <c r="H371" s="2">
        <v>0</v>
      </c>
      <c r="I371" s="2">
        <v>1</v>
      </c>
      <c r="J371" s="2">
        <v>0.32</v>
      </c>
      <c r="K371" s="2">
        <v>0.28789999999999999</v>
      </c>
      <c r="L371" s="2">
        <v>0.39</v>
      </c>
      <c r="M371" s="44">
        <v>0.44779999999999998</v>
      </c>
      <c r="N371" s="2">
        <v>26</v>
      </c>
      <c r="O371" s="2">
        <v>86</v>
      </c>
      <c r="P371" s="2">
        <v>112</v>
      </c>
      <c r="Q371" s="1"/>
      <c r="R371" s="1"/>
      <c r="S371" s="1"/>
      <c r="T371" s="1"/>
      <c r="U371" s="1"/>
      <c r="V371" s="1"/>
      <c r="W371" s="1"/>
      <c r="X371" s="1"/>
      <c r="Y371" s="1"/>
    </row>
    <row r="372" spans="1:25" ht="15" thickBot="1" x14ac:dyDescent="0.35">
      <c r="A372" s="2">
        <v>981</v>
      </c>
      <c r="B372" s="2" t="s">
        <v>21</v>
      </c>
      <c r="C372" s="2">
        <v>1</v>
      </c>
      <c r="D372" s="2">
        <v>0</v>
      </c>
      <c r="E372" s="2">
        <v>2</v>
      </c>
      <c r="F372" s="2">
        <v>12</v>
      </c>
      <c r="G372" s="4" t="b">
        <v>0</v>
      </c>
      <c r="H372" s="2">
        <v>0</v>
      </c>
      <c r="I372" s="2">
        <v>1</v>
      </c>
      <c r="J372" s="2">
        <v>0.36</v>
      </c>
      <c r="K372" s="2">
        <v>0.31819999999999998</v>
      </c>
      <c r="L372" s="2">
        <v>0.32</v>
      </c>
      <c r="M372" s="44">
        <v>0.4627</v>
      </c>
      <c r="N372" s="2">
        <v>58</v>
      </c>
      <c r="O372" s="2">
        <v>94</v>
      </c>
      <c r="P372" s="2">
        <v>152</v>
      </c>
      <c r="Q372" s="1"/>
      <c r="R372" s="1"/>
      <c r="S372" s="1"/>
      <c r="T372" s="1"/>
      <c r="U372" s="1"/>
      <c r="V372" s="1"/>
      <c r="W372" s="1"/>
      <c r="X372" s="1"/>
      <c r="Y372" s="1"/>
    </row>
    <row r="373" spans="1:25" ht="15" thickBot="1" x14ac:dyDescent="0.35">
      <c r="A373" s="2">
        <v>982</v>
      </c>
      <c r="B373" s="2" t="s">
        <v>21</v>
      </c>
      <c r="C373" s="2">
        <v>1</v>
      </c>
      <c r="D373" s="2">
        <v>0</v>
      </c>
      <c r="E373" s="2">
        <v>2</v>
      </c>
      <c r="F373" s="2">
        <v>13</v>
      </c>
      <c r="G373" s="4" t="b">
        <v>0</v>
      </c>
      <c r="H373" s="2">
        <v>0</v>
      </c>
      <c r="I373" s="2">
        <v>1</v>
      </c>
      <c r="J373" s="2">
        <v>0.38</v>
      </c>
      <c r="K373" s="2">
        <v>0.39389999999999997</v>
      </c>
      <c r="L373" s="2">
        <v>0.28999999999999998</v>
      </c>
      <c r="M373" s="44">
        <v>0.35820000000000002</v>
      </c>
      <c r="N373" s="2">
        <v>62</v>
      </c>
      <c r="O373" s="2">
        <v>92</v>
      </c>
      <c r="P373" s="2">
        <v>154</v>
      </c>
      <c r="Q373" s="1"/>
      <c r="R373" s="1"/>
      <c r="S373" s="1"/>
      <c r="T373" s="1"/>
      <c r="U373" s="1"/>
      <c r="V373" s="1"/>
      <c r="W373" s="1"/>
      <c r="X373" s="1"/>
      <c r="Y373" s="1"/>
    </row>
    <row r="374" spans="1:25" ht="15" thickBot="1" x14ac:dyDescent="0.35">
      <c r="A374" s="2">
        <v>983</v>
      </c>
      <c r="B374" s="2" t="s">
        <v>21</v>
      </c>
      <c r="C374" s="2">
        <v>1</v>
      </c>
      <c r="D374" s="2">
        <v>0</v>
      </c>
      <c r="E374" s="2">
        <v>2</v>
      </c>
      <c r="F374" s="2">
        <v>14</v>
      </c>
      <c r="G374" s="4" t="b">
        <v>0</v>
      </c>
      <c r="H374" s="2">
        <v>0</v>
      </c>
      <c r="I374" s="2">
        <v>2</v>
      </c>
      <c r="J374" s="2">
        <v>0.4</v>
      </c>
      <c r="K374" s="2">
        <v>0.40910000000000002</v>
      </c>
      <c r="L374" s="2">
        <v>0.3</v>
      </c>
      <c r="M374" s="44">
        <v>0.41789999999999999</v>
      </c>
      <c r="N374" s="2">
        <v>51</v>
      </c>
      <c r="O374" s="2">
        <v>110</v>
      </c>
      <c r="P374" s="2">
        <v>161</v>
      </c>
      <c r="Q374" s="1"/>
      <c r="R374" s="1"/>
      <c r="S374" s="1"/>
      <c r="T374" s="1"/>
      <c r="U374" s="1"/>
      <c r="V374" s="1"/>
      <c r="W374" s="1"/>
      <c r="X374" s="1"/>
      <c r="Y374" s="1"/>
    </row>
    <row r="375" spans="1:25" ht="15" thickBot="1" x14ac:dyDescent="0.35">
      <c r="A375" s="2">
        <v>984</v>
      </c>
      <c r="B375" s="2" t="s">
        <v>21</v>
      </c>
      <c r="C375" s="2">
        <v>1</v>
      </c>
      <c r="D375" s="2">
        <v>0</v>
      </c>
      <c r="E375" s="2">
        <v>2</v>
      </c>
      <c r="F375" s="2">
        <v>15</v>
      </c>
      <c r="G375" s="4" t="b">
        <v>0</v>
      </c>
      <c r="H375" s="2">
        <v>0</v>
      </c>
      <c r="I375" s="2">
        <v>2</v>
      </c>
      <c r="J375" s="2">
        <v>0.4</v>
      </c>
      <c r="K375" s="2">
        <v>0.40910000000000002</v>
      </c>
      <c r="L375" s="2">
        <v>0.3</v>
      </c>
      <c r="M375" s="44">
        <v>0.29849999999999999</v>
      </c>
      <c r="N375" s="2">
        <v>40</v>
      </c>
      <c r="O375" s="2">
        <v>122</v>
      </c>
      <c r="P375" s="2">
        <v>162</v>
      </c>
      <c r="Q375" s="1"/>
      <c r="R375" s="1"/>
      <c r="S375" s="1"/>
      <c r="T375" s="1"/>
      <c r="U375" s="1"/>
      <c r="V375" s="1"/>
      <c r="W375" s="1"/>
      <c r="X375" s="1"/>
      <c r="Y375" s="1"/>
    </row>
    <row r="376" spans="1:25" ht="15" thickBot="1" x14ac:dyDescent="0.35">
      <c r="A376" s="2">
        <v>985</v>
      </c>
      <c r="B376" s="2" t="s">
        <v>21</v>
      </c>
      <c r="C376" s="2">
        <v>1</v>
      </c>
      <c r="D376" s="2">
        <v>0</v>
      </c>
      <c r="E376" s="2">
        <v>2</v>
      </c>
      <c r="F376" s="2">
        <v>16</v>
      </c>
      <c r="G376" s="4" t="b">
        <v>0</v>
      </c>
      <c r="H376" s="2">
        <v>0</v>
      </c>
      <c r="I376" s="2">
        <v>2</v>
      </c>
      <c r="J376" s="2">
        <v>0.42</v>
      </c>
      <c r="K376" s="2">
        <v>0.42420000000000002</v>
      </c>
      <c r="L376" s="2">
        <v>0.28000000000000003</v>
      </c>
      <c r="M376" s="44">
        <v>0.32840000000000003</v>
      </c>
      <c r="N376" s="2">
        <v>28</v>
      </c>
      <c r="O376" s="2">
        <v>106</v>
      </c>
      <c r="P376" s="2">
        <v>134</v>
      </c>
      <c r="Q376" s="1"/>
      <c r="R376" s="1"/>
      <c r="S376" s="1"/>
      <c r="T376" s="1"/>
      <c r="U376" s="1"/>
      <c r="V376" s="1"/>
      <c r="W376" s="1"/>
      <c r="X376" s="1"/>
      <c r="Y376" s="1"/>
    </row>
    <row r="377" spans="1:25" ht="15" thickBot="1" x14ac:dyDescent="0.35">
      <c r="A377" s="2">
        <v>986</v>
      </c>
      <c r="B377" s="2" t="s">
        <v>21</v>
      </c>
      <c r="C377" s="2">
        <v>1</v>
      </c>
      <c r="D377" s="2">
        <v>0</v>
      </c>
      <c r="E377" s="2">
        <v>2</v>
      </c>
      <c r="F377" s="2">
        <v>17</v>
      </c>
      <c r="G377" s="4" t="b">
        <v>0</v>
      </c>
      <c r="H377" s="2">
        <v>0</v>
      </c>
      <c r="I377" s="2">
        <v>1</v>
      </c>
      <c r="J377" s="2">
        <v>0.42</v>
      </c>
      <c r="K377" s="2">
        <v>0.42420000000000002</v>
      </c>
      <c r="L377" s="2">
        <v>0.28000000000000003</v>
      </c>
      <c r="M377" s="44">
        <v>0.32840000000000003</v>
      </c>
      <c r="N377" s="2">
        <v>30</v>
      </c>
      <c r="O377" s="2">
        <v>95</v>
      </c>
      <c r="P377" s="2">
        <v>125</v>
      </c>
      <c r="Q377" s="1"/>
      <c r="R377" s="1"/>
      <c r="S377" s="1"/>
      <c r="T377" s="1"/>
      <c r="U377" s="1"/>
      <c r="V377" s="1"/>
      <c r="W377" s="1"/>
      <c r="X377" s="1"/>
      <c r="Y377" s="1"/>
    </row>
    <row r="378" spans="1:25" ht="15" thickBot="1" x14ac:dyDescent="0.35">
      <c r="A378" s="2">
        <v>987</v>
      </c>
      <c r="B378" s="2" t="s">
        <v>21</v>
      </c>
      <c r="C378" s="2">
        <v>1</v>
      </c>
      <c r="D378" s="2">
        <v>0</v>
      </c>
      <c r="E378" s="2">
        <v>2</v>
      </c>
      <c r="F378" s="2">
        <v>18</v>
      </c>
      <c r="G378" s="4" t="b">
        <v>0</v>
      </c>
      <c r="H378" s="2">
        <v>0</v>
      </c>
      <c r="I378" s="2">
        <v>1</v>
      </c>
      <c r="J378" s="2">
        <v>0.4</v>
      </c>
      <c r="K378" s="2">
        <v>0.40910000000000002</v>
      </c>
      <c r="L378" s="2">
        <v>0.32</v>
      </c>
      <c r="M378" s="44">
        <v>0.29849999999999999</v>
      </c>
      <c r="N378" s="2">
        <v>17</v>
      </c>
      <c r="O378" s="2">
        <v>78</v>
      </c>
      <c r="P378" s="2">
        <v>95</v>
      </c>
      <c r="Q378" s="1"/>
      <c r="R378" s="1"/>
      <c r="S378" s="1"/>
      <c r="T378" s="1"/>
      <c r="U378" s="1"/>
      <c r="V378" s="1"/>
      <c r="W378" s="1"/>
      <c r="X378" s="1"/>
      <c r="Y378" s="1"/>
    </row>
    <row r="379" spans="1:25" ht="15" thickBot="1" x14ac:dyDescent="0.35">
      <c r="A379" s="2">
        <v>988</v>
      </c>
      <c r="B379" s="2" t="s">
        <v>21</v>
      </c>
      <c r="C379" s="2">
        <v>1</v>
      </c>
      <c r="D379" s="2">
        <v>0</v>
      </c>
      <c r="E379" s="2">
        <v>2</v>
      </c>
      <c r="F379" s="2">
        <v>19</v>
      </c>
      <c r="G379" s="4" t="b">
        <v>0</v>
      </c>
      <c r="H379" s="2">
        <v>0</v>
      </c>
      <c r="I379" s="2">
        <v>1</v>
      </c>
      <c r="J379" s="2">
        <v>0.4</v>
      </c>
      <c r="K379" s="2">
        <v>0.40910000000000002</v>
      </c>
      <c r="L379" s="2">
        <v>0.35</v>
      </c>
      <c r="M379" s="44">
        <v>0.28360000000000002</v>
      </c>
      <c r="N379" s="2">
        <v>11</v>
      </c>
      <c r="O379" s="2">
        <v>50</v>
      </c>
      <c r="P379" s="2">
        <v>61</v>
      </c>
      <c r="Q379" s="1"/>
      <c r="R379" s="1"/>
      <c r="S379" s="1"/>
      <c r="T379" s="1"/>
      <c r="U379" s="1"/>
      <c r="V379" s="1"/>
      <c r="W379" s="1"/>
      <c r="X379" s="1"/>
      <c r="Y379" s="1"/>
    </row>
    <row r="380" spans="1:25" ht="15" thickBot="1" x14ac:dyDescent="0.35">
      <c r="A380" s="2">
        <v>989</v>
      </c>
      <c r="B380" s="2" t="s">
        <v>21</v>
      </c>
      <c r="C380" s="2">
        <v>1</v>
      </c>
      <c r="D380" s="2">
        <v>0</v>
      </c>
      <c r="E380" s="2">
        <v>2</v>
      </c>
      <c r="F380" s="2">
        <v>20</v>
      </c>
      <c r="G380" s="4" t="b">
        <v>0</v>
      </c>
      <c r="H380" s="2">
        <v>0</v>
      </c>
      <c r="I380" s="2">
        <v>1</v>
      </c>
      <c r="J380" s="2">
        <v>0.4</v>
      </c>
      <c r="K380" s="2">
        <v>0.40910000000000002</v>
      </c>
      <c r="L380" s="2">
        <v>0.35</v>
      </c>
      <c r="M380" s="44">
        <v>0.32840000000000003</v>
      </c>
      <c r="N380" s="2">
        <v>15</v>
      </c>
      <c r="O380" s="2">
        <v>32</v>
      </c>
      <c r="P380" s="2">
        <v>47</v>
      </c>
      <c r="Q380" s="1"/>
      <c r="R380" s="1"/>
      <c r="S380" s="1"/>
      <c r="T380" s="1"/>
      <c r="U380" s="1"/>
      <c r="V380" s="1"/>
      <c r="W380" s="1"/>
      <c r="X380" s="1"/>
      <c r="Y380" s="1"/>
    </row>
    <row r="381" spans="1:25" ht="15" thickBot="1" x14ac:dyDescent="0.35">
      <c r="A381" s="2">
        <v>990</v>
      </c>
      <c r="B381" s="2" t="s">
        <v>21</v>
      </c>
      <c r="C381" s="2">
        <v>1</v>
      </c>
      <c r="D381" s="2">
        <v>0</v>
      </c>
      <c r="E381" s="2">
        <v>2</v>
      </c>
      <c r="F381" s="2">
        <v>21</v>
      </c>
      <c r="G381" s="4" t="b">
        <v>0</v>
      </c>
      <c r="H381" s="2">
        <v>0</v>
      </c>
      <c r="I381" s="2">
        <v>1</v>
      </c>
      <c r="J381" s="2">
        <v>0.4</v>
      </c>
      <c r="K381" s="2">
        <v>0.40910000000000002</v>
      </c>
      <c r="L381" s="2">
        <v>0.35</v>
      </c>
      <c r="M381" s="44">
        <v>0.35820000000000002</v>
      </c>
      <c r="N381" s="2">
        <v>6</v>
      </c>
      <c r="O381" s="2">
        <v>45</v>
      </c>
      <c r="P381" s="2">
        <v>51</v>
      </c>
      <c r="Q381" s="1"/>
      <c r="R381" s="1"/>
      <c r="S381" s="1"/>
      <c r="T381" s="1"/>
      <c r="U381" s="1"/>
      <c r="V381" s="1"/>
      <c r="W381" s="1"/>
      <c r="X381" s="1"/>
      <c r="Y381" s="1"/>
    </row>
    <row r="382" spans="1:25" ht="15" thickBot="1" x14ac:dyDescent="0.35">
      <c r="A382" s="2">
        <v>991</v>
      </c>
      <c r="B382" s="2" t="s">
        <v>21</v>
      </c>
      <c r="C382" s="2">
        <v>1</v>
      </c>
      <c r="D382" s="2">
        <v>0</v>
      </c>
      <c r="E382" s="2">
        <v>2</v>
      </c>
      <c r="F382" s="2">
        <v>22</v>
      </c>
      <c r="G382" s="4" t="b">
        <v>0</v>
      </c>
      <c r="H382" s="2">
        <v>0</v>
      </c>
      <c r="I382" s="2">
        <v>1</v>
      </c>
      <c r="J382" s="2">
        <v>0.4</v>
      </c>
      <c r="K382" s="2">
        <v>0.40910000000000002</v>
      </c>
      <c r="L382" s="2">
        <v>0.35</v>
      </c>
      <c r="M382" s="44">
        <v>0.29849999999999999</v>
      </c>
      <c r="N382" s="2">
        <v>5</v>
      </c>
      <c r="O382" s="2">
        <v>31</v>
      </c>
      <c r="P382" s="2">
        <v>36</v>
      </c>
      <c r="Q382" s="1"/>
      <c r="R382" s="1"/>
      <c r="S382" s="1"/>
      <c r="T382" s="1"/>
      <c r="U382" s="1"/>
      <c r="V382" s="1"/>
      <c r="W382" s="1"/>
      <c r="X382" s="1"/>
      <c r="Y382" s="1"/>
    </row>
    <row r="383" spans="1:25" ht="15" thickBot="1" x14ac:dyDescent="0.35">
      <c r="A383" s="2">
        <v>992</v>
      </c>
      <c r="B383" s="2" t="s">
        <v>21</v>
      </c>
      <c r="C383" s="2">
        <v>1</v>
      </c>
      <c r="D383" s="2">
        <v>0</v>
      </c>
      <c r="E383" s="2">
        <v>2</v>
      </c>
      <c r="F383" s="2">
        <v>23</v>
      </c>
      <c r="G383" s="4" t="b">
        <v>0</v>
      </c>
      <c r="H383" s="2">
        <v>0</v>
      </c>
      <c r="I383" s="2">
        <v>1</v>
      </c>
      <c r="J383" s="2">
        <v>0.4</v>
      </c>
      <c r="K383" s="2">
        <v>0.40910000000000002</v>
      </c>
      <c r="L383" s="2">
        <v>0.35</v>
      </c>
      <c r="M383" s="44">
        <v>0.35820000000000002</v>
      </c>
      <c r="N383" s="2">
        <v>3</v>
      </c>
      <c r="O383" s="2">
        <v>27</v>
      </c>
      <c r="P383" s="2">
        <v>30</v>
      </c>
      <c r="Q383" s="1"/>
      <c r="R383" s="1"/>
      <c r="S383" s="1"/>
      <c r="T383" s="1"/>
      <c r="U383" s="1"/>
      <c r="V383" s="1"/>
      <c r="W383" s="1"/>
      <c r="X383" s="1"/>
      <c r="Y383" s="1"/>
    </row>
    <row r="384" spans="1:25" ht="15" thickBot="1" x14ac:dyDescent="0.35">
      <c r="A384" s="2">
        <v>993</v>
      </c>
      <c r="B384" s="2" t="s">
        <v>22</v>
      </c>
      <c r="C384" s="2">
        <v>1</v>
      </c>
      <c r="D384" s="2">
        <v>0</v>
      </c>
      <c r="E384" s="2">
        <v>2</v>
      </c>
      <c r="F384" s="2">
        <v>0</v>
      </c>
      <c r="G384" s="4" t="b">
        <v>0</v>
      </c>
      <c r="H384" s="2">
        <v>1</v>
      </c>
      <c r="I384" s="2">
        <v>1</v>
      </c>
      <c r="J384" s="2">
        <v>0.38</v>
      </c>
      <c r="K384" s="2">
        <v>0.39389999999999997</v>
      </c>
      <c r="L384" s="2">
        <v>0.37</v>
      </c>
      <c r="M384" s="44">
        <v>0.35820000000000002</v>
      </c>
      <c r="N384" s="2">
        <v>3</v>
      </c>
      <c r="O384" s="2">
        <v>8</v>
      </c>
      <c r="P384" s="2">
        <v>11</v>
      </c>
      <c r="Q384" s="1"/>
      <c r="R384" s="1"/>
      <c r="S384" s="1"/>
      <c r="T384" s="1"/>
      <c r="U384" s="1"/>
      <c r="V384" s="1"/>
      <c r="W384" s="1"/>
      <c r="X384" s="1"/>
      <c r="Y384" s="1"/>
    </row>
    <row r="385" spans="1:25" ht="15" thickBot="1" x14ac:dyDescent="0.35">
      <c r="A385" s="2">
        <v>994</v>
      </c>
      <c r="B385" s="2" t="s">
        <v>22</v>
      </c>
      <c r="C385" s="2">
        <v>1</v>
      </c>
      <c r="D385" s="2">
        <v>0</v>
      </c>
      <c r="E385" s="2">
        <v>2</v>
      </c>
      <c r="F385" s="2">
        <v>1</v>
      </c>
      <c r="G385" s="4" t="b">
        <v>0</v>
      </c>
      <c r="H385" s="2">
        <v>1</v>
      </c>
      <c r="I385" s="2">
        <v>1</v>
      </c>
      <c r="J385" s="2">
        <v>0.38</v>
      </c>
      <c r="K385" s="2">
        <v>0.39389999999999997</v>
      </c>
      <c r="L385" s="2">
        <v>0.37</v>
      </c>
      <c r="M385" s="44">
        <v>0.35820000000000002</v>
      </c>
      <c r="N385" s="2">
        <v>1</v>
      </c>
      <c r="O385" s="2">
        <v>6</v>
      </c>
      <c r="P385" s="2">
        <v>7</v>
      </c>
      <c r="Q385" s="1"/>
      <c r="R385" s="1"/>
      <c r="S385" s="1"/>
      <c r="T385" s="1"/>
      <c r="U385" s="1"/>
      <c r="V385" s="1"/>
      <c r="W385" s="1"/>
      <c r="X385" s="1"/>
      <c r="Y385" s="1"/>
    </row>
    <row r="386" spans="1:25" ht="15" thickBot="1" x14ac:dyDescent="0.35">
      <c r="A386" s="2">
        <v>995</v>
      </c>
      <c r="B386" s="2" t="s">
        <v>22</v>
      </c>
      <c r="C386" s="2">
        <v>1</v>
      </c>
      <c r="D386" s="2">
        <v>0</v>
      </c>
      <c r="E386" s="2">
        <v>2</v>
      </c>
      <c r="F386" s="2">
        <v>2</v>
      </c>
      <c r="G386" s="4" t="b">
        <v>0</v>
      </c>
      <c r="H386" s="2">
        <v>1</v>
      </c>
      <c r="I386" s="2">
        <v>1</v>
      </c>
      <c r="J386" s="2">
        <v>0.36</v>
      </c>
      <c r="K386" s="2">
        <v>0.33329999999999999</v>
      </c>
      <c r="L386" s="2">
        <v>0.4</v>
      </c>
      <c r="M386" s="44">
        <v>0.29849999999999999</v>
      </c>
      <c r="N386" s="2">
        <v>0</v>
      </c>
      <c r="O386" s="2">
        <v>2</v>
      </c>
      <c r="P386" s="2">
        <v>2</v>
      </c>
      <c r="Q386" s="1"/>
      <c r="R386" s="1"/>
      <c r="S386" s="1"/>
      <c r="T386" s="1"/>
      <c r="U386" s="1"/>
      <c r="V386" s="1"/>
      <c r="W386" s="1"/>
      <c r="X386" s="1"/>
      <c r="Y386" s="1"/>
    </row>
    <row r="387" spans="1:25" ht="15" thickBot="1" x14ac:dyDescent="0.35">
      <c r="A387" s="2">
        <v>996</v>
      </c>
      <c r="B387" s="2" t="s">
        <v>22</v>
      </c>
      <c r="C387" s="2">
        <v>1</v>
      </c>
      <c r="D387" s="2">
        <v>0</v>
      </c>
      <c r="E387" s="2">
        <v>2</v>
      </c>
      <c r="F387" s="2">
        <v>3</v>
      </c>
      <c r="G387" s="4" t="b">
        <v>0</v>
      </c>
      <c r="H387" s="2">
        <v>1</v>
      </c>
      <c r="I387" s="2">
        <v>1</v>
      </c>
      <c r="J387" s="2">
        <v>0.34</v>
      </c>
      <c r="K387" s="2">
        <v>0.31819999999999998</v>
      </c>
      <c r="L387" s="2">
        <v>0.46</v>
      </c>
      <c r="M387" s="44">
        <v>0.22389999999999999</v>
      </c>
      <c r="N387" s="2">
        <v>1</v>
      </c>
      <c r="O387" s="2">
        <v>1</v>
      </c>
      <c r="P387" s="2">
        <v>2</v>
      </c>
      <c r="Q387" s="1"/>
      <c r="R387" s="1"/>
      <c r="S387" s="1"/>
      <c r="T387" s="1"/>
      <c r="U387" s="1"/>
      <c r="V387" s="1"/>
      <c r="W387" s="1"/>
      <c r="X387" s="1"/>
      <c r="Y387" s="1"/>
    </row>
    <row r="388" spans="1:25" ht="15" thickBot="1" x14ac:dyDescent="0.35">
      <c r="A388" s="2">
        <v>997</v>
      </c>
      <c r="B388" s="2" t="s">
        <v>22</v>
      </c>
      <c r="C388" s="2">
        <v>1</v>
      </c>
      <c r="D388" s="2">
        <v>0</v>
      </c>
      <c r="E388" s="2">
        <v>2</v>
      </c>
      <c r="F388" s="2">
        <v>4</v>
      </c>
      <c r="G388" s="4" t="b">
        <v>0</v>
      </c>
      <c r="H388" s="2">
        <v>1</v>
      </c>
      <c r="I388" s="2">
        <v>1</v>
      </c>
      <c r="J388" s="2">
        <v>0.32</v>
      </c>
      <c r="K388" s="2">
        <v>0.30299999999999999</v>
      </c>
      <c r="L388" s="2">
        <v>0.53</v>
      </c>
      <c r="M388" s="44">
        <v>0.28360000000000002</v>
      </c>
      <c r="N388" s="2">
        <v>0</v>
      </c>
      <c r="O388" s="2">
        <v>2</v>
      </c>
      <c r="P388" s="2">
        <v>2</v>
      </c>
      <c r="Q388" s="1"/>
      <c r="R388" s="1"/>
      <c r="S388" s="1"/>
      <c r="T388" s="1"/>
      <c r="U388" s="1"/>
      <c r="V388" s="1"/>
      <c r="W388" s="1"/>
      <c r="X388" s="1"/>
      <c r="Y388" s="1"/>
    </row>
    <row r="389" spans="1:25" ht="15" thickBot="1" x14ac:dyDescent="0.35">
      <c r="A389" s="2">
        <v>998</v>
      </c>
      <c r="B389" s="2" t="s">
        <v>22</v>
      </c>
      <c r="C389" s="2">
        <v>1</v>
      </c>
      <c r="D389" s="2">
        <v>0</v>
      </c>
      <c r="E389" s="2">
        <v>2</v>
      </c>
      <c r="F389" s="2">
        <v>5</v>
      </c>
      <c r="G389" s="4" t="b">
        <v>0</v>
      </c>
      <c r="H389" s="2">
        <v>1</v>
      </c>
      <c r="I389" s="2">
        <v>1</v>
      </c>
      <c r="J389" s="2">
        <v>0.32</v>
      </c>
      <c r="K389" s="2">
        <v>0.30299999999999999</v>
      </c>
      <c r="L389" s="2">
        <v>0.53</v>
      </c>
      <c r="M389" s="44">
        <v>0.28360000000000002</v>
      </c>
      <c r="N389" s="2">
        <v>0</v>
      </c>
      <c r="O389" s="2">
        <v>3</v>
      </c>
      <c r="P389" s="2">
        <v>3</v>
      </c>
      <c r="Q389" s="1"/>
      <c r="R389" s="1"/>
      <c r="S389" s="1"/>
      <c r="T389" s="1"/>
      <c r="U389" s="1"/>
      <c r="V389" s="1"/>
      <c r="W389" s="1"/>
      <c r="X389" s="1"/>
      <c r="Y389" s="1"/>
    </row>
    <row r="390" spans="1:25" ht="15" thickBot="1" x14ac:dyDescent="0.35">
      <c r="A390" s="2">
        <v>999</v>
      </c>
      <c r="B390" s="2" t="s">
        <v>22</v>
      </c>
      <c r="C390" s="2">
        <v>1</v>
      </c>
      <c r="D390" s="2">
        <v>0</v>
      </c>
      <c r="E390" s="2">
        <v>2</v>
      </c>
      <c r="F390" s="2">
        <v>6</v>
      </c>
      <c r="G390" s="4" t="b">
        <v>0</v>
      </c>
      <c r="H390" s="2">
        <v>1</v>
      </c>
      <c r="I390" s="2">
        <v>1</v>
      </c>
      <c r="J390" s="2">
        <v>0.34</v>
      </c>
      <c r="K390" s="2">
        <v>0.30299999999999999</v>
      </c>
      <c r="L390" s="2">
        <v>0.46</v>
      </c>
      <c r="M390" s="44">
        <v>0.29849999999999999</v>
      </c>
      <c r="N390" s="2">
        <v>1</v>
      </c>
      <c r="O390" s="2">
        <v>25</v>
      </c>
      <c r="P390" s="2">
        <v>26</v>
      </c>
      <c r="Q390" s="1"/>
      <c r="R390" s="1"/>
      <c r="S390" s="1"/>
      <c r="T390" s="1"/>
      <c r="U390" s="1"/>
      <c r="V390" s="1"/>
      <c r="W390" s="1"/>
      <c r="X390" s="1"/>
      <c r="Y390" s="1"/>
    </row>
    <row r="391" spans="1:25" ht="15" thickBot="1" x14ac:dyDescent="0.35">
      <c r="A391" s="2">
        <v>1000</v>
      </c>
      <c r="B391" s="2" t="s">
        <v>22</v>
      </c>
      <c r="C391" s="2">
        <v>1</v>
      </c>
      <c r="D391" s="2">
        <v>0</v>
      </c>
      <c r="E391" s="2">
        <v>2</v>
      </c>
      <c r="F391" s="2">
        <v>7</v>
      </c>
      <c r="G391" s="4" t="b">
        <v>0</v>
      </c>
      <c r="H391" s="2">
        <v>1</v>
      </c>
      <c r="I391" s="2">
        <v>1</v>
      </c>
      <c r="J391" s="2">
        <v>0.34</v>
      </c>
      <c r="K391" s="2">
        <v>0.30299999999999999</v>
      </c>
      <c r="L391" s="2">
        <v>0.46</v>
      </c>
      <c r="M391" s="44">
        <v>0.29849999999999999</v>
      </c>
      <c r="N391" s="2">
        <v>2</v>
      </c>
      <c r="O391" s="2">
        <v>96</v>
      </c>
      <c r="P391" s="2">
        <v>98</v>
      </c>
      <c r="Q391" s="1"/>
      <c r="R391" s="1"/>
      <c r="S391" s="1"/>
      <c r="T391" s="1"/>
      <c r="U391" s="1"/>
      <c r="V391" s="1"/>
      <c r="W391" s="1"/>
      <c r="X391" s="1"/>
      <c r="Y391" s="1"/>
    </row>
    <row r="392" spans="1:25"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autoFilter ref="A1:P391" xr:uid="{47FA0487-88D4-411E-89C9-A3DFEE7F0B9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CEBB-7D52-4CF0-AC29-20B82D0E509A}">
  <dimension ref="A1:B16"/>
  <sheetViews>
    <sheetView tabSelected="1" workbookViewId="0">
      <selection activeCell="B17" sqref="B17"/>
    </sheetView>
  </sheetViews>
  <sheetFormatPr defaultRowHeight="14.4" x14ac:dyDescent="0.3"/>
  <sheetData>
    <row r="1" spans="1:2" ht="15" thickBot="1" x14ac:dyDescent="0.35">
      <c r="A1" s="1" t="s">
        <v>0</v>
      </c>
      <c r="B1" t="s">
        <v>92</v>
      </c>
    </row>
    <row r="2" spans="1:2" ht="15" thickBot="1" x14ac:dyDescent="0.35">
      <c r="A2" s="1" t="s">
        <v>1</v>
      </c>
      <c r="B2" t="s">
        <v>93</v>
      </c>
    </row>
    <row r="3" spans="1:2" ht="15" thickBot="1" x14ac:dyDescent="0.35">
      <c r="A3" s="1" t="s">
        <v>2</v>
      </c>
      <c r="B3" t="s">
        <v>94</v>
      </c>
    </row>
    <row r="4" spans="1:2" ht="15" thickBot="1" x14ac:dyDescent="0.35">
      <c r="A4" s="1" t="s">
        <v>3</v>
      </c>
    </row>
    <row r="5" spans="1:2" ht="15" thickBot="1" x14ac:dyDescent="0.35">
      <c r="A5" s="1" t="s">
        <v>4</v>
      </c>
    </row>
    <row r="6" spans="1:2" ht="15" thickBot="1" x14ac:dyDescent="0.35">
      <c r="A6" s="1" t="s">
        <v>5</v>
      </c>
    </row>
    <row r="7" spans="1:2" ht="15" thickBot="1" x14ac:dyDescent="0.35">
      <c r="A7" s="1" t="s">
        <v>6</v>
      </c>
      <c r="B7" t="s">
        <v>95</v>
      </c>
    </row>
    <row r="8" spans="1:2" ht="15" thickBot="1" x14ac:dyDescent="0.35">
      <c r="A8" s="1" t="s">
        <v>7</v>
      </c>
      <c r="B8" t="s">
        <v>96</v>
      </c>
    </row>
    <row r="9" spans="1:2" ht="27.6" thickBot="1" x14ac:dyDescent="0.35">
      <c r="A9" s="1" t="s">
        <v>8</v>
      </c>
      <c r="B9" t="s">
        <v>97</v>
      </c>
    </row>
    <row r="10" spans="1:2" ht="15" thickBot="1" x14ac:dyDescent="0.35">
      <c r="A10" s="1" t="s">
        <v>9</v>
      </c>
      <c r="B10" t="s">
        <v>98</v>
      </c>
    </row>
    <row r="11" spans="1:2" ht="15" thickBot="1" x14ac:dyDescent="0.35">
      <c r="A11" s="1" t="s">
        <v>12</v>
      </c>
      <c r="B11" t="s">
        <v>99</v>
      </c>
    </row>
    <row r="12" spans="1:2" ht="15" thickBot="1" x14ac:dyDescent="0.35">
      <c r="A12" s="1" t="s">
        <v>13</v>
      </c>
    </row>
    <row r="13" spans="1:2" ht="27.6" thickBot="1" x14ac:dyDescent="0.35">
      <c r="A13" s="1" t="s">
        <v>14</v>
      </c>
    </row>
    <row r="14" spans="1:2" ht="15" thickBot="1" x14ac:dyDescent="0.35">
      <c r="A14" s="1" t="s">
        <v>15</v>
      </c>
      <c r="B14" t="s">
        <v>100</v>
      </c>
    </row>
    <row r="15" spans="1:2" ht="27.6" thickBot="1" x14ac:dyDescent="0.35">
      <c r="A15" s="1" t="s">
        <v>16</v>
      </c>
      <c r="B15" t="s">
        <v>101</v>
      </c>
    </row>
    <row r="16" spans="1:2" ht="15" thickBot="1" x14ac:dyDescent="0.35">
      <c r="A16" s="1" t="s">
        <v>17</v>
      </c>
      <c r="B16" t="s">
        <v>102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CDDDD-F3A1-4851-820A-1904242DE6C8}">
  <dimension ref="A1:Q611"/>
  <sheetViews>
    <sheetView topLeftCell="B1" zoomScale="85" zoomScaleNormal="85" workbookViewId="0">
      <selection activeCell="O3" sqref="O3"/>
    </sheetView>
  </sheetViews>
  <sheetFormatPr defaultRowHeight="14.4" x14ac:dyDescent="0.3"/>
  <cols>
    <col min="2" max="2" width="13" style="41" customWidth="1"/>
    <col min="7" max="7" width="9.109375" customWidth="1"/>
    <col min="8" max="8" width="10.5546875" customWidth="1"/>
    <col min="9" max="9" width="12" customWidth="1"/>
    <col min="13" max="13" width="12.21875" customWidth="1"/>
    <col min="15" max="15" width="11.5546875" customWidth="1"/>
    <col min="17" max="17" width="17.33203125" customWidth="1"/>
  </cols>
  <sheetData>
    <row r="1" spans="1:17" x14ac:dyDescent="0.3">
      <c r="A1" s="40" t="s">
        <v>23</v>
      </c>
      <c r="B1" s="42" t="s">
        <v>24</v>
      </c>
      <c r="C1" s="40" t="s">
        <v>25</v>
      </c>
      <c r="D1" s="40" t="s">
        <v>26</v>
      </c>
      <c r="E1" s="40" t="s">
        <v>27</v>
      </c>
      <c r="F1" s="40" t="s">
        <v>28</v>
      </c>
      <c r="G1" s="40" t="s">
        <v>29</v>
      </c>
      <c r="H1" s="40" t="s">
        <v>30</v>
      </c>
      <c r="I1" s="40" t="s">
        <v>31</v>
      </c>
      <c r="J1" s="40" t="s">
        <v>32</v>
      </c>
      <c r="K1" s="40" t="s">
        <v>33</v>
      </c>
      <c r="L1" s="40" t="s">
        <v>34</v>
      </c>
      <c r="M1" s="40" t="s">
        <v>35</v>
      </c>
      <c r="N1" s="40" t="s">
        <v>36</v>
      </c>
      <c r="O1" s="40" t="s">
        <v>37</v>
      </c>
      <c r="P1" s="40" t="s">
        <v>38</v>
      </c>
      <c r="Q1" s="40" t="s">
        <v>39</v>
      </c>
    </row>
    <row r="2" spans="1:17" x14ac:dyDescent="0.3">
      <c r="A2" s="40">
        <v>1</v>
      </c>
      <c r="B2" s="42">
        <v>40544</v>
      </c>
      <c r="C2" s="40">
        <v>1</v>
      </c>
      <c r="D2" s="40">
        <v>0</v>
      </c>
      <c r="E2" s="40">
        <v>1</v>
      </c>
      <c r="F2" s="40">
        <v>0</v>
      </c>
      <c r="G2" s="40" t="b">
        <v>0</v>
      </c>
      <c r="H2" s="40">
        <v>6</v>
      </c>
      <c r="I2" s="40">
        <v>1</v>
      </c>
      <c r="J2" s="40">
        <v>0.24</v>
      </c>
      <c r="K2" s="40">
        <v>0.28789999999999999</v>
      </c>
      <c r="L2" s="40">
        <v>0.81</v>
      </c>
      <c r="M2" s="40">
        <v>0.20485098360655701</v>
      </c>
      <c r="N2" s="40">
        <v>3</v>
      </c>
      <c r="O2" s="40">
        <v>13</v>
      </c>
      <c r="P2" s="40">
        <v>16</v>
      </c>
      <c r="Q2" s="40">
        <v>0.28789999999999999</v>
      </c>
    </row>
    <row r="3" spans="1:17" x14ac:dyDescent="0.3">
      <c r="A3" s="40">
        <v>2</v>
      </c>
      <c r="B3" s="42">
        <v>40544</v>
      </c>
      <c r="C3" s="40">
        <v>1</v>
      </c>
      <c r="D3" s="40">
        <v>0</v>
      </c>
      <c r="E3" s="40">
        <v>1</v>
      </c>
      <c r="F3" s="40">
        <v>1</v>
      </c>
      <c r="G3" s="40" t="b">
        <v>0</v>
      </c>
      <c r="H3" s="40">
        <v>6</v>
      </c>
      <c r="I3" s="40">
        <v>1</v>
      </c>
      <c r="J3" s="40">
        <v>0.22</v>
      </c>
      <c r="K3" s="40">
        <v>0.2727</v>
      </c>
      <c r="L3" s="40">
        <v>0.8</v>
      </c>
      <c r="M3" s="40">
        <v>0.20485098360655737</v>
      </c>
      <c r="N3" s="40">
        <v>8</v>
      </c>
      <c r="O3" s="40">
        <v>32</v>
      </c>
      <c r="P3" s="40">
        <v>40</v>
      </c>
      <c r="Q3" s="40">
        <v>0.2727</v>
      </c>
    </row>
    <row r="4" spans="1:17" x14ac:dyDescent="0.3">
      <c r="A4" s="40">
        <v>3</v>
      </c>
      <c r="B4" s="42">
        <v>40544</v>
      </c>
      <c r="C4" s="40">
        <v>1</v>
      </c>
      <c r="D4" s="40">
        <v>0</v>
      </c>
      <c r="E4" s="40">
        <v>1</v>
      </c>
      <c r="F4" s="40">
        <v>2</v>
      </c>
      <c r="G4" s="40" t="b">
        <v>0</v>
      </c>
      <c r="H4" s="40">
        <v>6</v>
      </c>
      <c r="I4" s="40">
        <v>1</v>
      </c>
      <c r="J4" s="40">
        <v>0.22</v>
      </c>
      <c r="K4" s="40">
        <v>0.2727</v>
      </c>
      <c r="L4" s="40">
        <v>0.8</v>
      </c>
      <c r="M4" s="40">
        <v>0.20485098360655737</v>
      </c>
      <c r="N4" s="40">
        <v>5</v>
      </c>
      <c r="O4" s="40">
        <v>27</v>
      </c>
      <c r="P4" s="40">
        <v>32</v>
      </c>
      <c r="Q4" s="40">
        <v>0.2727</v>
      </c>
    </row>
    <row r="5" spans="1:17" x14ac:dyDescent="0.3">
      <c r="A5" s="40">
        <v>4</v>
      </c>
      <c r="B5" s="42">
        <v>40544</v>
      </c>
      <c r="C5" s="40">
        <v>1</v>
      </c>
      <c r="D5" s="40">
        <v>0</v>
      </c>
      <c r="E5" s="40">
        <v>1</v>
      </c>
      <c r="F5" s="40">
        <v>3</v>
      </c>
      <c r="G5" s="40" t="b">
        <v>0</v>
      </c>
      <c r="H5" s="40">
        <v>6</v>
      </c>
      <c r="I5" s="40">
        <v>1</v>
      </c>
      <c r="J5" s="40">
        <v>0.24</v>
      </c>
      <c r="K5" s="40">
        <v>0.28789999999999999</v>
      </c>
      <c r="L5" s="40">
        <v>0.75</v>
      </c>
      <c r="M5" s="40">
        <v>0.20485098360655737</v>
      </c>
      <c r="N5" s="40">
        <v>3</v>
      </c>
      <c r="O5" s="40">
        <v>10</v>
      </c>
      <c r="P5" s="40">
        <v>13</v>
      </c>
      <c r="Q5" s="40">
        <v>0.28789999999999999</v>
      </c>
    </row>
    <row r="6" spans="1:17" x14ac:dyDescent="0.3">
      <c r="A6" s="40">
        <v>5</v>
      </c>
      <c r="B6" s="42">
        <v>40544</v>
      </c>
      <c r="C6" s="40">
        <v>1</v>
      </c>
      <c r="D6" s="40">
        <v>0</v>
      </c>
      <c r="E6" s="40">
        <v>1</v>
      </c>
      <c r="F6" s="40">
        <v>4</v>
      </c>
      <c r="G6" s="40" t="b">
        <v>0</v>
      </c>
      <c r="H6" s="40">
        <v>6</v>
      </c>
      <c r="I6" s="40">
        <v>1</v>
      </c>
      <c r="J6" s="40">
        <v>0.24</v>
      </c>
      <c r="K6" s="40">
        <v>0.28789999999999999</v>
      </c>
      <c r="L6" s="40">
        <v>0.75</v>
      </c>
      <c r="M6" s="40">
        <v>0.20485098360655737</v>
      </c>
      <c r="N6" s="40">
        <v>0</v>
      </c>
      <c r="O6" s="40">
        <v>1</v>
      </c>
      <c r="P6" s="40">
        <v>1</v>
      </c>
      <c r="Q6" s="40">
        <v>0.28789999999999999</v>
      </c>
    </row>
    <row r="7" spans="1:17" x14ac:dyDescent="0.3">
      <c r="A7" s="40">
        <v>6</v>
      </c>
      <c r="B7" s="42">
        <v>40544</v>
      </c>
      <c r="C7" s="40">
        <v>1</v>
      </c>
      <c r="D7" s="40">
        <v>0</v>
      </c>
      <c r="E7" s="40">
        <v>1</v>
      </c>
      <c r="F7" s="40">
        <v>5</v>
      </c>
      <c r="G7" s="40" t="b">
        <v>0</v>
      </c>
      <c r="H7" s="40">
        <v>6</v>
      </c>
      <c r="I7" s="40">
        <v>2</v>
      </c>
      <c r="J7" s="40">
        <v>0.24</v>
      </c>
      <c r="K7" s="40">
        <v>0.2576</v>
      </c>
      <c r="L7" s="40">
        <v>0.75</v>
      </c>
      <c r="M7" s="40">
        <v>8.9599999999999999E-2</v>
      </c>
      <c r="N7" s="40">
        <v>0</v>
      </c>
      <c r="O7" s="40">
        <v>1</v>
      </c>
      <c r="P7" s="40">
        <v>1</v>
      </c>
      <c r="Q7" s="40">
        <v>0.2576</v>
      </c>
    </row>
    <row r="8" spans="1:17" x14ac:dyDescent="0.3">
      <c r="A8" s="40">
        <v>7</v>
      </c>
      <c r="B8" s="42">
        <v>40544</v>
      </c>
      <c r="C8" s="40">
        <v>1</v>
      </c>
      <c r="D8" s="40">
        <v>0</v>
      </c>
      <c r="E8" s="40">
        <v>1</v>
      </c>
      <c r="F8" s="40">
        <v>6</v>
      </c>
      <c r="G8" s="40" t="b">
        <v>0</v>
      </c>
      <c r="H8" s="40">
        <v>6</v>
      </c>
      <c r="I8" s="40">
        <v>1</v>
      </c>
      <c r="J8" s="40">
        <v>0.22</v>
      </c>
      <c r="K8" s="40">
        <v>0.2727</v>
      </c>
      <c r="L8" s="40">
        <v>0.8</v>
      </c>
      <c r="M8" s="40">
        <v>0.20485098360655737</v>
      </c>
      <c r="N8" s="40">
        <v>2</v>
      </c>
      <c r="O8" s="40">
        <v>0</v>
      </c>
      <c r="P8" s="40">
        <v>2</v>
      </c>
      <c r="Q8" s="40">
        <v>0.2727</v>
      </c>
    </row>
    <row r="9" spans="1:17" x14ac:dyDescent="0.3">
      <c r="A9" s="40">
        <v>8</v>
      </c>
      <c r="B9" s="42">
        <v>40544</v>
      </c>
      <c r="C9" s="40">
        <v>1</v>
      </c>
      <c r="D9" s="40">
        <v>0</v>
      </c>
      <c r="E9" s="40">
        <v>1</v>
      </c>
      <c r="F9" s="40">
        <v>7</v>
      </c>
      <c r="G9" s="40" t="b">
        <v>0</v>
      </c>
      <c r="H9" s="40">
        <v>6</v>
      </c>
      <c r="I9" s="40">
        <v>1</v>
      </c>
      <c r="J9" s="40">
        <v>0.2</v>
      </c>
      <c r="K9" s="40">
        <v>0.2576</v>
      </c>
      <c r="L9" s="40">
        <v>0.86</v>
      </c>
      <c r="M9" s="40">
        <v>0.20485098360655737</v>
      </c>
      <c r="N9" s="40">
        <v>1</v>
      </c>
      <c r="O9" s="40">
        <v>2</v>
      </c>
      <c r="P9" s="40">
        <v>3</v>
      </c>
      <c r="Q9" s="40">
        <v>0.2576</v>
      </c>
    </row>
    <row r="10" spans="1:17" x14ac:dyDescent="0.3">
      <c r="A10" s="40">
        <v>9</v>
      </c>
      <c r="B10" s="42">
        <v>40544</v>
      </c>
      <c r="C10" s="40">
        <v>1</v>
      </c>
      <c r="D10" s="40">
        <v>0</v>
      </c>
      <c r="E10" s="40">
        <v>1</v>
      </c>
      <c r="F10" s="40">
        <v>8</v>
      </c>
      <c r="G10" s="40" t="b">
        <v>0</v>
      </c>
      <c r="H10" s="40">
        <v>6</v>
      </c>
      <c r="I10" s="40">
        <v>1</v>
      </c>
      <c r="J10" s="40">
        <v>0.24</v>
      </c>
      <c r="K10" s="40">
        <v>0.19993489148580987</v>
      </c>
      <c r="L10" s="40">
        <v>0.75</v>
      </c>
      <c r="M10" s="40">
        <v>0.20485098360655737</v>
      </c>
      <c r="N10" s="40">
        <v>1</v>
      </c>
      <c r="O10" s="40">
        <v>7</v>
      </c>
      <c r="P10" s="40">
        <v>8</v>
      </c>
      <c r="Q10" s="40">
        <v>0.19993489148580987</v>
      </c>
    </row>
    <row r="11" spans="1:17" x14ac:dyDescent="0.3">
      <c r="A11" s="40">
        <v>10</v>
      </c>
      <c r="B11" s="42">
        <v>40544</v>
      </c>
      <c r="C11" s="40">
        <v>1</v>
      </c>
      <c r="D11" s="40">
        <v>0</v>
      </c>
      <c r="E11" s="40">
        <v>1</v>
      </c>
      <c r="F11" s="40">
        <v>9</v>
      </c>
      <c r="G11" s="40" t="b">
        <v>0</v>
      </c>
      <c r="H11" s="40">
        <v>6</v>
      </c>
      <c r="I11" s="40">
        <v>1</v>
      </c>
      <c r="J11" s="40">
        <v>0.32</v>
      </c>
      <c r="K11" s="40">
        <v>0.34849999999999998</v>
      </c>
      <c r="L11" s="40">
        <v>0.76</v>
      </c>
      <c r="M11" s="40">
        <v>0.20485098360655737</v>
      </c>
      <c r="N11" s="40">
        <v>8</v>
      </c>
      <c r="O11" s="40">
        <v>6</v>
      </c>
      <c r="P11" s="40">
        <v>14</v>
      </c>
      <c r="Q11" s="40">
        <v>0.34849999999999998</v>
      </c>
    </row>
    <row r="12" spans="1:17" x14ac:dyDescent="0.3">
      <c r="A12" s="40">
        <v>11</v>
      </c>
      <c r="B12" s="42">
        <v>40544</v>
      </c>
      <c r="C12" s="40">
        <v>1</v>
      </c>
      <c r="D12" s="40">
        <v>0</v>
      </c>
      <c r="E12" s="40">
        <v>1</v>
      </c>
      <c r="F12" s="40">
        <v>10</v>
      </c>
      <c r="G12" s="40" t="b">
        <v>0</v>
      </c>
      <c r="H12" s="40">
        <v>6</v>
      </c>
      <c r="I12" s="40">
        <v>1</v>
      </c>
      <c r="J12" s="40">
        <v>0.38</v>
      </c>
      <c r="K12" s="40">
        <v>0.39389999999999997</v>
      </c>
      <c r="L12" s="40">
        <v>0.76</v>
      </c>
      <c r="M12" s="40">
        <v>0.25369999999999998</v>
      </c>
      <c r="N12" s="40">
        <v>12</v>
      </c>
      <c r="O12" s="40">
        <v>24</v>
      </c>
      <c r="P12" s="40">
        <v>36</v>
      </c>
      <c r="Q12" s="40">
        <v>0.39389999999999997</v>
      </c>
    </row>
    <row r="13" spans="1:17" x14ac:dyDescent="0.3">
      <c r="A13" s="40">
        <v>12</v>
      </c>
      <c r="B13" s="42">
        <v>40544</v>
      </c>
      <c r="C13" s="40">
        <v>1</v>
      </c>
      <c r="D13" s="40">
        <v>0</v>
      </c>
      <c r="E13" s="40">
        <v>1</v>
      </c>
      <c r="F13" s="40">
        <v>11</v>
      </c>
      <c r="G13" s="40" t="b">
        <v>0</v>
      </c>
      <c r="H13" s="40">
        <v>6</v>
      </c>
      <c r="I13" s="40">
        <v>1</v>
      </c>
      <c r="J13" s="40">
        <v>0.36</v>
      </c>
      <c r="K13" s="40">
        <v>0.33329999999999999</v>
      </c>
      <c r="L13" s="40">
        <v>0.81</v>
      </c>
      <c r="M13" s="40">
        <v>0.28360000000000002</v>
      </c>
      <c r="N13" s="40">
        <v>26</v>
      </c>
      <c r="O13" s="40">
        <v>30</v>
      </c>
      <c r="P13" s="40">
        <v>56</v>
      </c>
      <c r="Q13" s="40">
        <v>0.33329999999999999</v>
      </c>
    </row>
    <row r="14" spans="1:17" x14ac:dyDescent="0.3">
      <c r="A14" s="40">
        <v>13</v>
      </c>
      <c r="B14" s="42">
        <v>40544</v>
      </c>
      <c r="C14" s="40">
        <v>1</v>
      </c>
      <c r="D14" s="40">
        <v>0</v>
      </c>
      <c r="E14" s="40">
        <v>1</v>
      </c>
      <c r="F14" s="40">
        <v>12</v>
      </c>
      <c r="G14" s="40" t="b">
        <v>0</v>
      </c>
      <c r="H14" s="40">
        <v>6</v>
      </c>
      <c r="I14" s="40">
        <v>1</v>
      </c>
      <c r="J14" s="40">
        <v>0.42</v>
      </c>
      <c r="K14" s="40">
        <v>0.42420000000000002</v>
      </c>
      <c r="L14" s="40">
        <v>0.77</v>
      </c>
      <c r="M14" s="40">
        <v>0.28360000000000002</v>
      </c>
      <c r="N14" s="40">
        <v>29</v>
      </c>
      <c r="O14" s="40">
        <v>55</v>
      </c>
      <c r="P14" s="40">
        <v>84</v>
      </c>
      <c r="Q14" s="40">
        <v>0.42420000000000002</v>
      </c>
    </row>
    <row r="15" spans="1:17" x14ac:dyDescent="0.3">
      <c r="A15" s="40">
        <v>14</v>
      </c>
      <c r="B15" s="42">
        <v>40544</v>
      </c>
      <c r="C15" s="40">
        <v>1</v>
      </c>
      <c r="D15" s="40">
        <v>0</v>
      </c>
      <c r="E15" s="40">
        <v>1</v>
      </c>
      <c r="F15" s="40">
        <v>13</v>
      </c>
      <c r="G15" s="40" t="b">
        <v>0</v>
      </c>
      <c r="H15" s="40">
        <v>6</v>
      </c>
      <c r="I15" s="40">
        <v>2</v>
      </c>
      <c r="J15" s="40">
        <v>0.46</v>
      </c>
      <c r="K15" s="40">
        <v>0.45450000000000002</v>
      </c>
      <c r="L15" s="40">
        <v>0.72</v>
      </c>
      <c r="M15" s="40">
        <v>0.29849999999999999</v>
      </c>
      <c r="N15" s="40">
        <v>47</v>
      </c>
      <c r="O15" s="40">
        <v>47</v>
      </c>
      <c r="P15" s="40">
        <v>94</v>
      </c>
      <c r="Q15" s="40">
        <v>0.45450000000000002</v>
      </c>
    </row>
    <row r="16" spans="1:17" x14ac:dyDescent="0.3">
      <c r="A16" s="40">
        <v>15</v>
      </c>
      <c r="B16" s="42">
        <v>40544</v>
      </c>
      <c r="C16" s="40">
        <v>1</v>
      </c>
      <c r="D16" s="40">
        <v>0</v>
      </c>
      <c r="E16" s="40">
        <v>1</v>
      </c>
      <c r="F16" s="40">
        <v>14</v>
      </c>
      <c r="G16" s="40" t="b">
        <v>0</v>
      </c>
      <c r="H16" s="40">
        <v>6</v>
      </c>
      <c r="I16" s="40">
        <v>2</v>
      </c>
      <c r="J16" s="40">
        <v>0.46</v>
      </c>
      <c r="K16" s="40">
        <v>0.45450000000000002</v>
      </c>
      <c r="L16" s="40">
        <v>0.72</v>
      </c>
      <c r="M16" s="40">
        <v>0.28360000000000002</v>
      </c>
      <c r="N16" s="40">
        <v>35</v>
      </c>
      <c r="O16" s="40">
        <v>71</v>
      </c>
      <c r="P16" s="40">
        <v>106</v>
      </c>
      <c r="Q16" s="40">
        <v>0.45450000000000002</v>
      </c>
    </row>
    <row r="17" spans="1:17" x14ac:dyDescent="0.3">
      <c r="A17" s="40">
        <v>16</v>
      </c>
      <c r="B17" s="42">
        <v>40544</v>
      </c>
      <c r="C17" s="40">
        <v>1</v>
      </c>
      <c r="D17" s="40">
        <v>0</v>
      </c>
      <c r="E17" s="40">
        <v>1</v>
      </c>
      <c r="F17" s="40">
        <v>15</v>
      </c>
      <c r="G17" s="40" t="b">
        <v>0</v>
      </c>
      <c r="H17" s="40">
        <v>6</v>
      </c>
      <c r="I17" s="40">
        <v>2</v>
      </c>
      <c r="J17" s="40">
        <v>0.44</v>
      </c>
      <c r="K17" s="40">
        <v>0.43940000000000001</v>
      </c>
      <c r="L17" s="40">
        <v>0.77</v>
      </c>
      <c r="M17" s="40">
        <v>0.29849999999999999</v>
      </c>
      <c r="N17" s="40">
        <v>40</v>
      </c>
      <c r="O17" s="40">
        <v>70</v>
      </c>
      <c r="P17" s="40">
        <v>110</v>
      </c>
      <c r="Q17" s="40">
        <v>0.43940000000000001</v>
      </c>
    </row>
    <row r="18" spans="1:17" x14ac:dyDescent="0.3">
      <c r="A18" s="40">
        <v>17</v>
      </c>
      <c r="B18" s="42">
        <v>40544</v>
      </c>
      <c r="C18" s="40">
        <v>1</v>
      </c>
      <c r="D18" s="40">
        <v>0</v>
      </c>
      <c r="E18" s="40">
        <v>1</v>
      </c>
      <c r="F18" s="40">
        <v>16</v>
      </c>
      <c r="G18" s="40" t="b">
        <v>0</v>
      </c>
      <c r="H18" s="40">
        <v>6</v>
      </c>
      <c r="I18" s="40">
        <v>2</v>
      </c>
      <c r="J18" s="40">
        <v>0.42</v>
      </c>
      <c r="K18" s="40">
        <v>0.42420000000000002</v>
      </c>
      <c r="L18" s="40">
        <v>0.82</v>
      </c>
      <c r="M18" s="40">
        <v>0.29849999999999999</v>
      </c>
      <c r="N18" s="40">
        <v>41</v>
      </c>
      <c r="O18" s="40">
        <v>52</v>
      </c>
      <c r="P18" s="40">
        <v>93</v>
      </c>
      <c r="Q18" s="40">
        <v>0.42420000000000002</v>
      </c>
    </row>
    <row r="19" spans="1:17" x14ac:dyDescent="0.3">
      <c r="A19" s="40">
        <v>18</v>
      </c>
      <c r="B19" s="42">
        <v>40544</v>
      </c>
      <c r="C19" s="40">
        <v>1</v>
      </c>
      <c r="D19" s="40">
        <v>0</v>
      </c>
      <c r="E19" s="40">
        <v>1</v>
      </c>
      <c r="F19" s="40">
        <v>17</v>
      </c>
      <c r="G19" s="40" t="b">
        <v>0</v>
      </c>
      <c r="H19" s="40">
        <v>6</v>
      </c>
      <c r="I19" s="40">
        <v>2</v>
      </c>
      <c r="J19" s="40">
        <v>0.44</v>
      </c>
      <c r="K19" s="40">
        <v>0.19993489148580987</v>
      </c>
      <c r="L19" s="40">
        <v>0.82</v>
      </c>
      <c r="M19" s="40">
        <v>0.28360000000000002</v>
      </c>
      <c r="N19" s="40">
        <v>15</v>
      </c>
      <c r="O19" s="40">
        <v>52</v>
      </c>
      <c r="P19" s="40">
        <v>67</v>
      </c>
      <c r="Q19" s="40">
        <v>0.19993489148580987</v>
      </c>
    </row>
    <row r="20" spans="1:17" x14ac:dyDescent="0.3">
      <c r="A20" s="40">
        <v>19</v>
      </c>
      <c r="B20" s="42">
        <v>40544</v>
      </c>
      <c r="C20" s="40">
        <v>1</v>
      </c>
      <c r="D20" s="40">
        <v>0</v>
      </c>
      <c r="E20" s="40">
        <v>1</v>
      </c>
      <c r="F20" s="40">
        <v>18</v>
      </c>
      <c r="G20" s="40" t="b">
        <v>0</v>
      </c>
      <c r="H20" s="40">
        <v>6</v>
      </c>
      <c r="I20" s="40">
        <v>3</v>
      </c>
      <c r="J20" s="40">
        <v>0.42</v>
      </c>
      <c r="K20" s="40">
        <v>0.42420000000000002</v>
      </c>
      <c r="L20" s="40">
        <v>0.88</v>
      </c>
      <c r="M20" s="40">
        <v>0.25369999999999998</v>
      </c>
      <c r="N20" s="40">
        <v>9</v>
      </c>
      <c r="O20" s="40">
        <v>26</v>
      </c>
      <c r="P20" s="40">
        <v>35</v>
      </c>
      <c r="Q20" s="40">
        <v>0.42420000000000002</v>
      </c>
    </row>
    <row r="21" spans="1:17" x14ac:dyDescent="0.3">
      <c r="A21" s="40">
        <v>20</v>
      </c>
      <c r="B21" s="42">
        <v>40544</v>
      </c>
      <c r="C21" s="40">
        <v>1</v>
      </c>
      <c r="D21" s="40">
        <v>0</v>
      </c>
      <c r="E21" s="40">
        <v>1</v>
      </c>
      <c r="F21" s="40">
        <v>19</v>
      </c>
      <c r="G21" s="40" t="b">
        <v>0</v>
      </c>
      <c r="H21" s="40">
        <v>6</v>
      </c>
      <c r="I21" s="40">
        <v>3</v>
      </c>
      <c r="J21" s="40">
        <v>0.42</v>
      </c>
      <c r="K21" s="40">
        <v>0.42420000000000002</v>
      </c>
      <c r="L21" s="40">
        <v>0.88</v>
      </c>
      <c r="M21" s="40">
        <v>0.25369999999999998</v>
      </c>
      <c r="N21" s="40">
        <v>6</v>
      </c>
      <c r="O21" s="40">
        <v>31</v>
      </c>
      <c r="P21" s="40">
        <v>37</v>
      </c>
      <c r="Q21" s="40">
        <v>0.42420000000000002</v>
      </c>
    </row>
    <row r="22" spans="1:17" x14ac:dyDescent="0.3">
      <c r="A22" s="40">
        <v>21</v>
      </c>
      <c r="B22" s="42">
        <v>40544</v>
      </c>
      <c r="C22" s="40">
        <v>1</v>
      </c>
      <c r="D22" s="40">
        <v>0</v>
      </c>
      <c r="E22" s="40">
        <v>1</v>
      </c>
      <c r="F22" s="40">
        <v>20</v>
      </c>
      <c r="G22" s="40" t="b">
        <v>0</v>
      </c>
      <c r="H22" s="40">
        <v>6</v>
      </c>
      <c r="I22" s="40">
        <v>2</v>
      </c>
      <c r="J22" s="40">
        <v>0.4</v>
      </c>
      <c r="K22" s="40">
        <v>0.40910000000000002</v>
      </c>
      <c r="L22" s="40">
        <v>0.87</v>
      </c>
      <c r="M22" s="40">
        <v>0.25369999999999998</v>
      </c>
      <c r="N22" s="40">
        <v>11</v>
      </c>
      <c r="O22" s="40">
        <v>25</v>
      </c>
      <c r="P22" s="40">
        <v>36</v>
      </c>
      <c r="Q22" s="40">
        <v>0.40910000000000002</v>
      </c>
    </row>
    <row r="23" spans="1:17" x14ac:dyDescent="0.3">
      <c r="A23" s="40">
        <v>22</v>
      </c>
      <c r="B23" s="42">
        <v>40544</v>
      </c>
      <c r="C23" s="40">
        <v>1</v>
      </c>
      <c r="D23" s="40">
        <v>0</v>
      </c>
      <c r="E23" s="40">
        <v>1</v>
      </c>
      <c r="F23" s="40">
        <v>21</v>
      </c>
      <c r="G23" s="40" t="b">
        <v>0</v>
      </c>
      <c r="H23" s="40">
        <v>6</v>
      </c>
      <c r="I23" s="40">
        <v>2</v>
      </c>
      <c r="J23" s="40">
        <v>0.4</v>
      </c>
      <c r="K23" s="40">
        <v>0.40910000000000002</v>
      </c>
      <c r="L23" s="40">
        <v>0.87</v>
      </c>
      <c r="M23" s="40">
        <v>0.19400000000000001</v>
      </c>
      <c r="N23" s="40">
        <v>3</v>
      </c>
      <c r="O23" s="40">
        <v>31</v>
      </c>
      <c r="P23" s="40">
        <v>34</v>
      </c>
      <c r="Q23" s="40">
        <v>0.40910000000000002</v>
      </c>
    </row>
    <row r="24" spans="1:17" x14ac:dyDescent="0.3">
      <c r="A24" s="40">
        <v>23</v>
      </c>
      <c r="B24" s="42">
        <v>40544</v>
      </c>
      <c r="C24" s="40">
        <v>1</v>
      </c>
      <c r="D24" s="40">
        <v>0</v>
      </c>
      <c r="E24" s="40">
        <v>1</v>
      </c>
      <c r="F24" s="40">
        <v>22</v>
      </c>
      <c r="G24" s="40" t="b">
        <v>0</v>
      </c>
      <c r="H24" s="40">
        <v>6</v>
      </c>
      <c r="I24" s="40">
        <v>2</v>
      </c>
      <c r="J24" s="40">
        <v>0.4</v>
      </c>
      <c r="K24" s="40">
        <v>0.40910000000000002</v>
      </c>
      <c r="L24" s="40">
        <v>0.94</v>
      </c>
      <c r="M24" s="40">
        <v>0.22389999999999999</v>
      </c>
      <c r="N24" s="40">
        <v>11</v>
      </c>
      <c r="O24" s="40">
        <v>17</v>
      </c>
      <c r="P24" s="40">
        <v>28</v>
      </c>
      <c r="Q24" s="40">
        <v>0.40910000000000002</v>
      </c>
    </row>
    <row r="25" spans="1:17" x14ac:dyDescent="0.3">
      <c r="A25" s="40">
        <v>24</v>
      </c>
      <c r="B25" s="42">
        <v>40544</v>
      </c>
      <c r="C25" s="40">
        <v>1</v>
      </c>
      <c r="D25" s="40">
        <v>0</v>
      </c>
      <c r="E25" s="40">
        <v>1</v>
      </c>
      <c r="F25" s="40">
        <v>23</v>
      </c>
      <c r="G25" s="40" t="b">
        <v>0</v>
      </c>
      <c r="H25" s="40">
        <v>6</v>
      </c>
      <c r="I25" s="40">
        <v>2</v>
      </c>
      <c r="J25" s="40">
        <v>0.46</v>
      </c>
      <c r="K25" s="40">
        <v>0.19993489148580987</v>
      </c>
      <c r="L25" s="40">
        <v>0.88</v>
      </c>
      <c r="M25" s="40">
        <v>0.29849999999999999</v>
      </c>
      <c r="N25" s="40">
        <v>15</v>
      </c>
      <c r="O25" s="40">
        <v>24</v>
      </c>
      <c r="P25" s="40">
        <v>39</v>
      </c>
      <c r="Q25" s="40">
        <v>0.19993489148580987</v>
      </c>
    </row>
    <row r="26" spans="1:17" x14ac:dyDescent="0.3">
      <c r="A26" s="40">
        <v>25</v>
      </c>
      <c r="B26" s="42">
        <v>40545</v>
      </c>
      <c r="C26" s="40">
        <v>1</v>
      </c>
      <c r="D26" s="40">
        <v>0</v>
      </c>
      <c r="E26" s="40">
        <v>1</v>
      </c>
      <c r="F26" s="40">
        <v>0</v>
      </c>
      <c r="G26" s="40" t="b">
        <v>0</v>
      </c>
      <c r="H26" s="40">
        <v>7</v>
      </c>
      <c r="I26" s="40">
        <v>2</v>
      </c>
      <c r="J26" s="40">
        <v>0.46</v>
      </c>
      <c r="K26" s="40">
        <v>0.45450000000000002</v>
      </c>
      <c r="L26" s="40">
        <v>0.88</v>
      </c>
      <c r="M26" s="40">
        <v>0.29849999999999999</v>
      </c>
      <c r="N26" s="40">
        <v>4</v>
      </c>
      <c r="O26" s="40">
        <v>13</v>
      </c>
      <c r="P26" s="40">
        <v>17</v>
      </c>
      <c r="Q26" s="40">
        <v>0.45450000000000002</v>
      </c>
    </row>
    <row r="27" spans="1:17" x14ac:dyDescent="0.3">
      <c r="A27" s="40">
        <v>26</v>
      </c>
      <c r="B27" s="42">
        <v>40545</v>
      </c>
      <c r="C27" s="40">
        <v>1</v>
      </c>
      <c r="D27" s="40">
        <v>0</v>
      </c>
      <c r="E27" s="40">
        <v>1</v>
      </c>
      <c r="F27" s="40">
        <v>1</v>
      </c>
      <c r="G27" s="40" t="b">
        <v>0</v>
      </c>
      <c r="H27" s="40">
        <v>7</v>
      </c>
      <c r="I27" s="40">
        <v>2</v>
      </c>
      <c r="J27" s="40">
        <v>0.44</v>
      </c>
      <c r="K27" s="40">
        <v>0.43940000000000001</v>
      </c>
      <c r="L27" s="40">
        <v>0.94</v>
      </c>
      <c r="M27" s="40">
        <v>0.25369999999999998</v>
      </c>
      <c r="N27" s="40">
        <v>1</v>
      </c>
      <c r="O27" s="40">
        <v>16</v>
      </c>
      <c r="P27" s="40">
        <v>17</v>
      </c>
      <c r="Q27" s="40">
        <v>0.43940000000000001</v>
      </c>
    </row>
    <row r="28" spans="1:17" x14ac:dyDescent="0.3">
      <c r="A28" s="40">
        <v>27</v>
      </c>
      <c r="B28" s="42">
        <v>40545</v>
      </c>
      <c r="C28" s="40">
        <v>1</v>
      </c>
      <c r="D28" s="40">
        <v>0</v>
      </c>
      <c r="E28" s="40">
        <v>1</v>
      </c>
      <c r="F28" s="40">
        <v>2</v>
      </c>
      <c r="G28" s="40" t="b">
        <v>0</v>
      </c>
      <c r="H28" s="40">
        <v>7</v>
      </c>
      <c r="I28" s="40">
        <v>2</v>
      </c>
      <c r="J28" s="40">
        <v>0.42</v>
      </c>
      <c r="K28" s="40">
        <v>0.42420000000000002</v>
      </c>
      <c r="L28" s="40">
        <v>1</v>
      </c>
      <c r="M28" s="40">
        <v>0.28360000000000002</v>
      </c>
      <c r="N28" s="40">
        <v>1</v>
      </c>
      <c r="O28" s="40">
        <v>8</v>
      </c>
      <c r="P28" s="40">
        <v>9</v>
      </c>
      <c r="Q28" s="40">
        <v>0.42420000000000002</v>
      </c>
    </row>
    <row r="29" spans="1:17" x14ac:dyDescent="0.3">
      <c r="A29" s="40">
        <v>28</v>
      </c>
      <c r="B29" s="42">
        <v>40545</v>
      </c>
      <c r="C29" s="40">
        <v>1</v>
      </c>
      <c r="D29" s="40">
        <v>0</v>
      </c>
      <c r="E29" s="40">
        <v>1</v>
      </c>
      <c r="F29" s="40">
        <v>3</v>
      </c>
      <c r="G29" s="40" t="b">
        <v>0</v>
      </c>
      <c r="H29" s="40">
        <v>7</v>
      </c>
      <c r="I29" s="40">
        <v>2</v>
      </c>
      <c r="J29" s="40">
        <v>0.46</v>
      </c>
      <c r="K29" s="40">
        <v>0.45450000000000002</v>
      </c>
      <c r="L29" s="40">
        <v>0.94</v>
      </c>
      <c r="M29" s="40">
        <v>0.19400000000000001</v>
      </c>
      <c r="N29" s="40">
        <v>2</v>
      </c>
      <c r="O29" s="40">
        <v>4</v>
      </c>
      <c r="P29" s="40">
        <v>6</v>
      </c>
      <c r="Q29" s="40">
        <v>0.45450000000000002</v>
      </c>
    </row>
    <row r="30" spans="1:17" x14ac:dyDescent="0.3">
      <c r="A30" s="40">
        <v>29</v>
      </c>
      <c r="B30" s="42">
        <v>40545</v>
      </c>
      <c r="C30" s="40">
        <v>1</v>
      </c>
      <c r="D30" s="40">
        <v>0</v>
      </c>
      <c r="E30" s="40">
        <v>1</v>
      </c>
      <c r="F30" s="40">
        <v>4</v>
      </c>
      <c r="G30" s="40" t="b">
        <v>0</v>
      </c>
      <c r="H30" s="40">
        <v>7</v>
      </c>
      <c r="I30" s="40">
        <v>2</v>
      </c>
      <c r="J30" s="40">
        <v>0.46</v>
      </c>
      <c r="K30" s="40">
        <v>0.19993489148580987</v>
      </c>
      <c r="L30" s="40">
        <v>0.94</v>
      </c>
      <c r="M30" s="40">
        <v>0.19400000000000001</v>
      </c>
      <c r="N30" s="40">
        <v>2</v>
      </c>
      <c r="O30" s="40">
        <v>1</v>
      </c>
      <c r="P30" s="40">
        <v>3</v>
      </c>
      <c r="Q30" s="40">
        <v>0.19993489148580987</v>
      </c>
    </row>
    <row r="31" spans="1:17" x14ac:dyDescent="0.3">
      <c r="A31" s="40">
        <v>30</v>
      </c>
      <c r="B31" s="42">
        <v>40545</v>
      </c>
      <c r="C31" s="40">
        <v>1</v>
      </c>
      <c r="D31" s="40">
        <v>0</v>
      </c>
      <c r="E31" s="40">
        <v>1</v>
      </c>
      <c r="F31" s="40">
        <v>6</v>
      </c>
      <c r="G31" s="40" t="b">
        <v>0</v>
      </c>
      <c r="H31" s="40">
        <v>7</v>
      </c>
      <c r="I31" s="40">
        <v>3</v>
      </c>
      <c r="J31" s="40">
        <v>0.42</v>
      </c>
      <c r="K31" s="40">
        <v>0.42420000000000002</v>
      </c>
      <c r="L31" s="40">
        <v>0.77</v>
      </c>
      <c r="M31" s="40">
        <v>0.29849999999999999</v>
      </c>
      <c r="N31" s="40">
        <v>0</v>
      </c>
      <c r="O31" s="40">
        <v>2</v>
      </c>
      <c r="P31" s="40">
        <v>2</v>
      </c>
      <c r="Q31" s="40">
        <v>0.42420000000000002</v>
      </c>
    </row>
    <row r="32" spans="1:17" x14ac:dyDescent="0.3">
      <c r="A32" s="40">
        <v>31</v>
      </c>
      <c r="B32" s="42">
        <v>40545</v>
      </c>
      <c r="C32" s="40">
        <v>1</v>
      </c>
      <c r="D32" s="40">
        <v>0</v>
      </c>
      <c r="E32" s="40">
        <v>1</v>
      </c>
      <c r="F32" s="40">
        <v>7</v>
      </c>
      <c r="G32" s="40" t="b">
        <v>0</v>
      </c>
      <c r="H32" s="40">
        <v>7</v>
      </c>
      <c r="I32" s="40">
        <v>2</v>
      </c>
      <c r="J32" s="40">
        <v>0.4</v>
      </c>
      <c r="K32" s="40">
        <v>0.40910000000000002</v>
      </c>
      <c r="L32" s="40">
        <v>0.76</v>
      </c>
      <c r="M32" s="40">
        <v>0.19400000000000001</v>
      </c>
      <c r="N32" s="40">
        <v>0</v>
      </c>
      <c r="O32" s="40">
        <v>1</v>
      </c>
      <c r="P32" s="40">
        <v>1</v>
      </c>
      <c r="Q32" s="40">
        <v>0.40910000000000002</v>
      </c>
    </row>
    <row r="33" spans="1:17" x14ac:dyDescent="0.3">
      <c r="A33" s="40">
        <v>32</v>
      </c>
      <c r="B33" s="42">
        <v>40545</v>
      </c>
      <c r="C33" s="40">
        <v>1</v>
      </c>
      <c r="D33" s="40">
        <v>0</v>
      </c>
      <c r="E33" s="40">
        <v>1</v>
      </c>
      <c r="F33" s="40">
        <v>8</v>
      </c>
      <c r="G33" s="40" t="b">
        <v>0</v>
      </c>
      <c r="H33" s="40">
        <v>7</v>
      </c>
      <c r="I33" s="40">
        <v>3</v>
      </c>
      <c r="J33" s="40">
        <v>0.4</v>
      </c>
      <c r="K33" s="40">
        <v>0.40910000000000002</v>
      </c>
      <c r="L33" s="40">
        <v>0.71</v>
      </c>
      <c r="M33" s="40">
        <v>0.22389999999999999</v>
      </c>
      <c r="N33" s="40">
        <v>0</v>
      </c>
      <c r="O33" s="40">
        <v>8</v>
      </c>
      <c r="P33" s="40">
        <v>8</v>
      </c>
      <c r="Q33" s="40">
        <v>0.40910000000000002</v>
      </c>
    </row>
    <row r="34" spans="1:17" x14ac:dyDescent="0.3">
      <c r="A34" s="40">
        <v>33</v>
      </c>
      <c r="B34" s="42">
        <v>40545</v>
      </c>
      <c r="C34" s="40">
        <v>1</v>
      </c>
      <c r="D34" s="40">
        <v>0</v>
      </c>
      <c r="E34" s="40">
        <v>1</v>
      </c>
      <c r="F34" s="40">
        <v>9</v>
      </c>
      <c r="G34" s="40" t="b">
        <v>0</v>
      </c>
      <c r="H34" s="40">
        <v>7</v>
      </c>
      <c r="I34" s="40">
        <v>2</v>
      </c>
      <c r="J34" s="40">
        <v>0.38</v>
      </c>
      <c r="K34" s="40">
        <v>0.19993489148580987</v>
      </c>
      <c r="L34" s="40">
        <v>0.76</v>
      </c>
      <c r="M34" s="40">
        <v>0.22389999999999999</v>
      </c>
      <c r="N34" s="40">
        <v>1</v>
      </c>
      <c r="O34" s="40">
        <v>19</v>
      </c>
      <c r="P34" s="40">
        <v>20</v>
      </c>
      <c r="Q34" s="40">
        <v>0.19993489148580987</v>
      </c>
    </row>
    <row r="35" spans="1:17" x14ac:dyDescent="0.3">
      <c r="A35" s="40">
        <v>34</v>
      </c>
      <c r="B35" s="42">
        <v>40545</v>
      </c>
      <c r="C35" s="40">
        <v>1</v>
      </c>
      <c r="D35" s="40">
        <v>0</v>
      </c>
      <c r="E35" s="40">
        <v>1</v>
      </c>
      <c r="F35" s="40">
        <v>10</v>
      </c>
      <c r="G35" s="40" t="b">
        <v>0</v>
      </c>
      <c r="H35" s="40">
        <v>7</v>
      </c>
      <c r="I35" s="40">
        <v>2</v>
      </c>
      <c r="J35" s="40">
        <v>0.36</v>
      </c>
      <c r="K35" s="40">
        <v>0.34849999999999998</v>
      </c>
      <c r="L35" s="40">
        <v>0.81</v>
      </c>
      <c r="M35" s="40">
        <v>0.22389999999999999</v>
      </c>
      <c r="N35" s="40">
        <v>7</v>
      </c>
      <c r="O35" s="40">
        <v>46</v>
      </c>
      <c r="P35" s="40">
        <v>53</v>
      </c>
      <c r="Q35" s="40">
        <v>0.34849999999999998</v>
      </c>
    </row>
    <row r="36" spans="1:17" x14ac:dyDescent="0.3">
      <c r="A36" s="40">
        <v>35</v>
      </c>
      <c r="B36" s="42">
        <v>40545</v>
      </c>
      <c r="C36" s="40">
        <v>1</v>
      </c>
      <c r="D36" s="40">
        <v>0</v>
      </c>
      <c r="E36" s="40">
        <v>1</v>
      </c>
      <c r="F36" s="40">
        <v>11</v>
      </c>
      <c r="G36" s="40" t="b">
        <v>0</v>
      </c>
      <c r="H36" s="40">
        <v>7</v>
      </c>
      <c r="I36" s="40">
        <v>2</v>
      </c>
      <c r="J36" s="40">
        <v>0.36</v>
      </c>
      <c r="K36" s="40">
        <v>0.33329999999999999</v>
      </c>
      <c r="L36" s="40">
        <v>0.71</v>
      </c>
      <c r="M36" s="40">
        <v>0.25369999999999998</v>
      </c>
      <c r="N36" s="40">
        <v>16</v>
      </c>
      <c r="O36" s="40">
        <v>54</v>
      </c>
      <c r="P36" s="40">
        <v>70</v>
      </c>
      <c r="Q36" s="40">
        <v>0.33329999999999999</v>
      </c>
    </row>
    <row r="37" spans="1:17" x14ac:dyDescent="0.3">
      <c r="A37" s="40">
        <v>36</v>
      </c>
      <c r="B37" s="42">
        <v>40545</v>
      </c>
      <c r="C37" s="40">
        <v>1</v>
      </c>
      <c r="D37" s="40">
        <v>0</v>
      </c>
      <c r="E37" s="40">
        <v>1</v>
      </c>
      <c r="F37" s="40">
        <v>12</v>
      </c>
      <c r="G37" s="40" t="b">
        <v>0</v>
      </c>
      <c r="H37" s="40">
        <v>7</v>
      </c>
      <c r="I37" s="40">
        <v>2</v>
      </c>
      <c r="J37" s="40">
        <v>0.36</v>
      </c>
      <c r="K37" s="40">
        <v>0.33329999999999999</v>
      </c>
      <c r="L37" s="40">
        <v>0.66</v>
      </c>
      <c r="M37" s="40">
        <v>0.29849999999999999</v>
      </c>
      <c r="N37" s="40">
        <v>20</v>
      </c>
      <c r="O37" s="40">
        <v>73</v>
      </c>
      <c r="P37" s="40">
        <v>93</v>
      </c>
      <c r="Q37" s="40">
        <v>0.33329999999999999</v>
      </c>
    </row>
    <row r="38" spans="1:17" x14ac:dyDescent="0.3">
      <c r="A38" s="40">
        <v>37</v>
      </c>
      <c r="B38" s="42">
        <v>40545</v>
      </c>
      <c r="C38" s="40">
        <v>1</v>
      </c>
      <c r="D38" s="40">
        <v>0</v>
      </c>
      <c r="E38" s="40">
        <v>1</v>
      </c>
      <c r="F38" s="40">
        <v>13</v>
      </c>
      <c r="G38" s="40" t="b">
        <v>0</v>
      </c>
      <c r="H38" s="40">
        <v>7</v>
      </c>
      <c r="I38" s="40">
        <v>2</v>
      </c>
      <c r="J38" s="40">
        <v>0.36</v>
      </c>
      <c r="K38" s="40">
        <v>0.34849999999999998</v>
      </c>
      <c r="L38" s="40">
        <v>0.66</v>
      </c>
      <c r="M38" s="40">
        <v>0.1343</v>
      </c>
      <c r="N38" s="40">
        <v>11</v>
      </c>
      <c r="O38" s="40">
        <v>64</v>
      </c>
      <c r="P38" s="40">
        <v>75</v>
      </c>
      <c r="Q38" s="40">
        <v>0.34849999999999998</v>
      </c>
    </row>
    <row r="39" spans="1:17" x14ac:dyDescent="0.3">
      <c r="A39" s="40">
        <v>38</v>
      </c>
      <c r="B39" s="42">
        <v>40545</v>
      </c>
      <c r="C39" s="40">
        <v>1</v>
      </c>
      <c r="D39" s="40">
        <v>0</v>
      </c>
      <c r="E39" s="40">
        <v>1</v>
      </c>
      <c r="F39" s="40">
        <v>14</v>
      </c>
      <c r="G39" s="40" t="b">
        <v>0</v>
      </c>
      <c r="H39" s="40">
        <v>7</v>
      </c>
      <c r="I39" s="40">
        <v>3</v>
      </c>
      <c r="J39" s="40">
        <v>0.36</v>
      </c>
      <c r="K39" s="40">
        <v>0.19993489148580987</v>
      </c>
      <c r="L39" s="40">
        <v>0.76</v>
      </c>
      <c r="M39" s="40">
        <v>0.19400000000000001</v>
      </c>
      <c r="N39" s="40">
        <v>4</v>
      </c>
      <c r="O39" s="40">
        <v>55</v>
      </c>
      <c r="P39" s="40">
        <v>59</v>
      </c>
      <c r="Q39" s="40">
        <v>0.19993489148580987</v>
      </c>
    </row>
    <row r="40" spans="1:17" x14ac:dyDescent="0.3">
      <c r="A40" s="40">
        <v>39</v>
      </c>
      <c r="B40" s="42">
        <v>40545</v>
      </c>
      <c r="C40" s="40">
        <v>1</v>
      </c>
      <c r="D40" s="40">
        <v>0</v>
      </c>
      <c r="E40" s="40">
        <v>1</v>
      </c>
      <c r="F40" s="40">
        <v>15</v>
      </c>
      <c r="G40" s="40" t="b">
        <v>0</v>
      </c>
      <c r="H40" s="40">
        <v>7</v>
      </c>
      <c r="I40" s="40">
        <v>3</v>
      </c>
      <c r="J40" s="40">
        <v>0.34</v>
      </c>
      <c r="K40" s="40">
        <v>0.33329999999999999</v>
      </c>
      <c r="L40" s="40">
        <v>0.81</v>
      </c>
      <c r="M40" s="40">
        <v>0.16420000000000001</v>
      </c>
      <c r="N40" s="40">
        <v>19</v>
      </c>
      <c r="O40" s="40">
        <v>55</v>
      </c>
      <c r="P40" s="40">
        <v>74</v>
      </c>
      <c r="Q40" s="40">
        <v>0.33329999999999999</v>
      </c>
    </row>
    <row r="41" spans="1:17" x14ac:dyDescent="0.3">
      <c r="A41" s="40">
        <v>40</v>
      </c>
      <c r="B41" s="42">
        <v>40545</v>
      </c>
      <c r="C41" s="40">
        <v>1</v>
      </c>
      <c r="D41" s="40">
        <v>0</v>
      </c>
      <c r="E41" s="40">
        <v>1</v>
      </c>
      <c r="F41" s="40">
        <v>16</v>
      </c>
      <c r="G41" s="40" t="b">
        <v>0</v>
      </c>
      <c r="H41" s="40">
        <v>7</v>
      </c>
      <c r="I41" s="40">
        <v>3</v>
      </c>
      <c r="J41" s="40">
        <v>0.34</v>
      </c>
      <c r="K41" s="40">
        <v>0.33329999999999999</v>
      </c>
      <c r="L41" s="40">
        <v>0.71</v>
      </c>
      <c r="M41" s="40">
        <v>0.16420000000000001</v>
      </c>
      <c r="N41" s="40">
        <v>9</v>
      </c>
      <c r="O41" s="40">
        <v>67</v>
      </c>
      <c r="P41" s="40">
        <v>76</v>
      </c>
      <c r="Q41" s="40">
        <v>0.33329999999999999</v>
      </c>
    </row>
    <row r="42" spans="1:17" x14ac:dyDescent="0.3">
      <c r="A42" s="40">
        <v>41</v>
      </c>
      <c r="B42" s="42">
        <v>40545</v>
      </c>
      <c r="C42" s="40">
        <v>1</v>
      </c>
      <c r="D42" s="40">
        <v>0</v>
      </c>
      <c r="E42" s="40">
        <v>1</v>
      </c>
      <c r="F42" s="40">
        <v>17</v>
      </c>
      <c r="G42" s="40" t="b">
        <v>0</v>
      </c>
      <c r="H42" s="40">
        <v>7</v>
      </c>
      <c r="I42" s="40">
        <v>1</v>
      </c>
      <c r="J42" s="40">
        <v>0.34</v>
      </c>
      <c r="K42" s="40">
        <v>0.33329999999999999</v>
      </c>
      <c r="L42" s="40">
        <v>0.56999999999999995</v>
      </c>
      <c r="M42" s="40">
        <v>0.19400000000000001</v>
      </c>
      <c r="N42" s="40">
        <v>7</v>
      </c>
      <c r="O42" s="40">
        <v>58</v>
      </c>
      <c r="P42" s="40">
        <v>65</v>
      </c>
      <c r="Q42" s="40">
        <v>0.33329999999999999</v>
      </c>
    </row>
    <row r="43" spans="1:17" x14ac:dyDescent="0.3">
      <c r="A43" s="40">
        <v>42</v>
      </c>
      <c r="B43" s="42">
        <v>40545</v>
      </c>
      <c r="C43" s="40">
        <v>1</v>
      </c>
      <c r="D43" s="40">
        <v>0</v>
      </c>
      <c r="E43" s="40">
        <v>1</v>
      </c>
      <c r="F43" s="40">
        <v>18</v>
      </c>
      <c r="G43" s="40" t="b">
        <v>0</v>
      </c>
      <c r="H43" s="40">
        <v>7</v>
      </c>
      <c r="I43" s="40">
        <v>2</v>
      </c>
      <c r="J43" s="40">
        <v>0.36</v>
      </c>
      <c r="K43" s="40">
        <v>0.33329999999999999</v>
      </c>
      <c r="L43" s="40">
        <v>0.46</v>
      </c>
      <c r="M43" s="40">
        <v>0.32840000000000003</v>
      </c>
      <c r="N43" s="40">
        <v>10</v>
      </c>
      <c r="O43" s="40">
        <v>43</v>
      </c>
      <c r="P43" s="40">
        <v>53</v>
      </c>
      <c r="Q43" s="40">
        <v>0.33329999999999999</v>
      </c>
    </row>
    <row r="44" spans="1:17" x14ac:dyDescent="0.3">
      <c r="A44" s="40">
        <v>43</v>
      </c>
      <c r="B44" s="42">
        <v>40545</v>
      </c>
      <c r="C44" s="40">
        <v>1</v>
      </c>
      <c r="D44" s="40">
        <v>0</v>
      </c>
      <c r="E44" s="40">
        <v>1</v>
      </c>
      <c r="F44" s="40">
        <v>19</v>
      </c>
      <c r="G44" s="40" t="b">
        <v>0</v>
      </c>
      <c r="H44" s="40">
        <v>7</v>
      </c>
      <c r="I44" s="40">
        <v>1</v>
      </c>
      <c r="J44" s="40">
        <v>0.32</v>
      </c>
      <c r="K44" s="40">
        <v>0.28789999999999999</v>
      </c>
      <c r="L44" s="40">
        <v>0.42</v>
      </c>
      <c r="M44" s="40">
        <v>0.44779999999999998</v>
      </c>
      <c r="N44" s="40">
        <v>1</v>
      </c>
      <c r="O44" s="40">
        <v>29</v>
      </c>
      <c r="P44" s="40">
        <v>30</v>
      </c>
      <c r="Q44" s="40">
        <v>0.28789999999999999</v>
      </c>
    </row>
    <row r="45" spans="1:17" x14ac:dyDescent="0.3">
      <c r="A45" s="40">
        <v>44</v>
      </c>
      <c r="B45" s="42">
        <v>40545</v>
      </c>
      <c r="C45" s="40">
        <v>1</v>
      </c>
      <c r="D45" s="40">
        <v>0</v>
      </c>
      <c r="E45" s="40">
        <v>1</v>
      </c>
      <c r="F45" s="40">
        <v>20</v>
      </c>
      <c r="G45" s="40" t="b">
        <v>0</v>
      </c>
      <c r="H45" s="40">
        <v>7</v>
      </c>
      <c r="I45" s="40">
        <v>1</v>
      </c>
      <c r="J45" s="40">
        <v>0.3</v>
      </c>
      <c r="K45" s="40">
        <v>0.19993489148580987</v>
      </c>
      <c r="L45" s="40">
        <v>0.39</v>
      </c>
      <c r="M45" s="40">
        <v>0.35820000000000002</v>
      </c>
      <c r="N45" s="40">
        <v>5</v>
      </c>
      <c r="O45" s="40">
        <v>17</v>
      </c>
      <c r="P45" s="40">
        <v>22</v>
      </c>
      <c r="Q45" s="40">
        <v>0.19993489148580987</v>
      </c>
    </row>
    <row r="46" spans="1:17" x14ac:dyDescent="0.3">
      <c r="A46" s="40">
        <v>45</v>
      </c>
      <c r="B46" s="42">
        <v>40545</v>
      </c>
      <c r="C46" s="40">
        <v>1</v>
      </c>
      <c r="D46" s="40">
        <v>0</v>
      </c>
      <c r="E46" s="40">
        <v>1</v>
      </c>
      <c r="F46" s="40">
        <v>21</v>
      </c>
      <c r="G46" s="40" t="b">
        <v>0</v>
      </c>
      <c r="H46" s="40">
        <v>7</v>
      </c>
      <c r="I46" s="40">
        <v>1</v>
      </c>
      <c r="J46" s="40">
        <v>0.26</v>
      </c>
      <c r="K46" s="40">
        <v>0.2273</v>
      </c>
      <c r="L46" s="40">
        <v>0.44</v>
      </c>
      <c r="M46" s="40">
        <v>0.32840000000000003</v>
      </c>
      <c r="N46" s="40">
        <v>11</v>
      </c>
      <c r="O46" s="40">
        <v>20</v>
      </c>
      <c r="P46" s="40">
        <v>31</v>
      </c>
      <c r="Q46" s="40">
        <v>0.2273</v>
      </c>
    </row>
    <row r="47" spans="1:17" x14ac:dyDescent="0.3">
      <c r="A47" s="40">
        <v>46</v>
      </c>
      <c r="B47" s="42">
        <v>40545</v>
      </c>
      <c r="C47" s="40">
        <v>1</v>
      </c>
      <c r="D47" s="40">
        <v>0</v>
      </c>
      <c r="E47" s="40">
        <v>1</v>
      </c>
      <c r="F47" s="40">
        <v>22</v>
      </c>
      <c r="G47" s="40" t="b">
        <v>0</v>
      </c>
      <c r="H47" s="40">
        <v>7</v>
      </c>
      <c r="I47" s="40">
        <v>1</v>
      </c>
      <c r="J47" s="40">
        <v>0.24</v>
      </c>
      <c r="K47" s="40">
        <v>0.21210000000000001</v>
      </c>
      <c r="L47" s="40">
        <v>0.44</v>
      </c>
      <c r="M47" s="40">
        <v>0.29849999999999999</v>
      </c>
      <c r="N47" s="40">
        <v>0</v>
      </c>
      <c r="O47" s="40">
        <v>9</v>
      </c>
      <c r="P47" s="40">
        <v>9</v>
      </c>
      <c r="Q47" s="40">
        <v>0.21210000000000001</v>
      </c>
    </row>
    <row r="48" spans="1:17" x14ac:dyDescent="0.3">
      <c r="A48" s="40">
        <v>47</v>
      </c>
      <c r="B48" s="42">
        <v>40545</v>
      </c>
      <c r="C48" s="40">
        <v>1</v>
      </c>
      <c r="D48" s="40">
        <v>0</v>
      </c>
      <c r="E48" s="40">
        <v>1</v>
      </c>
      <c r="F48" s="40">
        <v>23</v>
      </c>
      <c r="G48" s="40" t="b">
        <v>0</v>
      </c>
      <c r="H48" s="40">
        <v>7</v>
      </c>
      <c r="I48" s="40">
        <v>1</v>
      </c>
      <c r="J48" s="40">
        <v>0.22</v>
      </c>
      <c r="K48" s="40">
        <v>0.2273</v>
      </c>
      <c r="L48" s="40">
        <v>0.47</v>
      </c>
      <c r="M48" s="40">
        <v>0.16420000000000001</v>
      </c>
      <c r="N48" s="40">
        <v>0</v>
      </c>
      <c r="O48" s="40">
        <v>8</v>
      </c>
      <c r="P48" s="40">
        <v>8</v>
      </c>
      <c r="Q48" s="40">
        <v>0.2273</v>
      </c>
    </row>
    <row r="49" spans="1:17" x14ac:dyDescent="0.3">
      <c r="A49" s="40">
        <v>48</v>
      </c>
      <c r="B49" s="42">
        <v>40546</v>
      </c>
      <c r="C49" s="40">
        <v>1</v>
      </c>
      <c r="D49" s="40">
        <v>0</v>
      </c>
      <c r="E49" s="40">
        <v>1</v>
      </c>
      <c r="F49" s="40">
        <v>0</v>
      </c>
      <c r="G49" s="40" t="b">
        <v>0</v>
      </c>
      <c r="H49" s="40">
        <v>1</v>
      </c>
      <c r="I49" s="40">
        <v>1</v>
      </c>
      <c r="J49" s="40">
        <v>0.22</v>
      </c>
      <c r="K49" s="40">
        <v>0.19700000000000001</v>
      </c>
      <c r="L49" s="40">
        <v>0.44</v>
      </c>
      <c r="M49" s="40">
        <v>0.35820000000000002</v>
      </c>
      <c r="N49" s="40">
        <v>0</v>
      </c>
      <c r="O49" s="40">
        <v>5</v>
      </c>
      <c r="P49" s="40">
        <v>5</v>
      </c>
      <c r="Q49" s="40">
        <v>0.19700000000000001</v>
      </c>
    </row>
    <row r="50" spans="1:17" x14ac:dyDescent="0.3">
      <c r="A50" s="40">
        <v>49</v>
      </c>
      <c r="B50" s="42">
        <v>40546</v>
      </c>
      <c r="C50" s="40">
        <v>1</v>
      </c>
      <c r="D50" s="40">
        <v>0</v>
      </c>
      <c r="E50" s="40">
        <v>1</v>
      </c>
      <c r="F50" s="40">
        <v>1</v>
      </c>
      <c r="G50" s="40" t="b">
        <v>0</v>
      </c>
      <c r="H50" s="40">
        <v>1</v>
      </c>
      <c r="I50" s="40">
        <v>1</v>
      </c>
      <c r="J50" s="40">
        <v>0.2</v>
      </c>
      <c r="K50" s="40">
        <v>0.19993489148580987</v>
      </c>
      <c r="L50" s="40">
        <v>0.44</v>
      </c>
      <c r="M50" s="40">
        <v>0.41789999999999999</v>
      </c>
      <c r="N50" s="40">
        <v>0</v>
      </c>
      <c r="O50" s="40">
        <v>2</v>
      </c>
      <c r="P50" s="40">
        <v>2</v>
      </c>
      <c r="Q50" s="40">
        <v>0.19993489148580987</v>
      </c>
    </row>
    <row r="51" spans="1:17" x14ac:dyDescent="0.3">
      <c r="A51" s="40">
        <v>50</v>
      </c>
      <c r="B51" s="42">
        <v>40546</v>
      </c>
      <c r="C51" s="40">
        <v>1</v>
      </c>
      <c r="D51" s="40">
        <v>0</v>
      </c>
      <c r="E51" s="40">
        <v>1</v>
      </c>
      <c r="F51" s="40">
        <v>4</v>
      </c>
      <c r="G51" s="40" t="b">
        <v>0</v>
      </c>
      <c r="H51" s="40">
        <v>1</v>
      </c>
      <c r="I51" s="40">
        <v>1</v>
      </c>
      <c r="J51" s="40">
        <v>0.16</v>
      </c>
      <c r="K51" s="40">
        <v>0.13639999999999999</v>
      </c>
      <c r="L51" s="40">
        <v>0.47</v>
      </c>
      <c r="M51" s="40">
        <v>0.3881</v>
      </c>
      <c r="N51" s="40">
        <v>0</v>
      </c>
      <c r="O51" s="40">
        <v>1</v>
      </c>
      <c r="P51" s="40">
        <v>1</v>
      </c>
      <c r="Q51" s="40">
        <v>0.13639999999999999</v>
      </c>
    </row>
    <row r="52" spans="1:17" x14ac:dyDescent="0.3">
      <c r="A52" s="40">
        <v>51</v>
      </c>
      <c r="B52" s="42">
        <v>40546</v>
      </c>
      <c r="C52" s="40">
        <v>1</v>
      </c>
      <c r="D52" s="40">
        <v>0</v>
      </c>
      <c r="E52" s="40">
        <v>1</v>
      </c>
      <c r="F52" s="40">
        <v>5</v>
      </c>
      <c r="G52" s="40" t="b">
        <v>0</v>
      </c>
      <c r="H52" s="40">
        <v>1</v>
      </c>
      <c r="I52" s="40">
        <v>1</v>
      </c>
      <c r="J52" s="40">
        <v>0.16</v>
      </c>
      <c r="K52" s="40">
        <v>0.13639999999999999</v>
      </c>
      <c r="L52" s="40">
        <v>0.47</v>
      </c>
      <c r="M52" s="40">
        <v>0.28360000000000002</v>
      </c>
      <c r="N52" s="40">
        <v>0</v>
      </c>
      <c r="O52" s="40">
        <v>3</v>
      </c>
      <c r="P52" s="40">
        <v>3</v>
      </c>
      <c r="Q52" s="40">
        <v>0.13639999999999999</v>
      </c>
    </row>
    <row r="53" spans="1:17" x14ac:dyDescent="0.3">
      <c r="A53" s="40">
        <v>52</v>
      </c>
      <c r="B53" s="42">
        <v>40546</v>
      </c>
      <c r="C53" s="40">
        <v>1</v>
      </c>
      <c r="D53" s="40">
        <v>0</v>
      </c>
      <c r="E53" s="40">
        <v>1</v>
      </c>
      <c r="F53" s="40">
        <v>6</v>
      </c>
      <c r="G53" s="40" t="b">
        <v>0</v>
      </c>
      <c r="H53" s="40">
        <v>1</v>
      </c>
      <c r="I53" s="40">
        <v>1</v>
      </c>
      <c r="J53" s="40">
        <v>0.14000000000000001</v>
      </c>
      <c r="K53" s="40">
        <v>0.1061</v>
      </c>
      <c r="L53" s="40">
        <v>0.5</v>
      </c>
      <c r="M53" s="40">
        <v>0.3881</v>
      </c>
      <c r="N53" s="40">
        <v>0</v>
      </c>
      <c r="O53" s="40">
        <v>30</v>
      </c>
      <c r="P53" s="40">
        <v>30</v>
      </c>
      <c r="Q53" s="40">
        <v>0.1061</v>
      </c>
    </row>
    <row r="54" spans="1:17" x14ac:dyDescent="0.3">
      <c r="A54" s="40">
        <v>53</v>
      </c>
      <c r="B54" s="42">
        <v>40546</v>
      </c>
      <c r="C54" s="40">
        <v>1</v>
      </c>
      <c r="D54" s="40">
        <v>0</v>
      </c>
      <c r="E54" s="40">
        <v>1</v>
      </c>
      <c r="F54" s="40">
        <v>7</v>
      </c>
      <c r="G54" s="40" t="b">
        <v>0</v>
      </c>
      <c r="H54" s="40">
        <v>1</v>
      </c>
      <c r="I54" s="40">
        <v>1</v>
      </c>
      <c r="J54" s="40">
        <v>0.14000000000000001</v>
      </c>
      <c r="K54" s="40">
        <v>0.13639999999999999</v>
      </c>
      <c r="L54" s="40">
        <v>0.5</v>
      </c>
      <c r="M54" s="40">
        <v>0.19400000000000001</v>
      </c>
      <c r="N54" s="40">
        <v>1</v>
      </c>
      <c r="O54" s="40">
        <v>63</v>
      </c>
      <c r="P54" s="40">
        <v>64</v>
      </c>
      <c r="Q54" s="40">
        <v>0.13639999999999999</v>
      </c>
    </row>
    <row r="55" spans="1:17" x14ac:dyDescent="0.3">
      <c r="A55" s="40">
        <v>54</v>
      </c>
      <c r="B55" s="42">
        <v>40546</v>
      </c>
      <c r="C55" s="40">
        <v>1</v>
      </c>
      <c r="D55" s="40">
        <v>0</v>
      </c>
      <c r="E55" s="40">
        <v>1</v>
      </c>
      <c r="F55" s="40">
        <v>8</v>
      </c>
      <c r="G55" s="40" t="b">
        <v>0</v>
      </c>
      <c r="H55" s="40">
        <v>1</v>
      </c>
      <c r="I55" s="40">
        <v>1</v>
      </c>
      <c r="J55" s="40">
        <v>0.14000000000000001</v>
      </c>
      <c r="K55" s="40">
        <v>0.1212</v>
      </c>
      <c r="L55" s="40">
        <v>0.5</v>
      </c>
      <c r="M55" s="40">
        <v>0.28360000000000002</v>
      </c>
      <c r="N55" s="40">
        <v>1</v>
      </c>
      <c r="O55" s="40">
        <v>153</v>
      </c>
      <c r="P55" s="40">
        <v>154</v>
      </c>
      <c r="Q55" s="40">
        <v>0.1212</v>
      </c>
    </row>
    <row r="56" spans="1:17" x14ac:dyDescent="0.3">
      <c r="A56" s="40">
        <v>55</v>
      </c>
      <c r="B56" s="42">
        <v>40546</v>
      </c>
      <c r="C56" s="40">
        <v>1</v>
      </c>
      <c r="D56" s="40">
        <v>0</v>
      </c>
      <c r="E56" s="40">
        <v>1</v>
      </c>
      <c r="F56" s="40">
        <v>9</v>
      </c>
      <c r="G56" s="40" t="b">
        <v>0</v>
      </c>
      <c r="H56" s="40">
        <v>1</v>
      </c>
      <c r="I56" s="40">
        <v>1</v>
      </c>
      <c r="J56" s="40">
        <v>0.16</v>
      </c>
      <c r="K56" s="40">
        <v>0.13639999999999999</v>
      </c>
      <c r="L56" s="40">
        <v>0.43</v>
      </c>
      <c r="M56" s="40">
        <v>0.3881</v>
      </c>
      <c r="N56" s="40">
        <v>7</v>
      </c>
      <c r="O56" s="40">
        <v>81</v>
      </c>
      <c r="P56" s="40">
        <v>88</v>
      </c>
      <c r="Q56" s="40">
        <v>0.13639999999999999</v>
      </c>
    </row>
    <row r="57" spans="1:17" x14ac:dyDescent="0.3">
      <c r="A57" s="40">
        <v>56</v>
      </c>
      <c r="B57" s="42">
        <v>40546</v>
      </c>
      <c r="C57" s="40">
        <v>1</v>
      </c>
      <c r="D57" s="40">
        <v>0</v>
      </c>
      <c r="E57" s="40">
        <v>1</v>
      </c>
      <c r="F57" s="40">
        <v>10</v>
      </c>
      <c r="G57" s="40" t="b">
        <v>0</v>
      </c>
      <c r="H57" s="40">
        <v>1</v>
      </c>
      <c r="I57" s="40">
        <v>1</v>
      </c>
      <c r="J57" s="40">
        <v>0.18</v>
      </c>
      <c r="K57" s="40">
        <v>0.16669999999999999</v>
      </c>
      <c r="L57" s="40">
        <v>0.43</v>
      </c>
      <c r="M57" s="40">
        <v>0.25369999999999998</v>
      </c>
      <c r="N57" s="40">
        <v>11</v>
      </c>
      <c r="O57" s="40">
        <v>33</v>
      </c>
      <c r="P57" s="40">
        <v>44</v>
      </c>
      <c r="Q57" s="40">
        <v>0.16669999999999999</v>
      </c>
    </row>
    <row r="58" spans="1:17" x14ac:dyDescent="0.3">
      <c r="A58" s="40">
        <v>57</v>
      </c>
      <c r="B58" s="42">
        <v>40546</v>
      </c>
      <c r="C58" s="40">
        <v>1</v>
      </c>
      <c r="D58" s="40">
        <v>0</v>
      </c>
      <c r="E58" s="40">
        <v>1</v>
      </c>
      <c r="F58" s="40">
        <v>11</v>
      </c>
      <c r="G58" s="40" t="b">
        <v>0</v>
      </c>
      <c r="H58" s="40">
        <v>1</v>
      </c>
      <c r="I58" s="40">
        <v>1</v>
      </c>
      <c r="J58" s="40">
        <v>0.2</v>
      </c>
      <c r="K58" s="40">
        <v>0.18179999999999999</v>
      </c>
      <c r="L58" s="40">
        <v>0.4</v>
      </c>
      <c r="M58" s="40">
        <v>0.32840000000000003</v>
      </c>
      <c r="N58" s="40">
        <v>10</v>
      </c>
      <c r="O58" s="40">
        <v>41</v>
      </c>
      <c r="P58" s="40">
        <v>51</v>
      </c>
      <c r="Q58" s="40">
        <v>0.18179999999999999</v>
      </c>
    </row>
    <row r="59" spans="1:17" x14ac:dyDescent="0.3">
      <c r="A59" s="40">
        <v>58</v>
      </c>
      <c r="B59" s="42">
        <v>40546</v>
      </c>
      <c r="C59" s="40">
        <v>1</v>
      </c>
      <c r="D59" s="40">
        <v>0</v>
      </c>
      <c r="E59" s="40">
        <v>1</v>
      </c>
      <c r="F59" s="40">
        <v>12</v>
      </c>
      <c r="G59" s="40" t="b">
        <v>0</v>
      </c>
      <c r="H59" s="40">
        <v>1</v>
      </c>
      <c r="I59" s="40">
        <v>1</v>
      </c>
      <c r="J59" s="40">
        <v>0.22</v>
      </c>
      <c r="K59" s="40">
        <v>0.21210000000000001</v>
      </c>
      <c r="L59" s="40">
        <v>0.35</v>
      </c>
      <c r="M59" s="40">
        <v>0.29849999999999999</v>
      </c>
      <c r="N59" s="40">
        <v>13</v>
      </c>
      <c r="O59" s="40">
        <v>48</v>
      </c>
      <c r="P59" s="40">
        <v>61</v>
      </c>
      <c r="Q59" s="40">
        <v>0.21210000000000001</v>
      </c>
    </row>
    <row r="60" spans="1:17" x14ac:dyDescent="0.3">
      <c r="A60" s="40">
        <v>59</v>
      </c>
      <c r="B60" s="42">
        <v>40546</v>
      </c>
      <c r="C60" s="40">
        <v>1</v>
      </c>
      <c r="D60" s="40">
        <v>0</v>
      </c>
      <c r="E60" s="40">
        <v>1</v>
      </c>
      <c r="F60" s="40">
        <v>13</v>
      </c>
      <c r="G60" s="40" t="b">
        <v>0</v>
      </c>
      <c r="H60" s="40">
        <v>1</v>
      </c>
      <c r="I60" s="40">
        <v>1</v>
      </c>
      <c r="J60" s="40">
        <v>0.24</v>
      </c>
      <c r="K60" s="40">
        <v>0.19993489148580987</v>
      </c>
      <c r="L60" s="40">
        <v>0.35</v>
      </c>
      <c r="M60" s="40">
        <v>0.28360000000000002</v>
      </c>
      <c r="N60" s="40">
        <v>8</v>
      </c>
      <c r="O60" s="40">
        <v>53</v>
      </c>
      <c r="P60" s="40">
        <v>61</v>
      </c>
      <c r="Q60" s="40">
        <v>0.19993489148580987</v>
      </c>
    </row>
    <row r="61" spans="1:17" x14ac:dyDescent="0.3">
      <c r="A61" s="40">
        <v>60</v>
      </c>
      <c r="B61" s="42">
        <v>40546</v>
      </c>
      <c r="C61" s="40">
        <v>1</v>
      </c>
      <c r="D61" s="40">
        <v>0</v>
      </c>
      <c r="E61" s="40">
        <v>1</v>
      </c>
      <c r="F61" s="40">
        <v>14</v>
      </c>
      <c r="G61" s="40" t="b">
        <v>0</v>
      </c>
      <c r="H61" s="40">
        <v>1</v>
      </c>
      <c r="I61" s="40">
        <v>1</v>
      </c>
      <c r="J61" s="40">
        <v>0.26</v>
      </c>
      <c r="K61" s="40">
        <v>0.2424</v>
      </c>
      <c r="L61" s="40">
        <v>0.3</v>
      </c>
      <c r="M61" s="40">
        <v>0.28360000000000002</v>
      </c>
      <c r="N61" s="40">
        <v>11</v>
      </c>
      <c r="O61" s="40">
        <v>66</v>
      </c>
      <c r="P61" s="40">
        <v>77</v>
      </c>
      <c r="Q61" s="40">
        <v>0.2424</v>
      </c>
    </row>
    <row r="62" spans="1:17" x14ac:dyDescent="0.3">
      <c r="A62" s="40">
        <v>61</v>
      </c>
      <c r="B62" s="42">
        <v>40546</v>
      </c>
      <c r="C62" s="40">
        <v>1</v>
      </c>
      <c r="D62" s="40">
        <v>0</v>
      </c>
      <c r="E62" s="40">
        <v>1</v>
      </c>
      <c r="F62" s="40">
        <v>15</v>
      </c>
      <c r="G62" s="40" t="b">
        <v>0</v>
      </c>
      <c r="H62" s="40">
        <v>1</v>
      </c>
      <c r="I62" s="40">
        <v>1</v>
      </c>
      <c r="J62" s="40">
        <v>0.26</v>
      </c>
      <c r="K62" s="40">
        <v>0.2424</v>
      </c>
      <c r="L62" s="40">
        <v>0.3</v>
      </c>
      <c r="M62" s="40">
        <v>0.25369999999999998</v>
      </c>
      <c r="N62" s="40">
        <v>14</v>
      </c>
      <c r="O62" s="40">
        <v>58</v>
      </c>
      <c r="P62" s="40">
        <v>72</v>
      </c>
      <c r="Q62" s="40">
        <v>0.2424</v>
      </c>
    </row>
    <row r="63" spans="1:17" x14ac:dyDescent="0.3">
      <c r="A63" s="40">
        <v>62</v>
      </c>
      <c r="B63" s="42">
        <v>40546</v>
      </c>
      <c r="C63" s="40">
        <v>1</v>
      </c>
      <c r="D63" s="40">
        <v>0</v>
      </c>
      <c r="E63" s="40">
        <v>1</v>
      </c>
      <c r="F63" s="40">
        <v>16</v>
      </c>
      <c r="G63" s="40" t="b">
        <v>0</v>
      </c>
      <c r="H63" s="40">
        <v>1</v>
      </c>
      <c r="I63" s="40">
        <v>1</v>
      </c>
      <c r="J63" s="40">
        <v>0.26</v>
      </c>
      <c r="K63" s="40">
        <v>0.2424</v>
      </c>
      <c r="L63" s="40">
        <v>0.3</v>
      </c>
      <c r="M63" s="40">
        <v>0.25369999999999998</v>
      </c>
      <c r="N63" s="40">
        <v>9</v>
      </c>
      <c r="O63" s="40">
        <v>67</v>
      </c>
      <c r="P63" s="40">
        <v>76</v>
      </c>
      <c r="Q63" s="40">
        <v>0.2424</v>
      </c>
    </row>
    <row r="64" spans="1:17" x14ac:dyDescent="0.3">
      <c r="A64" s="40">
        <v>63</v>
      </c>
      <c r="B64" s="42">
        <v>40546</v>
      </c>
      <c r="C64" s="40">
        <v>1</v>
      </c>
      <c r="D64" s="40">
        <v>0</v>
      </c>
      <c r="E64" s="40">
        <v>1</v>
      </c>
      <c r="F64" s="40">
        <v>17</v>
      </c>
      <c r="G64" s="40" t="b">
        <v>0</v>
      </c>
      <c r="H64" s="40">
        <v>1</v>
      </c>
      <c r="I64" s="40">
        <v>1</v>
      </c>
      <c r="J64" s="40">
        <v>0.24</v>
      </c>
      <c r="K64" s="40">
        <v>0.2273</v>
      </c>
      <c r="L64" s="40">
        <v>0.3</v>
      </c>
      <c r="M64" s="40">
        <v>0.22389999999999999</v>
      </c>
      <c r="N64" s="40">
        <v>11</v>
      </c>
      <c r="O64" s="40">
        <v>146</v>
      </c>
      <c r="P64" s="40">
        <v>157</v>
      </c>
      <c r="Q64" s="40">
        <v>0.2273</v>
      </c>
    </row>
    <row r="65" spans="1:17" x14ac:dyDescent="0.3">
      <c r="A65" s="40">
        <v>64</v>
      </c>
      <c r="B65" s="42">
        <v>40546</v>
      </c>
      <c r="C65" s="40">
        <v>1</v>
      </c>
      <c r="D65" s="40">
        <v>0</v>
      </c>
      <c r="E65" s="40">
        <v>1</v>
      </c>
      <c r="F65" s="40">
        <v>18</v>
      </c>
      <c r="G65" s="40" t="b">
        <v>0</v>
      </c>
      <c r="H65" s="40">
        <v>1</v>
      </c>
      <c r="I65" s="40">
        <v>1</v>
      </c>
      <c r="J65" s="40">
        <v>0.24</v>
      </c>
      <c r="K65" s="40">
        <v>0.2576</v>
      </c>
      <c r="L65" s="40">
        <v>0.32</v>
      </c>
      <c r="M65" s="40">
        <v>0.1045</v>
      </c>
      <c r="N65" s="40">
        <v>9</v>
      </c>
      <c r="O65" s="40">
        <v>148</v>
      </c>
      <c r="P65" s="40">
        <v>157</v>
      </c>
      <c r="Q65" s="40">
        <v>0.2576</v>
      </c>
    </row>
    <row r="66" spans="1:17" x14ac:dyDescent="0.3">
      <c r="A66" s="40">
        <v>65</v>
      </c>
      <c r="B66" s="42">
        <v>40546</v>
      </c>
      <c r="C66" s="40">
        <v>1</v>
      </c>
      <c r="D66" s="40">
        <v>0</v>
      </c>
      <c r="E66" s="40">
        <v>1</v>
      </c>
      <c r="F66" s="40">
        <v>19</v>
      </c>
      <c r="G66" s="40" t="b">
        <v>0</v>
      </c>
      <c r="H66" s="40">
        <v>1</v>
      </c>
      <c r="I66" s="40">
        <v>1</v>
      </c>
      <c r="J66" s="40">
        <v>0.2</v>
      </c>
      <c r="K66" s="40">
        <v>0.2576</v>
      </c>
      <c r="L66" s="40">
        <v>0.47</v>
      </c>
      <c r="M66" s="40">
        <v>0.20485098360655737</v>
      </c>
      <c r="N66" s="40">
        <v>8</v>
      </c>
      <c r="O66" s="40">
        <v>102</v>
      </c>
      <c r="P66" s="40">
        <v>110</v>
      </c>
      <c r="Q66" s="40">
        <v>0.2576</v>
      </c>
    </row>
    <row r="67" spans="1:17" x14ac:dyDescent="0.3">
      <c r="A67" s="40">
        <v>66</v>
      </c>
      <c r="B67" s="42">
        <v>40546</v>
      </c>
      <c r="C67" s="40">
        <v>1</v>
      </c>
      <c r="D67" s="40">
        <v>0</v>
      </c>
      <c r="E67" s="40">
        <v>1</v>
      </c>
      <c r="F67" s="40">
        <v>20</v>
      </c>
      <c r="G67" s="40" t="b">
        <v>0</v>
      </c>
      <c r="H67" s="40">
        <v>1</v>
      </c>
      <c r="I67" s="40">
        <v>1</v>
      </c>
      <c r="J67" s="40">
        <v>0.2</v>
      </c>
      <c r="K67" s="40">
        <v>0.19993489148580987</v>
      </c>
      <c r="L67" s="40">
        <v>0.47</v>
      </c>
      <c r="M67" s="40">
        <v>0.1045</v>
      </c>
      <c r="N67" s="40">
        <v>3</v>
      </c>
      <c r="O67" s="40">
        <v>49</v>
      </c>
      <c r="P67" s="40">
        <v>52</v>
      </c>
      <c r="Q67" s="40">
        <v>0.19993489148580987</v>
      </c>
    </row>
    <row r="68" spans="1:17" x14ac:dyDescent="0.3">
      <c r="A68" s="40">
        <v>67</v>
      </c>
      <c r="B68" s="42">
        <v>40546</v>
      </c>
      <c r="C68" s="40">
        <v>1</v>
      </c>
      <c r="D68" s="40">
        <v>0</v>
      </c>
      <c r="E68" s="40">
        <v>1</v>
      </c>
      <c r="F68" s="40">
        <v>21</v>
      </c>
      <c r="G68" s="40" t="b">
        <v>0</v>
      </c>
      <c r="H68" s="40">
        <v>1</v>
      </c>
      <c r="I68" s="40">
        <v>1</v>
      </c>
      <c r="J68" s="40">
        <v>0.18</v>
      </c>
      <c r="K68" s="40">
        <v>0.19700000000000001</v>
      </c>
      <c r="L68" s="40">
        <v>0.64</v>
      </c>
      <c r="M68" s="40">
        <v>0.1343</v>
      </c>
      <c r="N68" s="40">
        <v>3</v>
      </c>
      <c r="O68" s="40">
        <v>49</v>
      </c>
      <c r="P68" s="40">
        <v>52</v>
      </c>
      <c r="Q68" s="40">
        <v>0.19700000000000001</v>
      </c>
    </row>
    <row r="69" spans="1:17" x14ac:dyDescent="0.3">
      <c r="A69" s="40">
        <v>68</v>
      </c>
      <c r="B69" s="42">
        <v>40546</v>
      </c>
      <c r="C69" s="40">
        <v>1</v>
      </c>
      <c r="D69" s="40">
        <v>0</v>
      </c>
      <c r="E69" s="40">
        <v>1</v>
      </c>
      <c r="F69" s="40">
        <v>22</v>
      </c>
      <c r="G69" s="40" t="b">
        <v>0</v>
      </c>
      <c r="H69" s="40">
        <v>1</v>
      </c>
      <c r="I69" s="40">
        <v>1</v>
      </c>
      <c r="J69" s="40">
        <v>0.14000000000000001</v>
      </c>
      <c r="K69" s="40">
        <v>0.1515</v>
      </c>
      <c r="L69" s="40">
        <v>0.69</v>
      </c>
      <c r="M69" s="40">
        <v>0.1343</v>
      </c>
      <c r="N69" s="40">
        <v>0</v>
      </c>
      <c r="O69" s="40">
        <v>20</v>
      </c>
      <c r="P69" s="40">
        <v>20</v>
      </c>
      <c r="Q69" s="40">
        <v>0.1515</v>
      </c>
    </row>
    <row r="70" spans="1:17" x14ac:dyDescent="0.3">
      <c r="A70" s="40">
        <v>69</v>
      </c>
      <c r="B70" s="42">
        <v>40546</v>
      </c>
      <c r="C70" s="40">
        <v>1</v>
      </c>
      <c r="D70" s="40">
        <v>0</v>
      </c>
      <c r="E70" s="40">
        <v>1</v>
      </c>
      <c r="F70" s="40">
        <v>23</v>
      </c>
      <c r="G70" s="40" t="b">
        <v>0</v>
      </c>
      <c r="H70" s="40">
        <v>1</v>
      </c>
      <c r="I70" s="40">
        <v>1</v>
      </c>
      <c r="J70" s="40">
        <v>0.18</v>
      </c>
      <c r="K70" s="40">
        <v>0.21210000000000001</v>
      </c>
      <c r="L70" s="40">
        <v>0.55000000000000004</v>
      </c>
      <c r="M70" s="40">
        <v>0.1045</v>
      </c>
      <c r="N70" s="40">
        <v>1</v>
      </c>
      <c r="O70" s="40">
        <v>11</v>
      </c>
      <c r="P70" s="40">
        <v>12</v>
      </c>
      <c r="Q70" s="40">
        <v>0.21210000000000001</v>
      </c>
    </row>
    <row r="71" spans="1:17" x14ac:dyDescent="0.3">
      <c r="A71" s="40">
        <v>70</v>
      </c>
      <c r="B71" s="42">
        <v>40547</v>
      </c>
      <c r="C71" s="40">
        <v>1</v>
      </c>
      <c r="D71" s="40">
        <v>0</v>
      </c>
      <c r="E71" s="40">
        <v>1</v>
      </c>
      <c r="F71" s="40">
        <v>0</v>
      </c>
      <c r="G71" s="40" t="b">
        <v>0</v>
      </c>
      <c r="H71" s="40">
        <v>2</v>
      </c>
      <c r="I71" s="40">
        <v>1</v>
      </c>
      <c r="J71" s="40">
        <v>0.16</v>
      </c>
      <c r="K71" s="40">
        <v>0.19993489148580987</v>
      </c>
      <c r="L71" s="40">
        <v>0.55000000000000004</v>
      </c>
      <c r="M71" s="40">
        <v>0.1045</v>
      </c>
      <c r="N71" s="40">
        <v>0</v>
      </c>
      <c r="O71" s="40">
        <v>5</v>
      </c>
      <c r="P71" s="40">
        <v>5</v>
      </c>
      <c r="Q71" s="40">
        <v>0.19993489148580987</v>
      </c>
    </row>
    <row r="72" spans="1:17" x14ac:dyDescent="0.3">
      <c r="A72" s="40">
        <v>71</v>
      </c>
      <c r="B72" s="42">
        <v>40547</v>
      </c>
      <c r="C72" s="40">
        <v>1</v>
      </c>
      <c r="D72" s="40">
        <v>0</v>
      </c>
      <c r="E72" s="40">
        <v>1</v>
      </c>
      <c r="F72" s="40">
        <v>1</v>
      </c>
      <c r="G72" s="40" t="b">
        <v>0</v>
      </c>
      <c r="H72" s="40">
        <v>2</v>
      </c>
      <c r="I72" s="40">
        <v>1</v>
      </c>
      <c r="J72" s="40">
        <v>0.16</v>
      </c>
      <c r="K72" s="40">
        <v>0.18179999999999999</v>
      </c>
      <c r="L72" s="40">
        <v>0.59</v>
      </c>
      <c r="M72" s="40">
        <v>0.1045</v>
      </c>
      <c r="N72" s="40">
        <v>0</v>
      </c>
      <c r="O72" s="40">
        <v>2</v>
      </c>
      <c r="P72" s="40">
        <v>2</v>
      </c>
      <c r="Q72" s="40">
        <v>0.18179999999999999</v>
      </c>
    </row>
    <row r="73" spans="1:17" x14ac:dyDescent="0.3">
      <c r="A73" s="40">
        <v>72</v>
      </c>
      <c r="B73" s="42">
        <v>40547</v>
      </c>
      <c r="C73" s="40">
        <v>1</v>
      </c>
      <c r="D73" s="40">
        <v>0</v>
      </c>
      <c r="E73" s="40">
        <v>1</v>
      </c>
      <c r="F73" s="40">
        <v>2</v>
      </c>
      <c r="G73" s="40" t="b">
        <v>0</v>
      </c>
      <c r="H73" s="40">
        <v>2</v>
      </c>
      <c r="I73" s="40">
        <v>1</v>
      </c>
      <c r="J73" s="40">
        <v>0.14000000000000001</v>
      </c>
      <c r="K73" s="40">
        <v>0.1515</v>
      </c>
      <c r="L73" s="40">
        <v>0.63</v>
      </c>
      <c r="M73" s="40">
        <v>0.1343</v>
      </c>
      <c r="N73" s="40">
        <v>0</v>
      </c>
      <c r="O73" s="40">
        <v>1</v>
      </c>
      <c r="P73" s="40">
        <v>1</v>
      </c>
      <c r="Q73" s="40">
        <v>0.1515</v>
      </c>
    </row>
    <row r="74" spans="1:17" x14ac:dyDescent="0.3">
      <c r="A74" s="40">
        <v>73</v>
      </c>
      <c r="B74" s="42">
        <v>40547</v>
      </c>
      <c r="C74" s="40">
        <v>1</v>
      </c>
      <c r="D74" s="40">
        <v>0</v>
      </c>
      <c r="E74" s="40">
        <v>1</v>
      </c>
      <c r="F74" s="40">
        <v>4</v>
      </c>
      <c r="G74" s="40" t="b">
        <v>0</v>
      </c>
      <c r="H74" s="40">
        <v>2</v>
      </c>
      <c r="I74" s="40">
        <v>1</v>
      </c>
      <c r="J74" s="40">
        <v>0.14000000000000001</v>
      </c>
      <c r="K74" s="40">
        <v>0.18179999999999999</v>
      </c>
      <c r="L74" s="40">
        <v>0.63</v>
      </c>
      <c r="M74" s="40">
        <v>8.9599999999999999E-2</v>
      </c>
      <c r="N74" s="40">
        <v>0</v>
      </c>
      <c r="O74" s="40">
        <v>2</v>
      </c>
      <c r="P74" s="40">
        <v>2</v>
      </c>
      <c r="Q74" s="40">
        <v>0.18179999999999999</v>
      </c>
    </row>
    <row r="75" spans="1:17" x14ac:dyDescent="0.3">
      <c r="A75" s="40">
        <v>74</v>
      </c>
      <c r="B75" s="42">
        <v>40547</v>
      </c>
      <c r="C75" s="40">
        <v>1</v>
      </c>
      <c r="D75" s="40">
        <v>0</v>
      </c>
      <c r="E75" s="40">
        <v>1</v>
      </c>
      <c r="F75" s="40">
        <v>5</v>
      </c>
      <c r="G75" s="40" t="b">
        <v>0</v>
      </c>
      <c r="H75" s="40">
        <v>2</v>
      </c>
      <c r="I75" s="40">
        <v>1</v>
      </c>
      <c r="J75" s="40">
        <v>0.12</v>
      </c>
      <c r="K75" s="40">
        <v>0.1515</v>
      </c>
      <c r="L75" s="40">
        <v>0.68</v>
      </c>
      <c r="M75" s="40">
        <v>0.1045</v>
      </c>
      <c r="N75" s="40">
        <v>0</v>
      </c>
      <c r="O75" s="40">
        <v>4</v>
      </c>
      <c r="P75" s="40">
        <v>4</v>
      </c>
      <c r="Q75" s="40">
        <v>0.1515</v>
      </c>
    </row>
    <row r="76" spans="1:17" x14ac:dyDescent="0.3">
      <c r="A76" s="40">
        <v>75</v>
      </c>
      <c r="B76" s="42">
        <v>40547</v>
      </c>
      <c r="C76" s="40">
        <v>1</v>
      </c>
      <c r="D76" s="40">
        <v>0</v>
      </c>
      <c r="E76" s="40">
        <v>1</v>
      </c>
      <c r="F76" s="40">
        <v>6</v>
      </c>
      <c r="G76" s="40" t="b">
        <v>0</v>
      </c>
      <c r="H76" s="40">
        <v>2</v>
      </c>
      <c r="I76" s="40">
        <v>1</v>
      </c>
      <c r="J76" s="40">
        <v>0.12</v>
      </c>
      <c r="K76" s="40">
        <v>0.1515</v>
      </c>
      <c r="L76" s="40">
        <v>0.74</v>
      </c>
      <c r="M76" s="40">
        <v>0.1045</v>
      </c>
      <c r="N76" s="40">
        <v>0</v>
      </c>
      <c r="O76" s="40">
        <v>36</v>
      </c>
      <c r="P76" s="40">
        <v>36</v>
      </c>
      <c r="Q76" s="40">
        <v>0.1515</v>
      </c>
    </row>
    <row r="77" spans="1:17" x14ac:dyDescent="0.3">
      <c r="A77" s="40">
        <v>76</v>
      </c>
      <c r="B77" s="42">
        <v>40547</v>
      </c>
      <c r="C77" s="40">
        <v>1</v>
      </c>
      <c r="D77" s="40">
        <v>0</v>
      </c>
      <c r="E77" s="40">
        <v>1</v>
      </c>
      <c r="F77" s="40">
        <v>7</v>
      </c>
      <c r="G77" s="40" t="b">
        <v>0</v>
      </c>
      <c r="H77" s="40">
        <v>2</v>
      </c>
      <c r="I77" s="40">
        <v>1</v>
      </c>
      <c r="J77" s="40">
        <v>0.12</v>
      </c>
      <c r="K77" s="40">
        <v>0.1515</v>
      </c>
      <c r="L77" s="40">
        <v>0.74</v>
      </c>
      <c r="M77" s="40">
        <v>0.1343</v>
      </c>
      <c r="N77" s="40">
        <v>2</v>
      </c>
      <c r="O77" s="40">
        <v>92</v>
      </c>
      <c r="P77" s="40">
        <v>94</v>
      </c>
      <c r="Q77" s="40">
        <v>0.1515</v>
      </c>
    </row>
    <row r="78" spans="1:17" x14ac:dyDescent="0.3">
      <c r="A78" s="40">
        <v>77</v>
      </c>
      <c r="B78" s="42">
        <v>40547</v>
      </c>
      <c r="C78" s="40">
        <v>1</v>
      </c>
      <c r="D78" s="40">
        <v>0</v>
      </c>
      <c r="E78" s="40">
        <v>1</v>
      </c>
      <c r="F78" s="40">
        <v>8</v>
      </c>
      <c r="G78" s="40" t="b">
        <v>0</v>
      </c>
      <c r="H78" s="40">
        <v>2</v>
      </c>
      <c r="I78" s="40">
        <v>1</v>
      </c>
      <c r="J78" s="40">
        <v>0.14000000000000001</v>
      </c>
      <c r="K78" s="40">
        <v>0.1515</v>
      </c>
      <c r="L78" s="40">
        <v>0.69</v>
      </c>
      <c r="M78" s="40">
        <v>0.16420000000000001</v>
      </c>
      <c r="N78" s="40">
        <v>2</v>
      </c>
      <c r="O78" s="40">
        <v>177</v>
      </c>
      <c r="P78" s="40">
        <v>179</v>
      </c>
      <c r="Q78" s="40">
        <v>0.1515</v>
      </c>
    </row>
    <row r="79" spans="1:17" x14ac:dyDescent="0.3">
      <c r="A79" s="40">
        <v>78</v>
      </c>
      <c r="B79" s="42">
        <v>40547</v>
      </c>
      <c r="C79" s="40">
        <v>1</v>
      </c>
      <c r="D79" s="40">
        <v>0</v>
      </c>
      <c r="E79" s="40">
        <v>1</v>
      </c>
      <c r="F79" s="40">
        <v>9</v>
      </c>
      <c r="G79" s="40" t="b">
        <v>0</v>
      </c>
      <c r="H79" s="40">
        <v>2</v>
      </c>
      <c r="I79" s="40">
        <v>1</v>
      </c>
      <c r="J79" s="40">
        <v>0.16</v>
      </c>
      <c r="K79" s="40">
        <v>0.1515</v>
      </c>
      <c r="L79" s="40">
        <v>0.64</v>
      </c>
      <c r="M79" s="40">
        <v>0.22389999999999999</v>
      </c>
      <c r="N79" s="40">
        <v>2</v>
      </c>
      <c r="O79" s="40">
        <v>98</v>
      </c>
      <c r="P79" s="40">
        <v>100</v>
      </c>
      <c r="Q79" s="40">
        <v>0.1515</v>
      </c>
    </row>
    <row r="80" spans="1:17" x14ac:dyDescent="0.3">
      <c r="A80" s="40">
        <v>79</v>
      </c>
      <c r="B80" s="42">
        <v>40547</v>
      </c>
      <c r="C80" s="40">
        <v>1</v>
      </c>
      <c r="D80" s="40">
        <v>0</v>
      </c>
      <c r="E80" s="40">
        <v>1</v>
      </c>
      <c r="F80" s="40">
        <v>10</v>
      </c>
      <c r="G80" s="40" t="b">
        <v>0</v>
      </c>
      <c r="H80" s="40">
        <v>2</v>
      </c>
      <c r="I80" s="40">
        <v>2</v>
      </c>
      <c r="J80" s="40">
        <v>0.16</v>
      </c>
      <c r="K80" s="40">
        <v>0.13639999999999999</v>
      </c>
      <c r="L80" s="40">
        <v>0.69</v>
      </c>
      <c r="M80" s="40">
        <v>0.32840000000000003</v>
      </c>
      <c r="N80" s="40">
        <v>5</v>
      </c>
      <c r="O80" s="40">
        <v>37</v>
      </c>
      <c r="P80" s="40">
        <v>42</v>
      </c>
      <c r="Q80" s="40">
        <v>0.13639999999999999</v>
      </c>
    </row>
    <row r="81" spans="1:17" x14ac:dyDescent="0.3">
      <c r="A81" s="40">
        <v>80</v>
      </c>
      <c r="B81" s="42">
        <v>40547</v>
      </c>
      <c r="C81" s="40">
        <v>1</v>
      </c>
      <c r="D81" s="40">
        <v>0</v>
      </c>
      <c r="E81" s="40">
        <v>1</v>
      </c>
      <c r="F81" s="40">
        <v>11</v>
      </c>
      <c r="G81" s="40" t="b">
        <v>0</v>
      </c>
      <c r="H81" s="40">
        <v>2</v>
      </c>
      <c r="I81" s="40">
        <v>1</v>
      </c>
      <c r="J81" s="40">
        <v>0.22</v>
      </c>
      <c r="K81" s="40">
        <v>0.21210000000000001</v>
      </c>
      <c r="L81" s="40">
        <v>0.51</v>
      </c>
      <c r="M81" s="40">
        <v>0.29849999999999999</v>
      </c>
      <c r="N81" s="40">
        <v>7</v>
      </c>
      <c r="O81" s="40">
        <v>50</v>
      </c>
      <c r="P81" s="40">
        <v>57</v>
      </c>
      <c r="Q81" s="40">
        <v>0.21210000000000001</v>
      </c>
    </row>
    <row r="82" spans="1:17" x14ac:dyDescent="0.3">
      <c r="A82" s="40">
        <v>81</v>
      </c>
      <c r="B82" s="42">
        <v>40547</v>
      </c>
      <c r="C82" s="40">
        <v>1</v>
      </c>
      <c r="D82" s="40">
        <v>0</v>
      </c>
      <c r="E82" s="40">
        <v>1</v>
      </c>
      <c r="F82" s="40">
        <v>12</v>
      </c>
      <c r="G82" s="40" t="b">
        <v>0</v>
      </c>
      <c r="H82" s="40">
        <v>2</v>
      </c>
      <c r="I82" s="40">
        <v>1</v>
      </c>
      <c r="J82" s="40">
        <v>0.22</v>
      </c>
      <c r="K82" s="40">
        <v>0.2273</v>
      </c>
      <c r="L82" s="40">
        <v>0.51</v>
      </c>
      <c r="M82" s="40">
        <v>0.16420000000000001</v>
      </c>
      <c r="N82" s="40">
        <v>12</v>
      </c>
      <c r="O82" s="40">
        <v>66</v>
      </c>
      <c r="P82" s="40">
        <v>78</v>
      </c>
      <c r="Q82" s="40">
        <v>0.2273</v>
      </c>
    </row>
    <row r="83" spans="1:17" x14ac:dyDescent="0.3">
      <c r="A83" s="40">
        <v>82</v>
      </c>
      <c r="B83" s="42">
        <v>40547</v>
      </c>
      <c r="C83" s="40">
        <v>1</v>
      </c>
      <c r="D83" s="40">
        <v>0</v>
      </c>
      <c r="E83" s="40">
        <v>1</v>
      </c>
      <c r="F83" s="40">
        <v>13</v>
      </c>
      <c r="G83" s="40" t="b">
        <v>0</v>
      </c>
      <c r="H83" s="40">
        <v>2</v>
      </c>
      <c r="I83" s="40">
        <v>1</v>
      </c>
      <c r="J83" s="40">
        <v>0.24</v>
      </c>
      <c r="K83" s="40">
        <v>0.2273</v>
      </c>
      <c r="L83" s="40">
        <v>0.56000000000000005</v>
      </c>
      <c r="M83" s="40">
        <v>0.19400000000000001</v>
      </c>
      <c r="N83" s="40">
        <v>18</v>
      </c>
      <c r="O83" s="40">
        <v>79</v>
      </c>
      <c r="P83" s="40">
        <v>97</v>
      </c>
      <c r="Q83" s="40">
        <v>0.2273</v>
      </c>
    </row>
    <row r="84" spans="1:17" x14ac:dyDescent="0.3">
      <c r="A84" s="40">
        <v>83</v>
      </c>
      <c r="B84" s="42">
        <v>40547</v>
      </c>
      <c r="C84" s="40">
        <v>1</v>
      </c>
      <c r="D84" s="40">
        <v>0</v>
      </c>
      <c r="E84" s="40">
        <v>1</v>
      </c>
      <c r="F84" s="40">
        <v>14</v>
      </c>
      <c r="G84" s="40" t="b">
        <v>0</v>
      </c>
      <c r="H84" s="40">
        <v>2</v>
      </c>
      <c r="I84" s="40">
        <v>1</v>
      </c>
      <c r="J84" s="40">
        <v>0.26</v>
      </c>
      <c r="K84" s="40">
        <v>0.2576</v>
      </c>
      <c r="L84" s="40">
        <v>0.52</v>
      </c>
      <c r="M84" s="40">
        <v>0.22389999999999999</v>
      </c>
      <c r="N84" s="40">
        <v>9</v>
      </c>
      <c r="O84" s="40">
        <v>54</v>
      </c>
      <c r="P84" s="40">
        <v>63</v>
      </c>
      <c r="Q84" s="40">
        <v>0.2576</v>
      </c>
    </row>
    <row r="85" spans="1:17" x14ac:dyDescent="0.3">
      <c r="A85" s="40">
        <v>84</v>
      </c>
      <c r="B85" s="42">
        <v>40547</v>
      </c>
      <c r="C85" s="40">
        <v>1</v>
      </c>
      <c r="D85" s="40">
        <v>0</v>
      </c>
      <c r="E85" s="40">
        <v>1</v>
      </c>
      <c r="F85" s="40">
        <v>15</v>
      </c>
      <c r="G85" s="40" t="b">
        <v>0</v>
      </c>
      <c r="H85" s="40">
        <v>2</v>
      </c>
      <c r="I85" s="40">
        <v>1</v>
      </c>
      <c r="J85" s="40">
        <v>0.28000000000000003</v>
      </c>
      <c r="K85" s="40">
        <v>0.2727</v>
      </c>
      <c r="L85" s="40">
        <v>0.52</v>
      </c>
      <c r="M85" s="40">
        <v>0.25369999999999998</v>
      </c>
      <c r="N85" s="40">
        <v>17</v>
      </c>
      <c r="O85" s="40">
        <v>48</v>
      </c>
      <c r="P85" s="40">
        <v>65</v>
      </c>
      <c r="Q85" s="40">
        <v>0.2727</v>
      </c>
    </row>
    <row r="86" spans="1:17" x14ac:dyDescent="0.3">
      <c r="A86" s="40">
        <v>85</v>
      </c>
      <c r="B86" s="42">
        <v>40547</v>
      </c>
      <c r="C86" s="40">
        <v>1</v>
      </c>
      <c r="D86" s="40">
        <v>0</v>
      </c>
      <c r="E86" s="40">
        <v>1</v>
      </c>
      <c r="F86" s="40">
        <v>16</v>
      </c>
      <c r="G86" s="40" t="b">
        <v>0</v>
      </c>
      <c r="H86" s="40">
        <v>2</v>
      </c>
      <c r="I86" s="40">
        <v>1</v>
      </c>
      <c r="J86" s="40">
        <v>0.3</v>
      </c>
      <c r="K86" s="40">
        <v>0.28789999999999999</v>
      </c>
      <c r="L86" s="40">
        <v>0.49</v>
      </c>
      <c r="M86" s="40">
        <v>0.25369999999999998</v>
      </c>
      <c r="N86" s="40">
        <v>15</v>
      </c>
      <c r="O86" s="40">
        <v>68</v>
      </c>
      <c r="P86" s="40">
        <v>83</v>
      </c>
      <c r="Q86" s="40">
        <v>0.28789999999999999</v>
      </c>
    </row>
    <row r="87" spans="1:17" x14ac:dyDescent="0.3">
      <c r="A87" s="40">
        <v>86</v>
      </c>
      <c r="B87" s="42">
        <v>40547</v>
      </c>
      <c r="C87" s="40">
        <v>1</v>
      </c>
      <c r="D87" s="40">
        <v>0</v>
      </c>
      <c r="E87" s="40">
        <v>1</v>
      </c>
      <c r="F87" s="40">
        <v>17</v>
      </c>
      <c r="G87" s="40" t="b">
        <v>0</v>
      </c>
      <c r="H87" s="40">
        <v>2</v>
      </c>
      <c r="I87" s="40">
        <v>1</v>
      </c>
      <c r="J87" s="40">
        <v>0.28000000000000003</v>
      </c>
      <c r="K87" s="40">
        <v>0.2727</v>
      </c>
      <c r="L87" s="40">
        <v>0.48</v>
      </c>
      <c r="M87" s="40">
        <v>0.22389999999999999</v>
      </c>
      <c r="N87" s="40">
        <v>10</v>
      </c>
      <c r="O87" s="40">
        <v>202</v>
      </c>
      <c r="P87" s="40">
        <v>212</v>
      </c>
      <c r="Q87" s="40">
        <v>0.2727</v>
      </c>
    </row>
    <row r="88" spans="1:17" x14ac:dyDescent="0.3">
      <c r="A88" s="40">
        <v>87</v>
      </c>
      <c r="B88" s="42">
        <v>40547</v>
      </c>
      <c r="C88" s="40">
        <v>1</v>
      </c>
      <c r="D88" s="40">
        <v>0</v>
      </c>
      <c r="E88" s="40">
        <v>1</v>
      </c>
      <c r="F88" s="40">
        <v>18</v>
      </c>
      <c r="G88" s="40" t="b">
        <v>0</v>
      </c>
      <c r="H88" s="40">
        <v>2</v>
      </c>
      <c r="I88" s="40">
        <v>1</v>
      </c>
      <c r="J88" s="40">
        <v>0.26</v>
      </c>
      <c r="K88" s="40">
        <v>0.2576</v>
      </c>
      <c r="L88" s="40">
        <v>0.48</v>
      </c>
      <c r="M88" s="40">
        <v>0.19400000000000001</v>
      </c>
      <c r="N88" s="40">
        <v>3</v>
      </c>
      <c r="O88" s="40">
        <v>179</v>
      </c>
      <c r="P88" s="40">
        <v>182</v>
      </c>
      <c r="Q88" s="40">
        <v>0.2576</v>
      </c>
    </row>
    <row r="89" spans="1:17" x14ac:dyDescent="0.3">
      <c r="A89" s="40">
        <v>88</v>
      </c>
      <c r="B89" s="42">
        <v>40547</v>
      </c>
      <c r="C89" s="40">
        <v>1</v>
      </c>
      <c r="D89" s="40">
        <v>0</v>
      </c>
      <c r="E89" s="40">
        <v>1</v>
      </c>
      <c r="F89" s="40">
        <v>19</v>
      </c>
      <c r="G89" s="40" t="b">
        <v>0</v>
      </c>
      <c r="H89" s="40">
        <v>2</v>
      </c>
      <c r="I89" s="40">
        <v>1</v>
      </c>
      <c r="J89" s="40">
        <v>0.24</v>
      </c>
      <c r="K89" s="40">
        <v>0.2576</v>
      </c>
      <c r="L89" s="40">
        <v>0.48</v>
      </c>
      <c r="M89" s="40">
        <v>0.1045</v>
      </c>
      <c r="N89" s="40">
        <v>2</v>
      </c>
      <c r="O89" s="40">
        <v>110</v>
      </c>
      <c r="P89" s="40">
        <v>112</v>
      </c>
      <c r="Q89" s="40">
        <v>0.2576</v>
      </c>
    </row>
    <row r="90" spans="1:17" x14ac:dyDescent="0.3">
      <c r="A90" s="40">
        <v>89</v>
      </c>
      <c r="B90" s="42">
        <v>40547</v>
      </c>
      <c r="C90" s="40">
        <v>1</v>
      </c>
      <c r="D90" s="40">
        <v>0</v>
      </c>
      <c r="E90" s="40">
        <v>1</v>
      </c>
      <c r="F90" s="40">
        <v>20</v>
      </c>
      <c r="G90" s="40" t="b">
        <v>0</v>
      </c>
      <c r="H90" s="40">
        <v>2</v>
      </c>
      <c r="I90" s="40">
        <v>1</v>
      </c>
      <c r="J90" s="40">
        <v>0.24</v>
      </c>
      <c r="K90" s="40">
        <v>0.2576</v>
      </c>
      <c r="L90" s="40">
        <v>0.48</v>
      </c>
      <c r="M90" s="40">
        <v>0.1045</v>
      </c>
      <c r="N90" s="40">
        <v>1</v>
      </c>
      <c r="O90" s="40">
        <v>53</v>
      </c>
      <c r="P90" s="40">
        <v>54</v>
      </c>
      <c r="Q90" s="40">
        <v>0.2576</v>
      </c>
    </row>
    <row r="91" spans="1:17" x14ac:dyDescent="0.3">
      <c r="A91" s="40">
        <v>90</v>
      </c>
      <c r="B91" s="42">
        <v>40547</v>
      </c>
      <c r="C91" s="40">
        <v>1</v>
      </c>
      <c r="D91" s="40">
        <v>0</v>
      </c>
      <c r="E91" s="40">
        <v>1</v>
      </c>
      <c r="F91" s="40">
        <v>21</v>
      </c>
      <c r="G91" s="40" t="b">
        <v>0</v>
      </c>
      <c r="H91" s="40">
        <v>2</v>
      </c>
      <c r="I91" s="40">
        <v>1</v>
      </c>
      <c r="J91" s="40">
        <v>0.22</v>
      </c>
      <c r="K91" s="40">
        <v>0.2727</v>
      </c>
      <c r="L91" s="40">
        <v>0.64</v>
      </c>
      <c r="M91" s="40">
        <v>0.20485098360655737</v>
      </c>
      <c r="N91" s="40">
        <v>0</v>
      </c>
      <c r="O91" s="40">
        <v>48</v>
      </c>
      <c r="P91" s="40">
        <v>48</v>
      </c>
      <c r="Q91" s="40">
        <v>0.2727</v>
      </c>
    </row>
    <row r="92" spans="1:17" x14ac:dyDescent="0.3">
      <c r="A92" s="40">
        <v>91</v>
      </c>
      <c r="B92" s="42">
        <v>40547</v>
      </c>
      <c r="C92" s="40">
        <v>1</v>
      </c>
      <c r="D92" s="40">
        <v>0</v>
      </c>
      <c r="E92" s="40">
        <v>1</v>
      </c>
      <c r="F92" s="40">
        <v>22</v>
      </c>
      <c r="G92" s="40" t="b">
        <v>0</v>
      </c>
      <c r="H92" s="40">
        <v>2</v>
      </c>
      <c r="I92" s="40">
        <v>1</v>
      </c>
      <c r="J92" s="40">
        <v>0.22</v>
      </c>
      <c r="K92" s="40">
        <v>0.2576</v>
      </c>
      <c r="L92" s="40">
        <v>0.64</v>
      </c>
      <c r="M92" s="40">
        <v>8.9599999999999999E-2</v>
      </c>
      <c r="N92" s="40">
        <v>1</v>
      </c>
      <c r="O92" s="40">
        <v>34</v>
      </c>
      <c r="P92" s="40">
        <v>35</v>
      </c>
      <c r="Q92" s="40">
        <v>0.2576</v>
      </c>
    </row>
    <row r="93" spans="1:17" x14ac:dyDescent="0.3">
      <c r="A93" s="40">
        <v>92</v>
      </c>
      <c r="B93" s="42">
        <v>40547</v>
      </c>
      <c r="C93" s="40">
        <v>1</v>
      </c>
      <c r="D93" s="40">
        <v>0</v>
      </c>
      <c r="E93" s="40">
        <v>1</v>
      </c>
      <c r="F93" s="40">
        <v>23</v>
      </c>
      <c r="G93" s="40" t="b">
        <v>0</v>
      </c>
      <c r="H93" s="40">
        <v>2</v>
      </c>
      <c r="I93" s="40">
        <v>1</v>
      </c>
      <c r="J93" s="40">
        <v>0.2</v>
      </c>
      <c r="K93" s="40">
        <v>0.2273</v>
      </c>
      <c r="L93" s="40">
        <v>0.69</v>
      </c>
      <c r="M93" s="40">
        <v>8.9599999999999999E-2</v>
      </c>
      <c r="N93" s="40">
        <v>2</v>
      </c>
      <c r="O93" s="40">
        <v>9</v>
      </c>
      <c r="P93" s="40">
        <v>11</v>
      </c>
      <c r="Q93" s="40">
        <v>0.2273</v>
      </c>
    </row>
    <row r="94" spans="1:17" x14ac:dyDescent="0.3">
      <c r="A94" s="40">
        <v>93</v>
      </c>
      <c r="B94" s="42">
        <v>40548</v>
      </c>
      <c r="C94" s="40">
        <v>1</v>
      </c>
      <c r="D94" s="40">
        <v>0</v>
      </c>
      <c r="E94" s="40">
        <v>1</v>
      </c>
      <c r="F94" s="40">
        <v>0</v>
      </c>
      <c r="G94" s="40" t="b">
        <v>0</v>
      </c>
      <c r="H94" s="40">
        <v>3</v>
      </c>
      <c r="I94" s="40">
        <v>1</v>
      </c>
      <c r="J94" s="40">
        <v>0.2</v>
      </c>
      <c r="K94" s="40">
        <v>0.2576</v>
      </c>
      <c r="L94" s="40">
        <v>0.64</v>
      </c>
      <c r="M94" s="40">
        <v>0.20485098360655737</v>
      </c>
      <c r="N94" s="40">
        <v>0</v>
      </c>
      <c r="O94" s="40">
        <v>6</v>
      </c>
      <c r="P94" s="40">
        <v>6</v>
      </c>
      <c r="Q94" s="40">
        <v>0.2576</v>
      </c>
    </row>
    <row r="95" spans="1:17" x14ac:dyDescent="0.3">
      <c r="A95" s="40">
        <v>94</v>
      </c>
      <c r="B95" s="42">
        <v>40548</v>
      </c>
      <c r="C95" s="40">
        <v>1</v>
      </c>
      <c r="D95" s="40">
        <v>0</v>
      </c>
      <c r="E95" s="40">
        <v>1</v>
      </c>
      <c r="F95" s="40">
        <v>1</v>
      </c>
      <c r="G95" s="40" t="b">
        <v>0</v>
      </c>
      <c r="H95" s="40">
        <v>3</v>
      </c>
      <c r="I95" s="40">
        <v>1</v>
      </c>
      <c r="J95" s="40">
        <v>0.16</v>
      </c>
      <c r="K95" s="40">
        <v>0.19700000000000001</v>
      </c>
      <c r="L95" s="40">
        <v>0.74</v>
      </c>
      <c r="M95" s="40">
        <v>8.9599999999999999E-2</v>
      </c>
      <c r="N95" s="40">
        <v>0</v>
      </c>
      <c r="O95" s="40">
        <v>6</v>
      </c>
      <c r="P95" s="40">
        <v>6</v>
      </c>
      <c r="Q95" s="40">
        <v>0.19700000000000001</v>
      </c>
    </row>
    <row r="96" spans="1:17" x14ac:dyDescent="0.3">
      <c r="A96" s="40">
        <v>95</v>
      </c>
      <c r="B96" s="42">
        <v>40548</v>
      </c>
      <c r="C96" s="40">
        <v>1</v>
      </c>
      <c r="D96" s="40">
        <v>0</v>
      </c>
      <c r="E96" s="40">
        <v>1</v>
      </c>
      <c r="F96" s="40">
        <v>2</v>
      </c>
      <c r="G96" s="40" t="b">
        <v>0</v>
      </c>
      <c r="H96" s="40">
        <v>3</v>
      </c>
      <c r="I96" s="40">
        <v>1</v>
      </c>
      <c r="J96" s="40">
        <v>0.16</v>
      </c>
      <c r="K96" s="40">
        <v>0.19700000000000001</v>
      </c>
      <c r="L96" s="40">
        <v>0.74</v>
      </c>
      <c r="M96" s="40">
        <v>8.9599999999999999E-2</v>
      </c>
      <c r="N96" s="40">
        <v>0</v>
      </c>
      <c r="O96" s="40">
        <v>2</v>
      </c>
      <c r="P96" s="40">
        <v>2</v>
      </c>
      <c r="Q96" s="40">
        <v>0.19700000000000001</v>
      </c>
    </row>
    <row r="97" spans="1:17" x14ac:dyDescent="0.3">
      <c r="A97" s="40">
        <v>96</v>
      </c>
      <c r="B97" s="42">
        <v>40548</v>
      </c>
      <c r="C97" s="40">
        <v>1</v>
      </c>
      <c r="D97" s="40">
        <v>0</v>
      </c>
      <c r="E97" s="40">
        <v>1</v>
      </c>
      <c r="F97" s="40">
        <v>4</v>
      </c>
      <c r="G97" s="40" t="b">
        <v>0</v>
      </c>
      <c r="H97" s="40">
        <v>3</v>
      </c>
      <c r="I97" s="40">
        <v>1</v>
      </c>
      <c r="J97" s="40">
        <v>0.24</v>
      </c>
      <c r="K97" s="40">
        <v>0.2273</v>
      </c>
      <c r="L97" s="40">
        <v>0.48</v>
      </c>
      <c r="M97" s="40">
        <v>0.22389999999999999</v>
      </c>
      <c r="N97" s="40">
        <v>0</v>
      </c>
      <c r="O97" s="40">
        <v>2</v>
      </c>
      <c r="P97" s="40">
        <v>2</v>
      </c>
      <c r="Q97" s="40">
        <v>0.2273</v>
      </c>
    </row>
    <row r="98" spans="1:17" x14ac:dyDescent="0.3">
      <c r="A98" s="40">
        <v>97</v>
      </c>
      <c r="B98" s="42">
        <v>40548</v>
      </c>
      <c r="C98" s="40">
        <v>1</v>
      </c>
      <c r="D98" s="40">
        <v>0</v>
      </c>
      <c r="E98" s="40">
        <v>1</v>
      </c>
      <c r="F98" s="40">
        <v>5</v>
      </c>
      <c r="G98" s="40" t="b">
        <v>0</v>
      </c>
      <c r="H98" s="40">
        <v>3</v>
      </c>
      <c r="I98" s="40">
        <v>1</v>
      </c>
      <c r="J98" s="40">
        <v>0.22</v>
      </c>
      <c r="K98" s="40">
        <v>0.2273</v>
      </c>
      <c r="L98" s="40">
        <v>0.47</v>
      </c>
      <c r="M98" s="40">
        <v>0.16420000000000001</v>
      </c>
      <c r="N98" s="40">
        <v>0</v>
      </c>
      <c r="O98" s="40">
        <v>3</v>
      </c>
      <c r="P98" s="40">
        <v>3</v>
      </c>
      <c r="Q98" s="40">
        <v>0.2273</v>
      </c>
    </row>
    <row r="99" spans="1:17" x14ac:dyDescent="0.3">
      <c r="A99" s="40">
        <v>98</v>
      </c>
      <c r="B99" s="42">
        <v>40548</v>
      </c>
      <c r="C99" s="40">
        <v>1</v>
      </c>
      <c r="D99" s="40">
        <v>0</v>
      </c>
      <c r="E99" s="40">
        <v>1</v>
      </c>
      <c r="F99" s="40">
        <v>6</v>
      </c>
      <c r="G99" s="40" t="b">
        <v>0</v>
      </c>
      <c r="H99" s="40">
        <v>3</v>
      </c>
      <c r="I99" s="40">
        <v>1</v>
      </c>
      <c r="J99" s="40">
        <v>0.2</v>
      </c>
      <c r="K99" s="40">
        <v>0.19700000000000001</v>
      </c>
      <c r="L99" s="40">
        <v>0.47</v>
      </c>
      <c r="M99" s="40">
        <v>0.22389999999999999</v>
      </c>
      <c r="N99" s="40">
        <v>0</v>
      </c>
      <c r="O99" s="40">
        <v>33</v>
      </c>
      <c r="P99" s="40">
        <v>33</v>
      </c>
      <c r="Q99" s="40">
        <v>0.19700000000000001</v>
      </c>
    </row>
    <row r="100" spans="1:17" x14ac:dyDescent="0.3">
      <c r="A100" s="40">
        <v>99</v>
      </c>
      <c r="B100" s="42">
        <v>40548</v>
      </c>
      <c r="C100" s="40">
        <v>1</v>
      </c>
      <c r="D100" s="40">
        <v>0</v>
      </c>
      <c r="E100" s="40">
        <v>1</v>
      </c>
      <c r="F100" s="40">
        <v>7</v>
      </c>
      <c r="G100" s="40" t="b">
        <v>0</v>
      </c>
      <c r="H100" s="40">
        <v>3</v>
      </c>
      <c r="I100" s="40">
        <v>1</v>
      </c>
      <c r="J100" s="40">
        <v>0.18</v>
      </c>
      <c r="K100" s="40">
        <v>0.18179999999999999</v>
      </c>
      <c r="L100" s="40">
        <v>0.43</v>
      </c>
      <c r="M100" s="40">
        <v>0.19400000000000001</v>
      </c>
      <c r="N100" s="40">
        <v>1</v>
      </c>
      <c r="O100" s="40">
        <v>87</v>
      </c>
      <c r="P100" s="40">
        <v>88</v>
      </c>
      <c r="Q100" s="40">
        <v>0.18179999999999999</v>
      </c>
    </row>
    <row r="101" spans="1:17" x14ac:dyDescent="0.3">
      <c r="A101" s="40">
        <v>100</v>
      </c>
      <c r="B101" s="42">
        <v>40548</v>
      </c>
      <c r="C101" s="40">
        <v>1</v>
      </c>
      <c r="D101" s="40">
        <v>0</v>
      </c>
      <c r="E101" s="40">
        <v>1</v>
      </c>
      <c r="F101" s="40">
        <v>8</v>
      </c>
      <c r="G101" s="40" t="b">
        <v>0</v>
      </c>
      <c r="H101" s="40">
        <v>3</v>
      </c>
      <c r="I101" s="40">
        <v>1</v>
      </c>
      <c r="J101" s="40">
        <v>0.2</v>
      </c>
      <c r="K101" s="40">
        <v>0.18179999999999999</v>
      </c>
      <c r="L101" s="40">
        <v>0.4</v>
      </c>
      <c r="M101" s="40">
        <v>0.29849999999999999</v>
      </c>
      <c r="N101" s="40">
        <v>3</v>
      </c>
      <c r="O101" s="40">
        <v>192</v>
      </c>
      <c r="P101" s="40">
        <v>195</v>
      </c>
      <c r="Q101" s="40">
        <v>0.18179999999999999</v>
      </c>
    </row>
    <row r="102" spans="1:17" x14ac:dyDescent="0.3">
      <c r="A102" s="40">
        <v>101</v>
      </c>
      <c r="B102" s="42">
        <v>40548</v>
      </c>
      <c r="C102" s="40">
        <v>1</v>
      </c>
      <c r="D102" s="40">
        <v>0</v>
      </c>
      <c r="E102" s="40">
        <v>1</v>
      </c>
      <c r="F102" s="40">
        <v>9</v>
      </c>
      <c r="G102" s="40" t="b">
        <v>0</v>
      </c>
      <c r="H102" s="40">
        <v>3</v>
      </c>
      <c r="I102" s="40">
        <v>1</v>
      </c>
      <c r="J102" s="40">
        <v>0.22</v>
      </c>
      <c r="K102" s="40">
        <v>0.19700000000000001</v>
      </c>
      <c r="L102" s="40">
        <v>0.37</v>
      </c>
      <c r="M102" s="40">
        <v>0.32840000000000003</v>
      </c>
      <c r="N102" s="40">
        <v>6</v>
      </c>
      <c r="O102" s="40">
        <v>109</v>
      </c>
      <c r="P102" s="40">
        <v>115</v>
      </c>
      <c r="Q102" s="40">
        <v>0.19700000000000001</v>
      </c>
    </row>
    <row r="103" spans="1:17" x14ac:dyDescent="0.3">
      <c r="A103" s="40">
        <v>102</v>
      </c>
      <c r="B103" s="42">
        <v>40548</v>
      </c>
      <c r="C103" s="40">
        <v>1</v>
      </c>
      <c r="D103" s="40">
        <v>0</v>
      </c>
      <c r="E103" s="40">
        <v>1</v>
      </c>
      <c r="F103" s="40">
        <v>10</v>
      </c>
      <c r="G103" s="40" t="b">
        <v>0</v>
      </c>
      <c r="H103" s="40">
        <v>3</v>
      </c>
      <c r="I103" s="40">
        <v>1</v>
      </c>
      <c r="J103" s="40">
        <v>0.22</v>
      </c>
      <c r="K103" s="40">
        <v>0.19700000000000001</v>
      </c>
      <c r="L103" s="40">
        <v>0.37</v>
      </c>
      <c r="M103" s="40">
        <v>0.32840000000000003</v>
      </c>
      <c r="N103" s="40">
        <v>4</v>
      </c>
      <c r="O103" s="40">
        <v>53</v>
      </c>
      <c r="P103" s="40">
        <v>57</v>
      </c>
      <c r="Q103" s="40">
        <v>0.19700000000000001</v>
      </c>
    </row>
    <row r="104" spans="1:17" x14ac:dyDescent="0.3">
      <c r="A104" s="40">
        <v>103</v>
      </c>
      <c r="B104" s="42">
        <v>40548</v>
      </c>
      <c r="C104" s="40">
        <v>1</v>
      </c>
      <c r="D104" s="40">
        <v>0</v>
      </c>
      <c r="E104" s="40">
        <v>1</v>
      </c>
      <c r="F104" s="40">
        <v>11</v>
      </c>
      <c r="G104" s="40" t="b">
        <v>0</v>
      </c>
      <c r="H104" s="40">
        <v>3</v>
      </c>
      <c r="I104" s="40">
        <v>1</v>
      </c>
      <c r="J104" s="40">
        <v>0.26</v>
      </c>
      <c r="K104" s="40">
        <v>0.2273</v>
      </c>
      <c r="L104" s="40">
        <v>0.33</v>
      </c>
      <c r="M104" s="40">
        <v>0.32840000000000003</v>
      </c>
      <c r="N104" s="40">
        <v>12</v>
      </c>
      <c r="O104" s="40">
        <v>34</v>
      </c>
      <c r="P104" s="40">
        <v>46</v>
      </c>
      <c r="Q104" s="40">
        <v>0.2273</v>
      </c>
    </row>
    <row r="105" spans="1:17" x14ac:dyDescent="0.3">
      <c r="A105" s="40">
        <v>104</v>
      </c>
      <c r="B105" s="42">
        <v>40548</v>
      </c>
      <c r="C105" s="40">
        <v>1</v>
      </c>
      <c r="D105" s="40">
        <v>0</v>
      </c>
      <c r="E105" s="40">
        <v>1</v>
      </c>
      <c r="F105" s="40">
        <v>12</v>
      </c>
      <c r="G105" s="40" t="b">
        <v>0</v>
      </c>
      <c r="H105" s="40">
        <v>3</v>
      </c>
      <c r="I105" s="40">
        <v>1</v>
      </c>
      <c r="J105" s="40">
        <v>0.26</v>
      </c>
      <c r="K105" s="40">
        <v>0.2273</v>
      </c>
      <c r="L105" s="40">
        <v>0.33</v>
      </c>
      <c r="M105" s="40">
        <v>0.32840000000000003</v>
      </c>
      <c r="N105" s="40">
        <v>5</v>
      </c>
      <c r="O105" s="40">
        <v>74</v>
      </c>
      <c r="P105" s="40">
        <v>79</v>
      </c>
      <c r="Q105" s="40">
        <v>0.2273</v>
      </c>
    </row>
    <row r="106" spans="1:17" x14ac:dyDescent="0.3">
      <c r="A106" s="40">
        <v>105</v>
      </c>
      <c r="B106" s="42">
        <v>40548</v>
      </c>
      <c r="C106" s="40">
        <v>1</v>
      </c>
      <c r="D106" s="40">
        <v>0</v>
      </c>
      <c r="E106" s="40">
        <v>1</v>
      </c>
      <c r="F106" s="40">
        <v>13</v>
      </c>
      <c r="G106" s="40" t="b">
        <v>0</v>
      </c>
      <c r="H106" s="40">
        <v>3</v>
      </c>
      <c r="I106" s="40">
        <v>1</v>
      </c>
      <c r="J106" s="40">
        <v>0.28000000000000003</v>
      </c>
      <c r="K106" s="40">
        <v>0.2576</v>
      </c>
      <c r="L106" s="40">
        <v>0.3</v>
      </c>
      <c r="M106" s="40">
        <v>0.29849999999999999</v>
      </c>
      <c r="N106" s="40">
        <v>6</v>
      </c>
      <c r="O106" s="40">
        <v>65</v>
      </c>
      <c r="P106" s="40">
        <v>71</v>
      </c>
      <c r="Q106" s="40">
        <v>0.2576</v>
      </c>
    </row>
    <row r="107" spans="1:17" x14ac:dyDescent="0.3">
      <c r="A107" s="40">
        <v>106</v>
      </c>
      <c r="B107" s="42">
        <v>40548</v>
      </c>
      <c r="C107" s="40">
        <v>1</v>
      </c>
      <c r="D107" s="40">
        <v>0</v>
      </c>
      <c r="E107" s="40">
        <v>1</v>
      </c>
      <c r="F107" s="40">
        <v>14</v>
      </c>
      <c r="G107" s="40" t="b">
        <v>0</v>
      </c>
      <c r="H107" s="40">
        <v>3</v>
      </c>
      <c r="I107" s="40">
        <v>1</v>
      </c>
      <c r="J107" s="40">
        <v>0.3</v>
      </c>
      <c r="K107" s="40">
        <v>0.28789999999999999</v>
      </c>
      <c r="L107" s="40">
        <v>0.28000000000000003</v>
      </c>
      <c r="M107" s="40">
        <v>0.19400000000000001</v>
      </c>
      <c r="N107" s="40">
        <v>10</v>
      </c>
      <c r="O107" s="40">
        <v>52</v>
      </c>
      <c r="P107" s="40">
        <v>62</v>
      </c>
      <c r="Q107" s="40">
        <v>0.28789999999999999</v>
      </c>
    </row>
    <row r="108" spans="1:17" x14ac:dyDescent="0.3">
      <c r="A108" s="40">
        <v>107</v>
      </c>
      <c r="B108" s="42">
        <v>40548</v>
      </c>
      <c r="C108" s="40">
        <v>1</v>
      </c>
      <c r="D108" s="40">
        <v>0</v>
      </c>
      <c r="E108" s="40">
        <v>1</v>
      </c>
      <c r="F108" s="40">
        <v>15</v>
      </c>
      <c r="G108" s="40" t="b">
        <v>0</v>
      </c>
      <c r="H108" s="40">
        <v>3</v>
      </c>
      <c r="I108" s="40">
        <v>1</v>
      </c>
      <c r="J108" s="40">
        <v>0.3</v>
      </c>
      <c r="K108" s="40">
        <v>0.28789999999999999</v>
      </c>
      <c r="L108" s="40">
        <v>0.28000000000000003</v>
      </c>
      <c r="M108" s="40">
        <v>0.19400000000000001</v>
      </c>
      <c r="N108" s="40">
        <v>7</v>
      </c>
      <c r="O108" s="40">
        <v>55</v>
      </c>
      <c r="P108" s="40">
        <v>62</v>
      </c>
      <c r="Q108" s="40">
        <v>0.28789999999999999</v>
      </c>
    </row>
    <row r="109" spans="1:17" x14ac:dyDescent="0.3">
      <c r="A109" s="40">
        <v>108</v>
      </c>
      <c r="B109" s="42">
        <v>40548</v>
      </c>
      <c r="C109" s="40">
        <v>1</v>
      </c>
      <c r="D109" s="40">
        <v>0</v>
      </c>
      <c r="E109" s="40">
        <v>1</v>
      </c>
      <c r="F109" s="40">
        <v>16</v>
      </c>
      <c r="G109" s="40" t="b">
        <v>0</v>
      </c>
      <c r="H109" s="40">
        <v>3</v>
      </c>
      <c r="I109" s="40">
        <v>1</v>
      </c>
      <c r="J109" s="40">
        <v>0.3</v>
      </c>
      <c r="K109" s="40">
        <v>0.31819999999999998</v>
      </c>
      <c r="L109" s="40">
        <v>0.28000000000000003</v>
      </c>
      <c r="M109" s="40">
        <v>8.9599999999999999E-2</v>
      </c>
      <c r="N109" s="40">
        <v>4</v>
      </c>
      <c r="O109" s="40">
        <v>85</v>
      </c>
      <c r="P109" s="40">
        <v>89</v>
      </c>
      <c r="Q109" s="40">
        <v>0.31819999999999998</v>
      </c>
    </row>
    <row r="110" spans="1:17" x14ac:dyDescent="0.3">
      <c r="A110" s="40">
        <v>109</v>
      </c>
      <c r="B110" s="42">
        <v>40548</v>
      </c>
      <c r="C110" s="40">
        <v>1</v>
      </c>
      <c r="D110" s="40">
        <v>0</v>
      </c>
      <c r="E110" s="40">
        <v>1</v>
      </c>
      <c r="F110" s="40">
        <v>17</v>
      </c>
      <c r="G110" s="40" t="b">
        <v>0</v>
      </c>
      <c r="H110" s="40">
        <v>3</v>
      </c>
      <c r="I110" s="40">
        <v>1</v>
      </c>
      <c r="J110" s="40">
        <v>0.24</v>
      </c>
      <c r="K110" s="40">
        <v>0.2273</v>
      </c>
      <c r="L110" s="40">
        <v>0.38</v>
      </c>
      <c r="M110" s="40">
        <v>0.19400000000000001</v>
      </c>
      <c r="N110" s="40">
        <v>4</v>
      </c>
      <c r="O110" s="40">
        <v>186</v>
      </c>
      <c r="P110" s="40">
        <v>190</v>
      </c>
      <c r="Q110" s="40">
        <v>0.2273</v>
      </c>
    </row>
    <row r="111" spans="1:17" x14ac:dyDescent="0.3">
      <c r="A111" s="40">
        <v>110</v>
      </c>
      <c r="B111" s="42">
        <v>40548</v>
      </c>
      <c r="C111" s="40">
        <v>1</v>
      </c>
      <c r="D111" s="40">
        <v>0</v>
      </c>
      <c r="E111" s="40">
        <v>1</v>
      </c>
      <c r="F111" s="40">
        <v>18</v>
      </c>
      <c r="G111" s="40" t="b">
        <v>0</v>
      </c>
      <c r="H111" s="40">
        <v>3</v>
      </c>
      <c r="I111" s="40">
        <v>1</v>
      </c>
      <c r="J111" s="40">
        <v>0.24</v>
      </c>
      <c r="K111" s="40">
        <v>0.2424</v>
      </c>
      <c r="L111" s="40">
        <v>0.38</v>
      </c>
      <c r="M111" s="40">
        <v>0.1343</v>
      </c>
      <c r="N111" s="40">
        <v>3</v>
      </c>
      <c r="O111" s="40">
        <v>166</v>
      </c>
      <c r="P111" s="40">
        <v>169</v>
      </c>
      <c r="Q111" s="40">
        <v>0.2424</v>
      </c>
    </row>
    <row r="112" spans="1:17" x14ac:dyDescent="0.3">
      <c r="A112" s="40">
        <v>111</v>
      </c>
      <c r="B112" s="42">
        <v>40548</v>
      </c>
      <c r="C112" s="40">
        <v>1</v>
      </c>
      <c r="D112" s="40">
        <v>0</v>
      </c>
      <c r="E112" s="40">
        <v>1</v>
      </c>
      <c r="F112" s="40">
        <v>19</v>
      </c>
      <c r="G112" s="40" t="b">
        <v>0</v>
      </c>
      <c r="H112" s="40">
        <v>3</v>
      </c>
      <c r="I112" s="40">
        <v>1</v>
      </c>
      <c r="J112" s="40">
        <v>0.24</v>
      </c>
      <c r="K112" s="40">
        <v>0.2576</v>
      </c>
      <c r="L112" s="40">
        <v>0.38</v>
      </c>
      <c r="M112" s="40">
        <v>0.1045</v>
      </c>
      <c r="N112" s="40">
        <v>5</v>
      </c>
      <c r="O112" s="40">
        <v>127</v>
      </c>
      <c r="P112" s="40">
        <v>132</v>
      </c>
      <c r="Q112" s="40">
        <v>0.2576</v>
      </c>
    </row>
    <row r="113" spans="1:17" x14ac:dyDescent="0.3">
      <c r="A113" s="40">
        <v>112</v>
      </c>
      <c r="B113" s="42">
        <v>40548</v>
      </c>
      <c r="C113" s="40">
        <v>1</v>
      </c>
      <c r="D113" s="40">
        <v>0</v>
      </c>
      <c r="E113" s="40">
        <v>1</v>
      </c>
      <c r="F113" s="40">
        <v>20</v>
      </c>
      <c r="G113" s="40" t="b">
        <v>0</v>
      </c>
      <c r="H113" s="40">
        <v>3</v>
      </c>
      <c r="I113" s="40">
        <v>1</v>
      </c>
      <c r="J113" s="40">
        <v>0.22</v>
      </c>
      <c r="K113" s="40">
        <v>0.2273</v>
      </c>
      <c r="L113" s="40">
        <v>0.47</v>
      </c>
      <c r="M113" s="40">
        <v>0.16420000000000001</v>
      </c>
      <c r="N113" s="40">
        <v>7</v>
      </c>
      <c r="O113" s="40">
        <v>82</v>
      </c>
      <c r="P113" s="40">
        <v>89</v>
      </c>
      <c r="Q113" s="40">
        <v>0.2273</v>
      </c>
    </row>
    <row r="114" spans="1:17" x14ac:dyDescent="0.3">
      <c r="A114" s="40">
        <v>113</v>
      </c>
      <c r="B114" s="42">
        <v>40548</v>
      </c>
      <c r="C114" s="40">
        <v>1</v>
      </c>
      <c r="D114" s="40">
        <v>0</v>
      </c>
      <c r="E114" s="40">
        <v>1</v>
      </c>
      <c r="F114" s="40">
        <v>21</v>
      </c>
      <c r="G114" s="40" t="b">
        <v>0</v>
      </c>
      <c r="H114" s="40">
        <v>3</v>
      </c>
      <c r="I114" s="40">
        <v>1</v>
      </c>
      <c r="J114" s="40">
        <v>0.2</v>
      </c>
      <c r="K114" s="40">
        <v>0.19700000000000001</v>
      </c>
      <c r="L114" s="40">
        <v>0.51</v>
      </c>
      <c r="M114" s="40">
        <v>0.19400000000000001</v>
      </c>
      <c r="N114" s="40">
        <v>3</v>
      </c>
      <c r="O114" s="40">
        <v>40</v>
      </c>
      <c r="P114" s="40">
        <v>43</v>
      </c>
      <c r="Q114" s="40">
        <v>0.19700000000000001</v>
      </c>
    </row>
    <row r="115" spans="1:17" x14ac:dyDescent="0.3">
      <c r="A115" s="40">
        <v>114</v>
      </c>
      <c r="B115" s="42">
        <v>40548</v>
      </c>
      <c r="C115" s="40">
        <v>1</v>
      </c>
      <c r="D115" s="40">
        <v>0</v>
      </c>
      <c r="E115" s="40">
        <v>1</v>
      </c>
      <c r="F115" s="40">
        <v>22</v>
      </c>
      <c r="G115" s="40" t="b">
        <v>0</v>
      </c>
      <c r="H115" s="40">
        <v>3</v>
      </c>
      <c r="I115" s="40">
        <v>1</v>
      </c>
      <c r="J115" s="40">
        <v>0.18</v>
      </c>
      <c r="K115" s="40">
        <v>0.19700000000000001</v>
      </c>
      <c r="L115" s="40">
        <v>0.55000000000000004</v>
      </c>
      <c r="M115" s="40">
        <v>0.1343</v>
      </c>
      <c r="N115" s="40">
        <v>1</v>
      </c>
      <c r="O115" s="40">
        <v>41</v>
      </c>
      <c r="P115" s="40">
        <v>42</v>
      </c>
      <c r="Q115" s="40">
        <v>0.19700000000000001</v>
      </c>
    </row>
    <row r="116" spans="1:17" x14ac:dyDescent="0.3">
      <c r="A116" s="40">
        <v>115</v>
      </c>
      <c r="B116" s="42">
        <v>40548</v>
      </c>
      <c r="C116" s="40">
        <v>1</v>
      </c>
      <c r="D116" s="40">
        <v>0</v>
      </c>
      <c r="E116" s="40">
        <v>1</v>
      </c>
      <c r="F116" s="40">
        <v>23</v>
      </c>
      <c r="G116" s="40" t="b">
        <v>0</v>
      </c>
      <c r="H116" s="40">
        <v>3</v>
      </c>
      <c r="I116" s="40">
        <v>1</v>
      </c>
      <c r="J116" s="40">
        <v>0.2</v>
      </c>
      <c r="K116" s="40">
        <v>0.2576</v>
      </c>
      <c r="L116" s="40">
        <v>0.47</v>
      </c>
      <c r="M116" s="40">
        <v>0.20485098360655737</v>
      </c>
      <c r="N116" s="40">
        <v>1</v>
      </c>
      <c r="O116" s="40">
        <v>18</v>
      </c>
      <c r="P116" s="40">
        <v>19</v>
      </c>
      <c r="Q116" s="40">
        <v>0.2576</v>
      </c>
    </row>
    <row r="117" spans="1:17" x14ac:dyDescent="0.3">
      <c r="A117" s="40">
        <v>116</v>
      </c>
      <c r="B117" s="42">
        <v>40549</v>
      </c>
      <c r="C117" s="40">
        <v>1</v>
      </c>
      <c r="D117" s="40">
        <v>0</v>
      </c>
      <c r="E117" s="40">
        <v>1</v>
      </c>
      <c r="F117" s="40">
        <v>0</v>
      </c>
      <c r="G117" s="40" t="b">
        <v>0</v>
      </c>
      <c r="H117" s="40">
        <v>4</v>
      </c>
      <c r="I117" s="40">
        <v>1</v>
      </c>
      <c r="J117" s="40">
        <v>0.18</v>
      </c>
      <c r="K117" s="40">
        <v>0.2424</v>
      </c>
      <c r="L117" s="40">
        <v>0.55000000000000004</v>
      </c>
      <c r="M117" s="40">
        <v>0.20485098360655737</v>
      </c>
      <c r="N117" s="40">
        <v>0</v>
      </c>
      <c r="O117" s="40">
        <v>11</v>
      </c>
      <c r="P117" s="40">
        <v>11</v>
      </c>
      <c r="Q117" s="40">
        <v>0.2424</v>
      </c>
    </row>
    <row r="118" spans="1:17" x14ac:dyDescent="0.3">
      <c r="A118" s="40">
        <v>117</v>
      </c>
      <c r="B118" s="42">
        <v>40549</v>
      </c>
      <c r="C118" s="40">
        <v>1</v>
      </c>
      <c r="D118" s="40">
        <v>0</v>
      </c>
      <c r="E118" s="40">
        <v>1</v>
      </c>
      <c r="F118" s="40">
        <v>1</v>
      </c>
      <c r="G118" s="40" t="b">
        <v>0</v>
      </c>
      <c r="H118" s="40">
        <v>4</v>
      </c>
      <c r="I118" s="40">
        <v>1</v>
      </c>
      <c r="J118" s="40">
        <v>0.16</v>
      </c>
      <c r="K118" s="40">
        <v>0.2273</v>
      </c>
      <c r="L118" s="40">
        <v>0.64</v>
      </c>
      <c r="M118" s="40">
        <v>0.20485098360655737</v>
      </c>
      <c r="N118" s="40">
        <v>0</v>
      </c>
      <c r="O118" s="40">
        <v>4</v>
      </c>
      <c r="P118" s="40">
        <v>4</v>
      </c>
      <c r="Q118" s="40">
        <v>0.2273</v>
      </c>
    </row>
    <row r="119" spans="1:17" x14ac:dyDescent="0.3">
      <c r="A119" s="40">
        <v>118</v>
      </c>
      <c r="B119" s="42">
        <v>40549</v>
      </c>
      <c r="C119" s="40">
        <v>1</v>
      </c>
      <c r="D119" s="40">
        <v>0</v>
      </c>
      <c r="E119" s="40">
        <v>1</v>
      </c>
      <c r="F119" s="40">
        <v>2</v>
      </c>
      <c r="G119" s="40" t="b">
        <v>0</v>
      </c>
      <c r="H119" s="40">
        <v>4</v>
      </c>
      <c r="I119" s="40">
        <v>1</v>
      </c>
      <c r="J119" s="40">
        <v>0.16</v>
      </c>
      <c r="K119" s="40">
        <v>0.2273</v>
      </c>
      <c r="L119" s="40">
        <v>0.64</v>
      </c>
      <c r="M119" s="40">
        <v>0.20485098360655737</v>
      </c>
      <c r="N119" s="40">
        <v>0</v>
      </c>
      <c r="O119" s="40">
        <v>2</v>
      </c>
      <c r="P119" s="40">
        <v>2</v>
      </c>
      <c r="Q119" s="40">
        <v>0.2273</v>
      </c>
    </row>
    <row r="120" spans="1:17" x14ac:dyDescent="0.3">
      <c r="A120" s="40">
        <v>119</v>
      </c>
      <c r="B120" s="42">
        <v>40549</v>
      </c>
      <c r="C120" s="40">
        <v>1</v>
      </c>
      <c r="D120" s="40">
        <v>0</v>
      </c>
      <c r="E120" s="40">
        <v>1</v>
      </c>
      <c r="F120" s="40">
        <v>4</v>
      </c>
      <c r="G120" s="40" t="b">
        <v>0</v>
      </c>
      <c r="H120" s="40">
        <v>4</v>
      </c>
      <c r="I120" s="40">
        <v>2</v>
      </c>
      <c r="J120" s="40">
        <v>0.16</v>
      </c>
      <c r="K120" s="40">
        <v>0.19700000000000001</v>
      </c>
      <c r="L120" s="40">
        <v>0.64</v>
      </c>
      <c r="M120" s="40">
        <v>8.9599999999999999E-2</v>
      </c>
      <c r="N120" s="40">
        <v>0</v>
      </c>
      <c r="O120" s="40">
        <v>1</v>
      </c>
      <c r="P120" s="40">
        <v>1</v>
      </c>
      <c r="Q120" s="40">
        <v>0.19700000000000001</v>
      </c>
    </row>
    <row r="121" spans="1:17" x14ac:dyDescent="0.3">
      <c r="A121" s="40">
        <v>120</v>
      </c>
      <c r="B121" s="42">
        <v>40549</v>
      </c>
      <c r="C121" s="40">
        <v>1</v>
      </c>
      <c r="D121" s="40">
        <v>0</v>
      </c>
      <c r="E121" s="40">
        <v>1</v>
      </c>
      <c r="F121" s="40">
        <v>5</v>
      </c>
      <c r="G121" s="40" t="b">
        <v>0</v>
      </c>
      <c r="H121" s="40">
        <v>4</v>
      </c>
      <c r="I121" s="40">
        <v>2</v>
      </c>
      <c r="J121" s="40">
        <v>0.14000000000000001</v>
      </c>
      <c r="K121" s="40">
        <v>0.18179999999999999</v>
      </c>
      <c r="L121" s="40">
        <v>0.69</v>
      </c>
      <c r="M121" s="40">
        <v>8.9599999999999999E-2</v>
      </c>
      <c r="N121" s="40">
        <v>0</v>
      </c>
      <c r="O121" s="40">
        <v>4</v>
      </c>
      <c r="P121" s="40">
        <v>4</v>
      </c>
      <c r="Q121" s="40">
        <v>0.18179999999999999</v>
      </c>
    </row>
    <row r="122" spans="1:17" x14ac:dyDescent="0.3">
      <c r="A122" s="40">
        <v>121</v>
      </c>
      <c r="B122" s="42">
        <v>40549</v>
      </c>
      <c r="C122" s="40">
        <v>1</v>
      </c>
      <c r="D122" s="40">
        <v>0</v>
      </c>
      <c r="E122" s="40">
        <v>1</v>
      </c>
      <c r="F122" s="40">
        <v>6</v>
      </c>
      <c r="G122" s="40" t="b">
        <v>0</v>
      </c>
      <c r="H122" s="40">
        <v>4</v>
      </c>
      <c r="I122" s="40">
        <v>2</v>
      </c>
      <c r="J122" s="40">
        <v>0.14000000000000001</v>
      </c>
      <c r="K122" s="40">
        <v>0.16669999999999999</v>
      </c>
      <c r="L122" s="40">
        <v>0.63</v>
      </c>
      <c r="M122" s="40">
        <v>0.1045</v>
      </c>
      <c r="N122" s="40">
        <v>0</v>
      </c>
      <c r="O122" s="40">
        <v>36</v>
      </c>
      <c r="P122" s="40">
        <v>36</v>
      </c>
      <c r="Q122" s="40">
        <v>0.16669999999999999</v>
      </c>
    </row>
    <row r="123" spans="1:17" x14ac:dyDescent="0.3">
      <c r="A123" s="40">
        <v>122</v>
      </c>
      <c r="B123" s="42">
        <v>40549</v>
      </c>
      <c r="C123" s="40">
        <v>1</v>
      </c>
      <c r="D123" s="40">
        <v>0</v>
      </c>
      <c r="E123" s="40">
        <v>1</v>
      </c>
      <c r="F123" s="40">
        <v>7</v>
      </c>
      <c r="G123" s="40" t="b">
        <v>0</v>
      </c>
      <c r="H123" s="40">
        <v>4</v>
      </c>
      <c r="I123" s="40">
        <v>2</v>
      </c>
      <c r="J123" s="40">
        <v>0.16</v>
      </c>
      <c r="K123" s="40">
        <v>0.2273</v>
      </c>
      <c r="L123" s="40">
        <v>0.59</v>
      </c>
      <c r="M123" s="40">
        <v>0.20485098360655737</v>
      </c>
      <c r="N123" s="40">
        <v>0</v>
      </c>
      <c r="O123" s="40">
        <v>95</v>
      </c>
      <c r="P123" s="40">
        <v>95</v>
      </c>
      <c r="Q123" s="40">
        <v>0.2273</v>
      </c>
    </row>
    <row r="124" spans="1:17" x14ac:dyDescent="0.3">
      <c r="A124" s="40">
        <v>123</v>
      </c>
      <c r="B124" s="42">
        <v>40549</v>
      </c>
      <c r="C124" s="40">
        <v>1</v>
      </c>
      <c r="D124" s="40">
        <v>0</v>
      </c>
      <c r="E124" s="40">
        <v>1</v>
      </c>
      <c r="F124" s="40">
        <v>8</v>
      </c>
      <c r="G124" s="40" t="b">
        <v>0</v>
      </c>
      <c r="H124" s="40">
        <v>4</v>
      </c>
      <c r="I124" s="40">
        <v>1</v>
      </c>
      <c r="J124" s="40">
        <v>0.16</v>
      </c>
      <c r="K124" s="40">
        <v>0.2273</v>
      </c>
      <c r="L124" s="40">
        <v>0.59</v>
      </c>
      <c r="M124" s="40">
        <v>0.20485098360655737</v>
      </c>
      <c r="N124" s="40">
        <v>3</v>
      </c>
      <c r="O124" s="40">
        <v>216</v>
      </c>
      <c r="P124" s="40">
        <v>219</v>
      </c>
      <c r="Q124" s="40">
        <v>0.2273</v>
      </c>
    </row>
    <row r="125" spans="1:17" x14ac:dyDescent="0.3">
      <c r="A125" s="40">
        <v>124</v>
      </c>
      <c r="B125" s="42">
        <v>40549</v>
      </c>
      <c r="C125" s="40">
        <v>1</v>
      </c>
      <c r="D125" s="40">
        <v>0</v>
      </c>
      <c r="E125" s="40">
        <v>1</v>
      </c>
      <c r="F125" s="40">
        <v>9</v>
      </c>
      <c r="G125" s="40" t="b">
        <v>0</v>
      </c>
      <c r="H125" s="40">
        <v>4</v>
      </c>
      <c r="I125" s="40">
        <v>2</v>
      </c>
      <c r="J125" s="40">
        <v>0.18</v>
      </c>
      <c r="K125" s="40">
        <v>0.2424</v>
      </c>
      <c r="L125" s="40">
        <v>0.51</v>
      </c>
      <c r="M125" s="40">
        <v>0.20485098360655737</v>
      </c>
      <c r="N125" s="40">
        <v>6</v>
      </c>
      <c r="O125" s="40">
        <v>116</v>
      </c>
      <c r="P125" s="40">
        <v>122</v>
      </c>
      <c r="Q125" s="40">
        <v>0.2424</v>
      </c>
    </row>
    <row r="126" spans="1:17" x14ac:dyDescent="0.3">
      <c r="A126" s="40">
        <v>125</v>
      </c>
      <c r="B126" s="42">
        <v>40549</v>
      </c>
      <c r="C126" s="40">
        <v>1</v>
      </c>
      <c r="D126" s="40">
        <v>0</v>
      </c>
      <c r="E126" s="40">
        <v>1</v>
      </c>
      <c r="F126" s="40">
        <v>10</v>
      </c>
      <c r="G126" s="40" t="b">
        <v>0</v>
      </c>
      <c r="H126" s="40">
        <v>4</v>
      </c>
      <c r="I126" s="40">
        <v>1</v>
      </c>
      <c r="J126" s="40">
        <v>0.2</v>
      </c>
      <c r="K126" s="40">
        <v>0.2576</v>
      </c>
      <c r="L126" s="40">
        <v>0.47</v>
      </c>
      <c r="M126" s="40">
        <v>0.20485098360655737</v>
      </c>
      <c r="N126" s="40">
        <v>3</v>
      </c>
      <c r="O126" s="40">
        <v>42</v>
      </c>
      <c r="P126" s="40">
        <v>45</v>
      </c>
      <c r="Q126" s="40">
        <v>0.2576</v>
      </c>
    </row>
    <row r="127" spans="1:17" x14ac:dyDescent="0.3">
      <c r="A127" s="40">
        <v>126</v>
      </c>
      <c r="B127" s="42">
        <v>40549</v>
      </c>
      <c r="C127" s="40">
        <v>1</v>
      </c>
      <c r="D127" s="40">
        <v>0</v>
      </c>
      <c r="E127" s="40">
        <v>1</v>
      </c>
      <c r="F127" s="40">
        <v>11</v>
      </c>
      <c r="G127" s="40" t="b">
        <v>0</v>
      </c>
      <c r="H127" s="40">
        <v>4</v>
      </c>
      <c r="I127" s="40">
        <v>1</v>
      </c>
      <c r="J127" s="40">
        <v>0.22</v>
      </c>
      <c r="K127" s="40">
        <v>0.2576</v>
      </c>
      <c r="L127" s="40">
        <v>0.44</v>
      </c>
      <c r="M127" s="40">
        <v>8.9599999999999999E-2</v>
      </c>
      <c r="N127" s="40">
        <v>2</v>
      </c>
      <c r="O127" s="40">
        <v>57</v>
      </c>
      <c r="P127" s="40">
        <v>59</v>
      </c>
      <c r="Q127" s="40">
        <v>0.2576</v>
      </c>
    </row>
    <row r="128" spans="1:17" x14ac:dyDescent="0.3">
      <c r="A128" s="40">
        <v>127</v>
      </c>
      <c r="B128" s="42">
        <v>40549</v>
      </c>
      <c r="C128" s="40">
        <v>1</v>
      </c>
      <c r="D128" s="40">
        <v>0</v>
      </c>
      <c r="E128" s="40">
        <v>1</v>
      </c>
      <c r="F128" s="40">
        <v>12</v>
      </c>
      <c r="G128" s="40" t="b">
        <v>0</v>
      </c>
      <c r="H128" s="40">
        <v>4</v>
      </c>
      <c r="I128" s="40">
        <v>1</v>
      </c>
      <c r="J128" s="40">
        <v>0.26</v>
      </c>
      <c r="K128" s="40">
        <v>0.28789999999999999</v>
      </c>
      <c r="L128" s="40">
        <v>0.35</v>
      </c>
      <c r="M128" s="40">
        <v>0.20485098360655737</v>
      </c>
      <c r="N128" s="40">
        <v>6</v>
      </c>
      <c r="O128" s="40">
        <v>78</v>
      </c>
      <c r="P128" s="40">
        <v>84</v>
      </c>
      <c r="Q128" s="40">
        <v>0.28789999999999999</v>
      </c>
    </row>
    <row r="129" spans="1:17" x14ac:dyDescent="0.3">
      <c r="A129" s="40">
        <v>128</v>
      </c>
      <c r="B129" s="42">
        <v>40549</v>
      </c>
      <c r="C129" s="40">
        <v>1</v>
      </c>
      <c r="D129" s="40">
        <v>0</v>
      </c>
      <c r="E129" s="40">
        <v>1</v>
      </c>
      <c r="F129" s="40">
        <v>13</v>
      </c>
      <c r="G129" s="40" t="b">
        <v>0</v>
      </c>
      <c r="H129" s="40">
        <v>4</v>
      </c>
      <c r="I129" s="40">
        <v>1</v>
      </c>
      <c r="J129" s="40">
        <v>0.26</v>
      </c>
      <c r="K129" s="40">
        <v>0.2727</v>
      </c>
      <c r="L129" s="40">
        <v>0.35</v>
      </c>
      <c r="M129" s="40">
        <v>0.1045</v>
      </c>
      <c r="N129" s="40">
        <v>12</v>
      </c>
      <c r="O129" s="40">
        <v>55</v>
      </c>
      <c r="P129" s="40">
        <v>67</v>
      </c>
      <c r="Q129" s="40">
        <v>0.2727</v>
      </c>
    </row>
    <row r="130" spans="1:17" x14ac:dyDescent="0.3">
      <c r="A130" s="40">
        <v>129</v>
      </c>
      <c r="B130" s="42">
        <v>40549</v>
      </c>
      <c r="C130" s="40">
        <v>1</v>
      </c>
      <c r="D130" s="40">
        <v>0</v>
      </c>
      <c r="E130" s="40">
        <v>1</v>
      </c>
      <c r="F130" s="40">
        <v>14</v>
      </c>
      <c r="G130" s="40" t="b">
        <v>0</v>
      </c>
      <c r="H130" s="40">
        <v>4</v>
      </c>
      <c r="I130" s="40">
        <v>1</v>
      </c>
      <c r="J130" s="40">
        <v>0.28000000000000003</v>
      </c>
      <c r="K130" s="40">
        <v>0.2727</v>
      </c>
      <c r="L130" s="40">
        <v>0.36</v>
      </c>
      <c r="M130" s="40">
        <v>0.16420000000000001</v>
      </c>
      <c r="N130" s="40">
        <v>11</v>
      </c>
      <c r="O130" s="40">
        <v>59</v>
      </c>
      <c r="P130" s="40">
        <v>70</v>
      </c>
      <c r="Q130" s="40">
        <v>0.2727</v>
      </c>
    </row>
    <row r="131" spans="1:17" x14ac:dyDescent="0.3">
      <c r="A131" s="40">
        <v>130</v>
      </c>
      <c r="B131" s="42">
        <v>40549</v>
      </c>
      <c r="C131" s="40">
        <v>1</v>
      </c>
      <c r="D131" s="40">
        <v>0</v>
      </c>
      <c r="E131" s="40">
        <v>1</v>
      </c>
      <c r="F131" s="40">
        <v>15</v>
      </c>
      <c r="G131" s="40" t="b">
        <v>0</v>
      </c>
      <c r="H131" s="40">
        <v>4</v>
      </c>
      <c r="I131" s="40">
        <v>1</v>
      </c>
      <c r="J131" s="40">
        <v>0.28000000000000003</v>
      </c>
      <c r="K131" s="40">
        <v>0.2727</v>
      </c>
      <c r="L131" s="40">
        <v>0.36</v>
      </c>
      <c r="M131" s="40">
        <v>0.20485098360655737</v>
      </c>
      <c r="N131" s="40">
        <v>8</v>
      </c>
      <c r="O131" s="40">
        <v>54</v>
      </c>
      <c r="P131" s="40">
        <v>62</v>
      </c>
      <c r="Q131" s="40">
        <v>0.2727</v>
      </c>
    </row>
    <row r="132" spans="1:17" x14ac:dyDescent="0.3">
      <c r="A132" s="40">
        <v>131</v>
      </c>
      <c r="B132" s="42">
        <v>40549</v>
      </c>
      <c r="C132" s="40">
        <v>1</v>
      </c>
      <c r="D132" s="40">
        <v>0</v>
      </c>
      <c r="E132" s="40">
        <v>1</v>
      </c>
      <c r="F132" s="40">
        <v>16</v>
      </c>
      <c r="G132" s="40" t="b">
        <v>0</v>
      </c>
      <c r="H132" s="40">
        <v>4</v>
      </c>
      <c r="I132" s="40">
        <v>1</v>
      </c>
      <c r="J132" s="40">
        <v>0.26</v>
      </c>
      <c r="K132" s="40">
        <v>0.2576</v>
      </c>
      <c r="L132" s="40">
        <v>0.38</v>
      </c>
      <c r="M132" s="40">
        <v>0.16420000000000001</v>
      </c>
      <c r="N132" s="40">
        <v>12</v>
      </c>
      <c r="O132" s="40">
        <v>74</v>
      </c>
      <c r="P132" s="40">
        <v>86</v>
      </c>
      <c r="Q132" s="40">
        <v>0.2576</v>
      </c>
    </row>
    <row r="133" spans="1:17" x14ac:dyDescent="0.3">
      <c r="A133" s="40">
        <v>132</v>
      </c>
      <c r="B133" s="42">
        <v>40549</v>
      </c>
      <c r="C133" s="40">
        <v>1</v>
      </c>
      <c r="D133" s="40">
        <v>0</v>
      </c>
      <c r="E133" s="40">
        <v>1</v>
      </c>
      <c r="F133" s="40">
        <v>17</v>
      </c>
      <c r="G133" s="40" t="b">
        <v>0</v>
      </c>
      <c r="H133" s="40">
        <v>4</v>
      </c>
      <c r="I133" s="40">
        <v>1</v>
      </c>
      <c r="J133" s="40">
        <v>0.22</v>
      </c>
      <c r="K133" s="40">
        <v>0.2273</v>
      </c>
      <c r="L133" s="40">
        <v>0.51</v>
      </c>
      <c r="M133" s="40">
        <v>0.16420000000000001</v>
      </c>
      <c r="N133" s="40">
        <v>9</v>
      </c>
      <c r="O133" s="40">
        <v>163</v>
      </c>
      <c r="P133" s="40">
        <v>172</v>
      </c>
      <c r="Q133" s="40">
        <v>0.2273</v>
      </c>
    </row>
    <row r="134" spans="1:17" x14ac:dyDescent="0.3">
      <c r="A134" s="40">
        <v>133</v>
      </c>
      <c r="B134" s="42">
        <v>40549</v>
      </c>
      <c r="C134" s="40">
        <v>1</v>
      </c>
      <c r="D134" s="40">
        <v>0</v>
      </c>
      <c r="E134" s="40">
        <v>1</v>
      </c>
      <c r="F134" s="40">
        <v>18</v>
      </c>
      <c r="G134" s="40" t="b">
        <v>0</v>
      </c>
      <c r="H134" s="40">
        <v>4</v>
      </c>
      <c r="I134" s="40">
        <v>1</v>
      </c>
      <c r="J134" s="40">
        <v>0.22</v>
      </c>
      <c r="K134" s="40">
        <v>0.2273</v>
      </c>
      <c r="L134" s="40">
        <v>0.51</v>
      </c>
      <c r="M134" s="40">
        <v>0.1343</v>
      </c>
      <c r="N134" s="40">
        <v>5</v>
      </c>
      <c r="O134" s="40">
        <v>158</v>
      </c>
      <c r="P134" s="40">
        <v>163</v>
      </c>
      <c r="Q134" s="40">
        <v>0.2273</v>
      </c>
    </row>
    <row r="135" spans="1:17" x14ac:dyDescent="0.3">
      <c r="A135" s="40">
        <v>134</v>
      </c>
      <c r="B135" s="42">
        <v>40549</v>
      </c>
      <c r="C135" s="40">
        <v>1</v>
      </c>
      <c r="D135" s="40">
        <v>0</v>
      </c>
      <c r="E135" s="40">
        <v>1</v>
      </c>
      <c r="F135" s="40">
        <v>19</v>
      </c>
      <c r="G135" s="40" t="b">
        <v>0</v>
      </c>
      <c r="H135" s="40">
        <v>4</v>
      </c>
      <c r="I135" s="40">
        <v>1</v>
      </c>
      <c r="J135" s="40">
        <v>0.22</v>
      </c>
      <c r="K135" s="40">
        <v>0.2576</v>
      </c>
      <c r="L135" s="40">
        <v>0.55000000000000004</v>
      </c>
      <c r="M135" s="40">
        <v>8.9599999999999999E-2</v>
      </c>
      <c r="N135" s="40">
        <v>3</v>
      </c>
      <c r="O135" s="40">
        <v>109</v>
      </c>
      <c r="P135" s="40">
        <v>112</v>
      </c>
      <c r="Q135" s="40">
        <v>0.2576</v>
      </c>
    </row>
    <row r="136" spans="1:17" x14ac:dyDescent="0.3">
      <c r="A136" s="40">
        <v>135</v>
      </c>
      <c r="B136" s="42">
        <v>40549</v>
      </c>
      <c r="C136" s="40">
        <v>1</v>
      </c>
      <c r="D136" s="40">
        <v>0</v>
      </c>
      <c r="E136" s="40">
        <v>1</v>
      </c>
      <c r="F136" s="40">
        <v>20</v>
      </c>
      <c r="G136" s="40" t="b">
        <v>0</v>
      </c>
      <c r="H136" s="40">
        <v>4</v>
      </c>
      <c r="I136" s="40">
        <v>1</v>
      </c>
      <c r="J136" s="40">
        <v>0.2</v>
      </c>
      <c r="K136" s="40">
        <v>0.21210000000000001</v>
      </c>
      <c r="L136" s="40">
        <v>0.51</v>
      </c>
      <c r="M136" s="40">
        <v>0.16420000000000001</v>
      </c>
      <c r="N136" s="40">
        <v>3</v>
      </c>
      <c r="O136" s="40">
        <v>66</v>
      </c>
      <c r="P136" s="40">
        <v>69</v>
      </c>
      <c r="Q136" s="40">
        <v>0.21210000000000001</v>
      </c>
    </row>
    <row r="137" spans="1:17" x14ac:dyDescent="0.3">
      <c r="A137" s="40">
        <v>136</v>
      </c>
      <c r="B137" s="42">
        <v>40549</v>
      </c>
      <c r="C137" s="40">
        <v>1</v>
      </c>
      <c r="D137" s="40">
        <v>0</v>
      </c>
      <c r="E137" s="40">
        <v>1</v>
      </c>
      <c r="F137" s="40">
        <v>21</v>
      </c>
      <c r="G137" s="40" t="b">
        <v>0</v>
      </c>
      <c r="H137" s="40">
        <v>4</v>
      </c>
      <c r="I137" s="40">
        <v>2</v>
      </c>
      <c r="J137" s="40">
        <v>0.22</v>
      </c>
      <c r="K137" s="40">
        <v>0.21210000000000001</v>
      </c>
      <c r="L137" s="40">
        <v>0.55000000000000004</v>
      </c>
      <c r="M137" s="40">
        <v>0.22389999999999999</v>
      </c>
      <c r="N137" s="40">
        <v>0</v>
      </c>
      <c r="O137" s="40">
        <v>48</v>
      </c>
      <c r="P137" s="40">
        <v>48</v>
      </c>
      <c r="Q137" s="40">
        <v>0.21210000000000001</v>
      </c>
    </row>
    <row r="138" spans="1:17" x14ac:dyDescent="0.3">
      <c r="A138" s="40">
        <v>137</v>
      </c>
      <c r="B138" s="42">
        <v>40549</v>
      </c>
      <c r="C138" s="40">
        <v>1</v>
      </c>
      <c r="D138" s="40">
        <v>0</v>
      </c>
      <c r="E138" s="40">
        <v>1</v>
      </c>
      <c r="F138" s="40">
        <v>22</v>
      </c>
      <c r="G138" s="40" t="b">
        <v>0</v>
      </c>
      <c r="H138" s="40">
        <v>4</v>
      </c>
      <c r="I138" s="40">
        <v>2</v>
      </c>
      <c r="J138" s="40">
        <v>0.22</v>
      </c>
      <c r="K138" s="40">
        <v>0.21210000000000001</v>
      </c>
      <c r="L138" s="40">
        <v>0.51</v>
      </c>
      <c r="M138" s="40">
        <v>0.28360000000000002</v>
      </c>
      <c r="N138" s="40">
        <v>1</v>
      </c>
      <c r="O138" s="40">
        <v>51</v>
      </c>
      <c r="P138" s="40">
        <v>52</v>
      </c>
      <c r="Q138" s="40">
        <v>0.21210000000000001</v>
      </c>
    </row>
    <row r="139" spans="1:17" x14ac:dyDescent="0.3">
      <c r="A139" s="40">
        <v>138</v>
      </c>
      <c r="B139" s="42">
        <v>40549</v>
      </c>
      <c r="C139" s="40">
        <v>1</v>
      </c>
      <c r="D139" s="40">
        <v>0</v>
      </c>
      <c r="E139" s="40">
        <v>1</v>
      </c>
      <c r="F139" s="40">
        <v>23</v>
      </c>
      <c r="G139" s="40" t="b">
        <v>0</v>
      </c>
      <c r="H139" s="40">
        <v>4</v>
      </c>
      <c r="I139" s="40">
        <v>2</v>
      </c>
      <c r="J139" s="40">
        <v>0.2</v>
      </c>
      <c r="K139" s="40">
        <v>0.19700000000000001</v>
      </c>
      <c r="L139" s="40">
        <v>0.59</v>
      </c>
      <c r="M139" s="40">
        <v>0.19400000000000001</v>
      </c>
      <c r="N139" s="40">
        <v>4</v>
      </c>
      <c r="O139" s="40">
        <v>19</v>
      </c>
      <c r="P139" s="40">
        <v>23</v>
      </c>
      <c r="Q139" s="40">
        <v>0.19700000000000001</v>
      </c>
    </row>
    <row r="140" spans="1:17" x14ac:dyDescent="0.3">
      <c r="A140" s="40">
        <v>139</v>
      </c>
      <c r="B140" s="42">
        <v>40550</v>
      </c>
      <c r="C140" s="40">
        <v>1</v>
      </c>
      <c r="D140" s="40">
        <v>0</v>
      </c>
      <c r="E140" s="40">
        <v>1</v>
      </c>
      <c r="F140" s="40">
        <v>0</v>
      </c>
      <c r="G140" s="40" t="b">
        <v>0</v>
      </c>
      <c r="H140" s="40">
        <v>5</v>
      </c>
      <c r="I140" s="40">
        <v>2</v>
      </c>
      <c r="J140" s="40">
        <v>0.2</v>
      </c>
      <c r="K140" s="40">
        <v>0.19700000000000001</v>
      </c>
      <c r="L140" s="40">
        <v>0.64</v>
      </c>
      <c r="M140" s="40">
        <v>0.19400000000000001</v>
      </c>
      <c r="N140" s="40">
        <v>4</v>
      </c>
      <c r="O140" s="40">
        <v>13</v>
      </c>
      <c r="P140" s="40">
        <v>17</v>
      </c>
      <c r="Q140" s="40">
        <v>0.19700000000000001</v>
      </c>
    </row>
    <row r="141" spans="1:17" x14ac:dyDescent="0.3">
      <c r="A141" s="40">
        <v>140</v>
      </c>
      <c r="B141" s="42">
        <v>40550</v>
      </c>
      <c r="C141" s="40">
        <v>1</v>
      </c>
      <c r="D141" s="40">
        <v>0</v>
      </c>
      <c r="E141" s="40">
        <v>1</v>
      </c>
      <c r="F141" s="40">
        <v>1</v>
      </c>
      <c r="G141" s="40" t="b">
        <v>0</v>
      </c>
      <c r="H141" s="40">
        <v>5</v>
      </c>
      <c r="I141" s="40">
        <v>2</v>
      </c>
      <c r="J141" s="40">
        <v>0.2</v>
      </c>
      <c r="K141" s="40">
        <v>0.19700000000000001</v>
      </c>
      <c r="L141" s="40">
        <v>0.69</v>
      </c>
      <c r="M141" s="40">
        <v>0.22389999999999999</v>
      </c>
      <c r="N141" s="40">
        <v>2</v>
      </c>
      <c r="O141" s="40">
        <v>5</v>
      </c>
      <c r="P141" s="40">
        <v>7</v>
      </c>
      <c r="Q141" s="40">
        <v>0.19700000000000001</v>
      </c>
    </row>
    <row r="142" spans="1:17" x14ac:dyDescent="0.3">
      <c r="A142" s="40">
        <v>141</v>
      </c>
      <c r="B142" s="42">
        <v>40550</v>
      </c>
      <c r="C142" s="40">
        <v>1</v>
      </c>
      <c r="D142" s="40">
        <v>0</v>
      </c>
      <c r="E142" s="40">
        <v>1</v>
      </c>
      <c r="F142" s="40">
        <v>2</v>
      </c>
      <c r="G142" s="40" t="b">
        <v>0</v>
      </c>
      <c r="H142" s="40">
        <v>5</v>
      </c>
      <c r="I142" s="40">
        <v>2</v>
      </c>
      <c r="J142" s="40">
        <v>0.2</v>
      </c>
      <c r="K142" s="40">
        <v>0.19700000000000001</v>
      </c>
      <c r="L142" s="40">
        <v>0.69</v>
      </c>
      <c r="M142" s="40">
        <v>0.22389999999999999</v>
      </c>
      <c r="N142" s="40">
        <v>0</v>
      </c>
      <c r="O142" s="40">
        <v>1</v>
      </c>
      <c r="P142" s="40">
        <v>1</v>
      </c>
      <c r="Q142" s="40">
        <v>0.19700000000000001</v>
      </c>
    </row>
    <row r="143" spans="1:17" x14ac:dyDescent="0.3">
      <c r="A143" s="40">
        <v>142</v>
      </c>
      <c r="B143" s="42">
        <v>40550</v>
      </c>
      <c r="C143" s="40">
        <v>1</v>
      </c>
      <c r="D143" s="40">
        <v>0</v>
      </c>
      <c r="E143" s="40">
        <v>1</v>
      </c>
      <c r="F143" s="40">
        <v>4</v>
      </c>
      <c r="G143" s="40" t="b">
        <v>0</v>
      </c>
      <c r="H143" s="40">
        <v>5</v>
      </c>
      <c r="I143" s="40">
        <v>2</v>
      </c>
      <c r="J143" s="40">
        <v>0.2</v>
      </c>
      <c r="K143" s="40">
        <v>0.21210000000000001</v>
      </c>
      <c r="L143" s="40">
        <v>0.69</v>
      </c>
      <c r="M143" s="40">
        <v>0.1343</v>
      </c>
      <c r="N143" s="40">
        <v>0</v>
      </c>
      <c r="O143" s="40">
        <v>1</v>
      </c>
      <c r="P143" s="40">
        <v>1</v>
      </c>
      <c r="Q143" s="40">
        <v>0.21210000000000001</v>
      </c>
    </row>
    <row r="144" spans="1:17" x14ac:dyDescent="0.3">
      <c r="A144" s="40">
        <v>143</v>
      </c>
      <c r="B144" s="42">
        <v>40550</v>
      </c>
      <c r="C144" s="40">
        <v>1</v>
      </c>
      <c r="D144" s="40">
        <v>0</v>
      </c>
      <c r="E144" s="40">
        <v>1</v>
      </c>
      <c r="F144" s="40">
        <v>5</v>
      </c>
      <c r="G144" s="40" t="b">
        <v>0</v>
      </c>
      <c r="H144" s="40">
        <v>5</v>
      </c>
      <c r="I144" s="40">
        <v>3</v>
      </c>
      <c r="J144" s="40">
        <v>0.22</v>
      </c>
      <c r="K144" s="40">
        <v>0.2727</v>
      </c>
      <c r="L144" s="40">
        <v>0.55000000000000004</v>
      </c>
      <c r="M144" s="40">
        <v>0.20485098360655737</v>
      </c>
      <c r="N144" s="40">
        <v>0</v>
      </c>
      <c r="O144" s="40">
        <v>5</v>
      </c>
      <c r="P144" s="40">
        <v>5</v>
      </c>
      <c r="Q144" s="40">
        <v>0.2727</v>
      </c>
    </row>
    <row r="145" spans="1:17" x14ac:dyDescent="0.3">
      <c r="A145" s="40">
        <v>144</v>
      </c>
      <c r="B145" s="42">
        <v>40550</v>
      </c>
      <c r="C145" s="40">
        <v>1</v>
      </c>
      <c r="D145" s="40">
        <v>0</v>
      </c>
      <c r="E145" s="40">
        <v>1</v>
      </c>
      <c r="F145" s="40">
        <v>6</v>
      </c>
      <c r="G145" s="40" t="b">
        <v>0</v>
      </c>
      <c r="H145" s="40">
        <v>5</v>
      </c>
      <c r="I145" s="40">
        <v>2</v>
      </c>
      <c r="J145" s="40">
        <v>0.2</v>
      </c>
      <c r="K145" s="40">
        <v>0.2576</v>
      </c>
      <c r="L145" s="40">
        <v>0.69</v>
      </c>
      <c r="M145" s="40">
        <v>0.20485098360655737</v>
      </c>
      <c r="N145" s="40">
        <v>8</v>
      </c>
      <c r="O145" s="40">
        <v>26</v>
      </c>
      <c r="P145" s="40">
        <v>34</v>
      </c>
      <c r="Q145" s="40">
        <v>0.2576</v>
      </c>
    </row>
    <row r="146" spans="1:17" x14ac:dyDescent="0.3">
      <c r="A146" s="40">
        <v>145</v>
      </c>
      <c r="B146" s="42">
        <v>40550</v>
      </c>
      <c r="C146" s="40">
        <v>1</v>
      </c>
      <c r="D146" s="40">
        <v>0</v>
      </c>
      <c r="E146" s="40">
        <v>1</v>
      </c>
      <c r="F146" s="40">
        <v>7</v>
      </c>
      <c r="G146" s="40" t="b">
        <v>0</v>
      </c>
      <c r="H146" s="40">
        <v>5</v>
      </c>
      <c r="I146" s="40">
        <v>1</v>
      </c>
      <c r="J146" s="40">
        <v>0.2</v>
      </c>
      <c r="K146" s="40">
        <v>0.21210000000000001</v>
      </c>
      <c r="L146" s="40">
        <v>0.69</v>
      </c>
      <c r="M146" s="40">
        <v>0.1343</v>
      </c>
      <c r="N146" s="40">
        <v>8</v>
      </c>
      <c r="O146" s="40">
        <v>76</v>
      </c>
      <c r="P146" s="40">
        <v>84</v>
      </c>
      <c r="Q146" s="40">
        <v>0.21210000000000001</v>
      </c>
    </row>
    <row r="147" spans="1:17" x14ac:dyDescent="0.3">
      <c r="A147" s="40">
        <v>146</v>
      </c>
      <c r="B147" s="42">
        <v>40550</v>
      </c>
      <c r="C147" s="40">
        <v>1</v>
      </c>
      <c r="D147" s="40">
        <v>0</v>
      </c>
      <c r="E147" s="40">
        <v>1</v>
      </c>
      <c r="F147" s="40">
        <v>8</v>
      </c>
      <c r="G147" s="40" t="b">
        <v>0</v>
      </c>
      <c r="H147" s="40">
        <v>5</v>
      </c>
      <c r="I147" s="40">
        <v>1</v>
      </c>
      <c r="J147" s="40">
        <v>0.2</v>
      </c>
      <c r="K147" s="40">
        <v>0.19700000000000001</v>
      </c>
      <c r="L147" s="40">
        <v>0.51</v>
      </c>
      <c r="M147" s="40">
        <v>0.25369999999999998</v>
      </c>
      <c r="N147" s="40">
        <v>20</v>
      </c>
      <c r="O147" s="40">
        <v>190</v>
      </c>
      <c r="P147" s="40">
        <v>210</v>
      </c>
      <c r="Q147" s="40">
        <v>0.19700000000000001</v>
      </c>
    </row>
    <row r="148" spans="1:17" x14ac:dyDescent="0.3">
      <c r="A148" s="40">
        <v>147</v>
      </c>
      <c r="B148" s="42">
        <v>40550</v>
      </c>
      <c r="C148" s="40">
        <v>1</v>
      </c>
      <c r="D148" s="40">
        <v>0</v>
      </c>
      <c r="E148" s="40">
        <v>1</v>
      </c>
      <c r="F148" s="40">
        <v>9</v>
      </c>
      <c r="G148" s="40" t="b">
        <v>0</v>
      </c>
      <c r="H148" s="40">
        <v>5</v>
      </c>
      <c r="I148" s="40">
        <v>1</v>
      </c>
      <c r="J148" s="40">
        <v>0.2</v>
      </c>
      <c r="K148" s="40">
        <v>0.18179999999999999</v>
      </c>
      <c r="L148" s="40">
        <v>0.47</v>
      </c>
      <c r="M148" s="40">
        <v>0.29849999999999999</v>
      </c>
      <c r="N148" s="40">
        <v>9</v>
      </c>
      <c r="O148" s="40">
        <v>125</v>
      </c>
      <c r="P148" s="40">
        <v>134</v>
      </c>
      <c r="Q148" s="40">
        <v>0.18179999999999999</v>
      </c>
    </row>
    <row r="149" spans="1:17" x14ac:dyDescent="0.3">
      <c r="A149" s="40">
        <v>148</v>
      </c>
      <c r="B149" s="42">
        <v>40550</v>
      </c>
      <c r="C149" s="40">
        <v>1</v>
      </c>
      <c r="D149" s="40">
        <v>0</v>
      </c>
      <c r="E149" s="40">
        <v>1</v>
      </c>
      <c r="F149" s="40">
        <v>10</v>
      </c>
      <c r="G149" s="40" t="b">
        <v>0</v>
      </c>
      <c r="H149" s="40">
        <v>5</v>
      </c>
      <c r="I149" s="40">
        <v>1</v>
      </c>
      <c r="J149" s="40">
        <v>0.22</v>
      </c>
      <c r="K149" s="40">
        <v>0.19700000000000001</v>
      </c>
      <c r="L149" s="40">
        <v>0.37</v>
      </c>
      <c r="M149" s="40">
        <v>0.32840000000000003</v>
      </c>
      <c r="N149" s="40">
        <v>16</v>
      </c>
      <c r="O149" s="40">
        <v>47</v>
      </c>
      <c r="P149" s="40">
        <v>63</v>
      </c>
      <c r="Q149" s="40">
        <v>0.19700000000000001</v>
      </c>
    </row>
    <row r="150" spans="1:17" x14ac:dyDescent="0.3">
      <c r="A150" s="40">
        <v>149</v>
      </c>
      <c r="B150" s="42">
        <v>40550</v>
      </c>
      <c r="C150" s="40">
        <v>1</v>
      </c>
      <c r="D150" s="40">
        <v>0</v>
      </c>
      <c r="E150" s="40">
        <v>1</v>
      </c>
      <c r="F150" s="40">
        <v>11</v>
      </c>
      <c r="G150" s="40" t="b">
        <v>0</v>
      </c>
      <c r="H150" s="40">
        <v>5</v>
      </c>
      <c r="I150" s="40">
        <v>2</v>
      </c>
      <c r="J150" s="40">
        <v>0.2</v>
      </c>
      <c r="K150" s="40">
        <v>0.19700000000000001</v>
      </c>
      <c r="L150" s="40">
        <v>0.4</v>
      </c>
      <c r="M150" s="40">
        <v>0.22389999999999999</v>
      </c>
      <c r="N150" s="40">
        <v>19</v>
      </c>
      <c r="O150" s="40">
        <v>48</v>
      </c>
      <c r="P150" s="40">
        <v>67</v>
      </c>
      <c r="Q150" s="40">
        <v>0.19700000000000001</v>
      </c>
    </row>
    <row r="151" spans="1:17" x14ac:dyDescent="0.3">
      <c r="A151" s="40">
        <v>150</v>
      </c>
      <c r="B151" s="42">
        <v>40550</v>
      </c>
      <c r="C151" s="40">
        <v>1</v>
      </c>
      <c r="D151" s="40">
        <v>0</v>
      </c>
      <c r="E151" s="40">
        <v>1</v>
      </c>
      <c r="F151" s="40">
        <v>12</v>
      </c>
      <c r="G151" s="40" t="b">
        <v>0</v>
      </c>
      <c r="H151" s="40">
        <v>5</v>
      </c>
      <c r="I151" s="40">
        <v>2</v>
      </c>
      <c r="J151" s="40">
        <v>0.2</v>
      </c>
      <c r="K151" s="40">
        <v>0.19700000000000001</v>
      </c>
      <c r="L151" s="40">
        <v>0.37</v>
      </c>
      <c r="M151" s="40">
        <v>0.25369999999999998</v>
      </c>
      <c r="N151" s="40">
        <v>9</v>
      </c>
      <c r="O151" s="40">
        <v>50</v>
      </c>
      <c r="P151" s="40">
        <v>59</v>
      </c>
      <c r="Q151" s="40">
        <v>0.19700000000000001</v>
      </c>
    </row>
    <row r="152" spans="1:17" x14ac:dyDescent="0.3">
      <c r="A152" s="40">
        <v>151</v>
      </c>
      <c r="B152" s="42">
        <v>40550</v>
      </c>
      <c r="C152" s="40">
        <v>1</v>
      </c>
      <c r="D152" s="40">
        <v>0</v>
      </c>
      <c r="E152" s="40">
        <v>1</v>
      </c>
      <c r="F152" s="40">
        <v>13</v>
      </c>
      <c r="G152" s="40" t="b">
        <v>0</v>
      </c>
      <c r="H152" s="40">
        <v>5</v>
      </c>
      <c r="I152" s="40">
        <v>2</v>
      </c>
      <c r="J152" s="40">
        <v>0.2</v>
      </c>
      <c r="K152" s="40">
        <v>0.18179999999999999</v>
      </c>
      <c r="L152" s="40">
        <v>0.37</v>
      </c>
      <c r="M152" s="40">
        <v>0.28360000000000002</v>
      </c>
      <c r="N152" s="40">
        <v>9</v>
      </c>
      <c r="O152" s="40">
        <v>64</v>
      </c>
      <c r="P152" s="40">
        <v>73</v>
      </c>
      <c r="Q152" s="40">
        <v>0.18179999999999999</v>
      </c>
    </row>
    <row r="153" spans="1:17" x14ac:dyDescent="0.3">
      <c r="A153" s="40">
        <v>152</v>
      </c>
      <c r="B153" s="42">
        <v>40550</v>
      </c>
      <c r="C153" s="40">
        <v>1</v>
      </c>
      <c r="D153" s="40">
        <v>0</v>
      </c>
      <c r="E153" s="40">
        <v>1</v>
      </c>
      <c r="F153" s="40">
        <v>14</v>
      </c>
      <c r="G153" s="40" t="b">
        <v>0</v>
      </c>
      <c r="H153" s="40">
        <v>5</v>
      </c>
      <c r="I153" s="40">
        <v>2</v>
      </c>
      <c r="J153" s="40">
        <v>0.2</v>
      </c>
      <c r="K153" s="40">
        <v>0.19700000000000001</v>
      </c>
      <c r="L153" s="40">
        <v>0.4</v>
      </c>
      <c r="M153" s="40">
        <v>0.25369999999999998</v>
      </c>
      <c r="N153" s="40">
        <v>7</v>
      </c>
      <c r="O153" s="40">
        <v>43</v>
      </c>
      <c r="P153" s="40">
        <v>50</v>
      </c>
      <c r="Q153" s="40">
        <v>0.19700000000000001</v>
      </c>
    </row>
    <row r="154" spans="1:17" x14ac:dyDescent="0.3">
      <c r="A154" s="40">
        <v>153</v>
      </c>
      <c r="B154" s="42">
        <v>40550</v>
      </c>
      <c r="C154" s="40">
        <v>1</v>
      </c>
      <c r="D154" s="40">
        <v>0</v>
      </c>
      <c r="E154" s="40">
        <v>1</v>
      </c>
      <c r="F154" s="40">
        <v>15</v>
      </c>
      <c r="G154" s="40" t="b">
        <v>0</v>
      </c>
      <c r="H154" s="40">
        <v>5</v>
      </c>
      <c r="I154" s="40">
        <v>2</v>
      </c>
      <c r="J154" s="40">
        <v>0.2</v>
      </c>
      <c r="K154" s="40">
        <v>0.21210000000000001</v>
      </c>
      <c r="L154" s="40">
        <v>0.37</v>
      </c>
      <c r="M154" s="40">
        <v>0.16420000000000001</v>
      </c>
      <c r="N154" s="40">
        <v>9</v>
      </c>
      <c r="O154" s="40">
        <v>63</v>
      </c>
      <c r="P154" s="40">
        <v>72</v>
      </c>
      <c r="Q154" s="40">
        <v>0.21210000000000001</v>
      </c>
    </row>
    <row r="155" spans="1:17" x14ac:dyDescent="0.3">
      <c r="A155" s="40">
        <v>154</v>
      </c>
      <c r="B155" s="42">
        <v>40550</v>
      </c>
      <c r="C155" s="40">
        <v>1</v>
      </c>
      <c r="D155" s="40">
        <v>0</v>
      </c>
      <c r="E155" s="40">
        <v>1</v>
      </c>
      <c r="F155" s="40">
        <v>16</v>
      </c>
      <c r="G155" s="40" t="b">
        <v>0</v>
      </c>
      <c r="H155" s="40">
        <v>5</v>
      </c>
      <c r="I155" s="40">
        <v>2</v>
      </c>
      <c r="J155" s="40">
        <v>0.2</v>
      </c>
      <c r="K155" s="40">
        <v>0.21210000000000001</v>
      </c>
      <c r="L155" s="40">
        <v>0.37</v>
      </c>
      <c r="M155" s="40">
        <v>0.16420000000000001</v>
      </c>
      <c r="N155" s="40">
        <v>5</v>
      </c>
      <c r="O155" s="40">
        <v>82</v>
      </c>
      <c r="P155" s="40">
        <v>87</v>
      </c>
      <c r="Q155" s="40">
        <v>0.21210000000000001</v>
      </c>
    </row>
    <row r="156" spans="1:17" x14ac:dyDescent="0.3">
      <c r="A156" s="40">
        <v>155</v>
      </c>
      <c r="B156" s="42">
        <v>40550</v>
      </c>
      <c r="C156" s="40">
        <v>1</v>
      </c>
      <c r="D156" s="40">
        <v>0</v>
      </c>
      <c r="E156" s="40">
        <v>1</v>
      </c>
      <c r="F156" s="40">
        <v>17</v>
      </c>
      <c r="G156" s="40" t="b">
        <v>0</v>
      </c>
      <c r="H156" s="40">
        <v>5</v>
      </c>
      <c r="I156" s="40">
        <v>2</v>
      </c>
      <c r="J156" s="40">
        <v>0.2</v>
      </c>
      <c r="K156" s="40">
        <v>0.2576</v>
      </c>
      <c r="L156" s="40">
        <v>0.37</v>
      </c>
      <c r="M156" s="40">
        <v>0.20485098360655737</v>
      </c>
      <c r="N156" s="40">
        <v>9</v>
      </c>
      <c r="O156" s="40">
        <v>178</v>
      </c>
      <c r="P156" s="40">
        <v>187</v>
      </c>
      <c r="Q156" s="40">
        <v>0.2576</v>
      </c>
    </row>
    <row r="157" spans="1:17" x14ac:dyDescent="0.3">
      <c r="A157" s="40">
        <v>156</v>
      </c>
      <c r="B157" s="42">
        <v>40550</v>
      </c>
      <c r="C157" s="40">
        <v>1</v>
      </c>
      <c r="D157" s="40">
        <v>0</v>
      </c>
      <c r="E157" s="40">
        <v>1</v>
      </c>
      <c r="F157" s="40">
        <v>18</v>
      </c>
      <c r="G157" s="40" t="b">
        <v>0</v>
      </c>
      <c r="H157" s="40">
        <v>5</v>
      </c>
      <c r="I157" s="40">
        <v>1</v>
      </c>
      <c r="J157" s="40">
        <v>0.2</v>
      </c>
      <c r="K157" s="40">
        <v>0.2273</v>
      </c>
      <c r="L157" s="40">
        <v>0.4</v>
      </c>
      <c r="M157" s="40">
        <v>8.9599999999999999E-2</v>
      </c>
      <c r="N157" s="40">
        <v>7</v>
      </c>
      <c r="O157" s="40">
        <v>116</v>
      </c>
      <c r="P157" s="40">
        <v>123</v>
      </c>
      <c r="Q157" s="40">
        <v>0.2273</v>
      </c>
    </row>
    <row r="158" spans="1:17" x14ac:dyDescent="0.3">
      <c r="A158" s="40">
        <v>157</v>
      </c>
      <c r="B158" s="42">
        <v>40550</v>
      </c>
      <c r="C158" s="40">
        <v>1</v>
      </c>
      <c r="D158" s="40">
        <v>0</v>
      </c>
      <c r="E158" s="40">
        <v>1</v>
      </c>
      <c r="F158" s="40">
        <v>19</v>
      </c>
      <c r="G158" s="40" t="b">
        <v>0</v>
      </c>
      <c r="H158" s="40">
        <v>5</v>
      </c>
      <c r="I158" s="40">
        <v>1</v>
      </c>
      <c r="J158" s="40">
        <v>0.16</v>
      </c>
      <c r="K158" s="40">
        <v>0.19700000000000001</v>
      </c>
      <c r="L158" s="40">
        <v>0.55000000000000004</v>
      </c>
      <c r="M158" s="40">
        <v>8.9599999999999999E-2</v>
      </c>
      <c r="N158" s="40">
        <v>3</v>
      </c>
      <c r="O158" s="40">
        <v>92</v>
      </c>
      <c r="P158" s="40">
        <v>95</v>
      </c>
      <c r="Q158" s="40">
        <v>0.19700000000000001</v>
      </c>
    </row>
    <row r="159" spans="1:17" x14ac:dyDescent="0.3">
      <c r="A159" s="40">
        <v>158</v>
      </c>
      <c r="B159" s="42">
        <v>40550</v>
      </c>
      <c r="C159" s="40">
        <v>1</v>
      </c>
      <c r="D159" s="40">
        <v>0</v>
      </c>
      <c r="E159" s="40">
        <v>1</v>
      </c>
      <c r="F159" s="40">
        <v>20</v>
      </c>
      <c r="G159" s="40" t="b">
        <v>0</v>
      </c>
      <c r="H159" s="40">
        <v>5</v>
      </c>
      <c r="I159" s="40">
        <v>1</v>
      </c>
      <c r="J159" s="40">
        <v>0.18</v>
      </c>
      <c r="K159" s="40">
        <v>0.21210000000000001</v>
      </c>
      <c r="L159" s="40">
        <v>0.47</v>
      </c>
      <c r="M159" s="40">
        <v>0.1045</v>
      </c>
      <c r="N159" s="40">
        <v>1</v>
      </c>
      <c r="O159" s="40">
        <v>50</v>
      </c>
      <c r="P159" s="40">
        <v>51</v>
      </c>
      <c r="Q159" s="40">
        <v>0.21210000000000001</v>
      </c>
    </row>
    <row r="160" spans="1:17" x14ac:dyDescent="0.3">
      <c r="A160" s="40">
        <v>159</v>
      </c>
      <c r="B160" s="42">
        <v>40550</v>
      </c>
      <c r="C160" s="40">
        <v>1</v>
      </c>
      <c r="D160" s="40">
        <v>0</v>
      </c>
      <c r="E160" s="40">
        <v>1</v>
      </c>
      <c r="F160" s="40">
        <v>21</v>
      </c>
      <c r="G160" s="40" t="b">
        <v>0</v>
      </c>
      <c r="H160" s="40">
        <v>5</v>
      </c>
      <c r="I160" s="40">
        <v>1</v>
      </c>
      <c r="J160" s="40">
        <v>0.18</v>
      </c>
      <c r="K160" s="40">
        <v>0.19700000000000001</v>
      </c>
      <c r="L160" s="40">
        <v>0.47</v>
      </c>
      <c r="M160" s="40">
        <v>0.1343</v>
      </c>
      <c r="N160" s="40">
        <v>0</v>
      </c>
      <c r="O160" s="40">
        <v>39</v>
      </c>
      <c r="P160" s="40">
        <v>39</v>
      </c>
      <c r="Q160" s="40">
        <v>0.19700000000000001</v>
      </c>
    </row>
    <row r="161" spans="1:17" x14ac:dyDescent="0.3">
      <c r="A161" s="40">
        <v>160</v>
      </c>
      <c r="B161" s="42">
        <v>40550</v>
      </c>
      <c r="C161" s="40">
        <v>1</v>
      </c>
      <c r="D161" s="40">
        <v>0</v>
      </c>
      <c r="E161" s="40">
        <v>1</v>
      </c>
      <c r="F161" s="40">
        <v>22</v>
      </c>
      <c r="G161" s="40" t="b">
        <v>0</v>
      </c>
      <c r="H161" s="40">
        <v>5</v>
      </c>
      <c r="I161" s="40">
        <v>2</v>
      </c>
      <c r="J161" s="40">
        <v>0.18</v>
      </c>
      <c r="K161" s="40">
        <v>0.19700000000000001</v>
      </c>
      <c r="L161" s="40">
        <v>0.43</v>
      </c>
      <c r="M161" s="40">
        <v>0.16420000000000001</v>
      </c>
      <c r="N161" s="40">
        <v>2</v>
      </c>
      <c r="O161" s="40">
        <v>34</v>
      </c>
      <c r="P161" s="40">
        <v>36</v>
      </c>
      <c r="Q161" s="40">
        <v>0.19700000000000001</v>
      </c>
    </row>
    <row r="162" spans="1:17" x14ac:dyDescent="0.3">
      <c r="A162" s="40">
        <v>161</v>
      </c>
      <c r="B162" s="42">
        <v>40550</v>
      </c>
      <c r="C162" s="40">
        <v>1</v>
      </c>
      <c r="D162" s="40">
        <v>0</v>
      </c>
      <c r="E162" s="40">
        <v>1</v>
      </c>
      <c r="F162" s="40">
        <v>23</v>
      </c>
      <c r="G162" s="40" t="b">
        <v>0</v>
      </c>
      <c r="H162" s="40">
        <v>5</v>
      </c>
      <c r="I162" s="40">
        <v>2</v>
      </c>
      <c r="J162" s="40">
        <v>0.18</v>
      </c>
      <c r="K162" s="40">
        <v>0.19700000000000001</v>
      </c>
      <c r="L162" s="40">
        <v>0.51</v>
      </c>
      <c r="M162" s="40">
        <v>0.16420000000000001</v>
      </c>
      <c r="N162" s="40">
        <v>1</v>
      </c>
      <c r="O162" s="40">
        <v>14</v>
      </c>
      <c r="P162" s="40">
        <v>15</v>
      </c>
      <c r="Q162" s="40">
        <v>0.19700000000000001</v>
      </c>
    </row>
    <row r="163" spans="1:17" x14ac:dyDescent="0.3">
      <c r="A163" s="40">
        <v>162</v>
      </c>
      <c r="B163" s="42">
        <v>40551</v>
      </c>
      <c r="C163" s="40">
        <v>1</v>
      </c>
      <c r="D163" s="40">
        <v>0</v>
      </c>
      <c r="E163" s="40">
        <v>1</v>
      </c>
      <c r="F163" s="40">
        <v>0</v>
      </c>
      <c r="G163" s="40" t="b">
        <v>0</v>
      </c>
      <c r="H163" s="40">
        <v>6</v>
      </c>
      <c r="I163" s="40">
        <v>2</v>
      </c>
      <c r="J163" s="40">
        <v>0.18</v>
      </c>
      <c r="K163" s="40">
        <v>0.19700000000000001</v>
      </c>
      <c r="L163" s="40">
        <v>0.51</v>
      </c>
      <c r="M163" s="40">
        <v>0.16420000000000001</v>
      </c>
      <c r="N163" s="40">
        <v>1</v>
      </c>
      <c r="O163" s="40">
        <v>24</v>
      </c>
      <c r="P163" s="40">
        <v>25</v>
      </c>
      <c r="Q163" s="40">
        <v>0.19700000000000001</v>
      </c>
    </row>
    <row r="164" spans="1:17" x14ac:dyDescent="0.3">
      <c r="A164" s="40">
        <v>163</v>
      </c>
      <c r="B164" s="42">
        <v>40551</v>
      </c>
      <c r="C164" s="40">
        <v>1</v>
      </c>
      <c r="D164" s="40">
        <v>0</v>
      </c>
      <c r="E164" s="40">
        <v>1</v>
      </c>
      <c r="F164" s="40">
        <v>1</v>
      </c>
      <c r="G164" s="40" t="b">
        <v>0</v>
      </c>
      <c r="H164" s="40">
        <v>6</v>
      </c>
      <c r="I164" s="40">
        <v>2</v>
      </c>
      <c r="J164" s="40">
        <v>0.18</v>
      </c>
      <c r="K164" s="40">
        <v>0.21210000000000001</v>
      </c>
      <c r="L164" s="40">
        <v>0.55000000000000004</v>
      </c>
      <c r="M164" s="40">
        <v>8.9599999999999999E-2</v>
      </c>
      <c r="N164" s="40">
        <v>1</v>
      </c>
      <c r="O164" s="40">
        <v>15</v>
      </c>
      <c r="P164" s="40">
        <v>16</v>
      </c>
      <c r="Q164" s="40">
        <v>0.21210000000000001</v>
      </c>
    </row>
    <row r="165" spans="1:17" x14ac:dyDescent="0.3">
      <c r="A165" s="40">
        <v>164</v>
      </c>
      <c r="B165" s="42">
        <v>40551</v>
      </c>
      <c r="C165" s="40">
        <v>1</v>
      </c>
      <c r="D165" s="40">
        <v>0</v>
      </c>
      <c r="E165" s="40">
        <v>1</v>
      </c>
      <c r="F165" s="40">
        <v>2</v>
      </c>
      <c r="G165" s="40" t="b">
        <v>0</v>
      </c>
      <c r="H165" s="40">
        <v>6</v>
      </c>
      <c r="I165" s="40">
        <v>2</v>
      </c>
      <c r="J165" s="40">
        <v>0.18</v>
      </c>
      <c r="K165" s="40">
        <v>0.2424</v>
      </c>
      <c r="L165" s="40">
        <v>0.55000000000000004</v>
      </c>
      <c r="M165" s="40">
        <v>0.20485098360655737</v>
      </c>
      <c r="N165" s="40">
        <v>3</v>
      </c>
      <c r="O165" s="40">
        <v>13</v>
      </c>
      <c r="P165" s="40">
        <v>16</v>
      </c>
      <c r="Q165" s="40">
        <v>0.2424</v>
      </c>
    </row>
    <row r="166" spans="1:17" x14ac:dyDescent="0.3">
      <c r="A166" s="40">
        <v>165</v>
      </c>
      <c r="B166" s="42">
        <v>40551</v>
      </c>
      <c r="C166" s="40">
        <v>1</v>
      </c>
      <c r="D166" s="40">
        <v>0</v>
      </c>
      <c r="E166" s="40">
        <v>1</v>
      </c>
      <c r="F166" s="40">
        <v>3</v>
      </c>
      <c r="G166" s="40" t="b">
        <v>0</v>
      </c>
      <c r="H166" s="40">
        <v>6</v>
      </c>
      <c r="I166" s="40">
        <v>3</v>
      </c>
      <c r="J166" s="40">
        <v>0.18</v>
      </c>
      <c r="K166" s="40">
        <v>0.19700000000000001</v>
      </c>
      <c r="L166" s="40">
        <v>0.55000000000000004</v>
      </c>
      <c r="M166" s="40">
        <v>0.16420000000000001</v>
      </c>
      <c r="N166" s="40">
        <v>0</v>
      </c>
      <c r="O166" s="40">
        <v>7</v>
      </c>
      <c r="P166" s="40">
        <v>7</v>
      </c>
      <c r="Q166" s="40">
        <v>0.19700000000000001</v>
      </c>
    </row>
    <row r="167" spans="1:17" x14ac:dyDescent="0.3">
      <c r="A167" s="40">
        <v>166</v>
      </c>
      <c r="B167" s="42">
        <v>40551</v>
      </c>
      <c r="C167" s="40">
        <v>1</v>
      </c>
      <c r="D167" s="40">
        <v>0</v>
      </c>
      <c r="E167" s="40">
        <v>1</v>
      </c>
      <c r="F167" s="40">
        <v>4</v>
      </c>
      <c r="G167" s="40" t="b">
        <v>0</v>
      </c>
      <c r="H167" s="40">
        <v>6</v>
      </c>
      <c r="I167" s="40">
        <v>3</v>
      </c>
      <c r="J167" s="40">
        <v>0.18</v>
      </c>
      <c r="K167" s="40">
        <v>0.19700000000000001</v>
      </c>
      <c r="L167" s="40">
        <v>0.55000000000000004</v>
      </c>
      <c r="M167" s="40">
        <v>0.16420000000000001</v>
      </c>
      <c r="N167" s="40">
        <v>0</v>
      </c>
      <c r="O167" s="40">
        <v>1</v>
      </c>
      <c r="P167" s="40">
        <v>1</v>
      </c>
      <c r="Q167" s="40">
        <v>0.19700000000000001</v>
      </c>
    </row>
    <row r="168" spans="1:17" x14ac:dyDescent="0.3">
      <c r="A168" s="40">
        <v>167</v>
      </c>
      <c r="B168" s="42">
        <v>40551</v>
      </c>
      <c r="C168" s="40">
        <v>1</v>
      </c>
      <c r="D168" s="40">
        <v>0</v>
      </c>
      <c r="E168" s="40">
        <v>1</v>
      </c>
      <c r="F168" s="40">
        <v>5</v>
      </c>
      <c r="G168" s="40" t="b">
        <v>0</v>
      </c>
      <c r="H168" s="40">
        <v>6</v>
      </c>
      <c r="I168" s="40">
        <v>2</v>
      </c>
      <c r="J168" s="40">
        <v>0.16</v>
      </c>
      <c r="K168" s="40">
        <v>0.16669999999999999</v>
      </c>
      <c r="L168" s="40">
        <v>0.74</v>
      </c>
      <c r="M168" s="40">
        <v>0.16420000000000001</v>
      </c>
      <c r="N168" s="40">
        <v>0</v>
      </c>
      <c r="O168" s="40">
        <v>5</v>
      </c>
      <c r="P168" s="40">
        <v>5</v>
      </c>
      <c r="Q168" s="40">
        <v>0.16669999999999999</v>
      </c>
    </row>
    <row r="169" spans="1:17" x14ac:dyDescent="0.3">
      <c r="A169" s="40">
        <v>168</v>
      </c>
      <c r="B169" s="42">
        <v>40551</v>
      </c>
      <c r="C169" s="40">
        <v>1</v>
      </c>
      <c r="D169" s="40">
        <v>0</v>
      </c>
      <c r="E169" s="40">
        <v>1</v>
      </c>
      <c r="F169" s="40">
        <v>6</v>
      </c>
      <c r="G169" s="40" t="b">
        <v>0</v>
      </c>
      <c r="H169" s="40">
        <v>6</v>
      </c>
      <c r="I169" s="40">
        <v>2</v>
      </c>
      <c r="J169" s="40">
        <v>0.16</v>
      </c>
      <c r="K169" s="40">
        <v>0.16669999999999999</v>
      </c>
      <c r="L169" s="40">
        <v>0.74</v>
      </c>
      <c r="M169" s="40">
        <v>0.16420000000000001</v>
      </c>
      <c r="N169" s="40">
        <v>0</v>
      </c>
      <c r="O169" s="40">
        <v>2</v>
      </c>
      <c r="P169" s="40">
        <v>2</v>
      </c>
      <c r="Q169" s="40">
        <v>0.16669999999999999</v>
      </c>
    </row>
    <row r="170" spans="1:17" x14ac:dyDescent="0.3">
      <c r="A170" s="40">
        <v>169</v>
      </c>
      <c r="B170" s="42">
        <v>40551</v>
      </c>
      <c r="C170" s="40">
        <v>1</v>
      </c>
      <c r="D170" s="40">
        <v>0</v>
      </c>
      <c r="E170" s="40">
        <v>1</v>
      </c>
      <c r="F170" s="40">
        <v>7</v>
      </c>
      <c r="G170" s="40" t="b">
        <v>0</v>
      </c>
      <c r="H170" s="40">
        <v>6</v>
      </c>
      <c r="I170" s="40">
        <v>2</v>
      </c>
      <c r="J170" s="40">
        <v>0.16</v>
      </c>
      <c r="K170" s="40">
        <v>0.18179999999999999</v>
      </c>
      <c r="L170" s="40">
        <v>0.74</v>
      </c>
      <c r="M170" s="40">
        <v>0.1045</v>
      </c>
      <c r="N170" s="40">
        <v>1</v>
      </c>
      <c r="O170" s="40">
        <v>8</v>
      </c>
      <c r="P170" s="40">
        <v>9</v>
      </c>
      <c r="Q170" s="40">
        <v>0.18179999999999999</v>
      </c>
    </row>
    <row r="171" spans="1:17" x14ac:dyDescent="0.3">
      <c r="A171" s="40">
        <v>170</v>
      </c>
      <c r="B171" s="42">
        <v>40551</v>
      </c>
      <c r="C171" s="40">
        <v>1</v>
      </c>
      <c r="D171" s="40">
        <v>0</v>
      </c>
      <c r="E171" s="40">
        <v>1</v>
      </c>
      <c r="F171" s="40">
        <v>8</v>
      </c>
      <c r="G171" s="40" t="b">
        <v>0</v>
      </c>
      <c r="H171" s="40">
        <v>6</v>
      </c>
      <c r="I171" s="40">
        <v>3</v>
      </c>
      <c r="J171" s="40">
        <v>0.16</v>
      </c>
      <c r="K171" s="40">
        <v>0.18179999999999999</v>
      </c>
      <c r="L171" s="40">
        <v>0.93</v>
      </c>
      <c r="M171" s="40">
        <v>0.1045</v>
      </c>
      <c r="N171" s="40">
        <v>0</v>
      </c>
      <c r="O171" s="40">
        <v>15</v>
      </c>
      <c r="P171" s="40">
        <v>15</v>
      </c>
      <c r="Q171" s="40">
        <v>0.18179999999999999</v>
      </c>
    </row>
    <row r="172" spans="1:17" x14ac:dyDescent="0.3">
      <c r="A172" s="40">
        <v>171</v>
      </c>
      <c r="B172" s="42">
        <v>40551</v>
      </c>
      <c r="C172" s="40">
        <v>1</v>
      </c>
      <c r="D172" s="40">
        <v>0</v>
      </c>
      <c r="E172" s="40">
        <v>1</v>
      </c>
      <c r="F172" s="40">
        <v>9</v>
      </c>
      <c r="G172" s="40" t="b">
        <v>0</v>
      </c>
      <c r="H172" s="40">
        <v>6</v>
      </c>
      <c r="I172" s="40">
        <v>3</v>
      </c>
      <c r="J172" s="40">
        <v>0.16</v>
      </c>
      <c r="K172" s="40">
        <v>0.18179999999999999</v>
      </c>
      <c r="L172" s="40">
        <v>0.93</v>
      </c>
      <c r="M172" s="40">
        <v>0.1045</v>
      </c>
      <c r="N172" s="40">
        <v>0</v>
      </c>
      <c r="O172" s="40">
        <v>20</v>
      </c>
      <c r="P172" s="40">
        <v>20</v>
      </c>
      <c r="Q172" s="40">
        <v>0.18179999999999999</v>
      </c>
    </row>
    <row r="173" spans="1:17" x14ac:dyDescent="0.3">
      <c r="A173" s="40">
        <v>172</v>
      </c>
      <c r="B173" s="42">
        <v>40551</v>
      </c>
      <c r="C173" s="40">
        <v>1</v>
      </c>
      <c r="D173" s="40">
        <v>0</v>
      </c>
      <c r="E173" s="40">
        <v>1</v>
      </c>
      <c r="F173" s="40">
        <v>10</v>
      </c>
      <c r="G173" s="40" t="b">
        <v>0</v>
      </c>
      <c r="H173" s="40">
        <v>6</v>
      </c>
      <c r="I173" s="40">
        <v>2</v>
      </c>
      <c r="J173" s="40">
        <v>0.18</v>
      </c>
      <c r="K173" s="40">
        <v>0.19700000000000001</v>
      </c>
      <c r="L173" s="40">
        <v>0.8</v>
      </c>
      <c r="M173" s="40">
        <v>0.16420000000000001</v>
      </c>
      <c r="N173" s="40">
        <v>5</v>
      </c>
      <c r="O173" s="40">
        <v>56</v>
      </c>
      <c r="P173" s="40">
        <v>61</v>
      </c>
      <c r="Q173" s="40">
        <v>0.19700000000000001</v>
      </c>
    </row>
    <row r="174" spans="1:17" x14ac:dyDescent="0.3">
      <c r="A174" s="40">
        <v>173</v>
      </c>
      <c r="B174" s="42">
        <v>40551</v>
      </c>
      <c r="C174" s="40">
        <v>1</v>
      </c>
      <c r="D174" s="40">
        <v>0</v>
      </c>
      <c r="E174" s="40">
        <v>1</v>
      </c>
      <c r="F174" s="40">
        <v>11</v>
      </c>
      <c r="G174" s="40" t="b">
        <v>0</v>
      </c>
      <c r="H174" s="40">
        <v>6</v>
      </c>
      <c r="I174" s="40">
        <v>2</v>
      </c>
      <c r="J174" s="40">
        <v>0.2</v>
      </c>
      <c r="K174" s="40">
        <v>0.18179999999999999</v>
      </c>
      <c r="L174" s="40">
        <v>0.69</v>
      </c>
      <c r="M174" s="40">
        <v>0.3881</v>
      </c>
      <c r="N174" s="40">
        <v>2</v>
      </c>
      <c r="O174" s="40">
        <v>60</v>
      </c>
      <c r="P174" s="40">
        <v>62</v>
      </c>
      <c r="Q174" s="40">
        <v>0.18179999999999999</v>
      </c>
    </row>
    <row r="175" spans="1:17" x14ac:dyDescent="0.3">
      <c r="A175" s="40">
        <v>174</v>
      </c>
      <c r="B175" s="42">
        <v>40551</v>
      </c>
      <c r="C175" s="40">
        <v>1</v>
      </c>
      <c r="D175" s="40">
        <v>0</v>
      </c>
      <c r="E175" s="40">
        <v>1</v>
      </c>
      <c r="F175" s="40">
        <v>12</v>
      </c>
      <c r="G175" s="40" t="b">
        <v>0</v>
      </c>
      <c r="H175" s="40">
        <v>6</v>
      </c>
      <c r="I175" s="40">
        <v>2</v>
      </c>
      <c r="J175" s="40">
        <v>0.2</v>
      </c>
      <c r="K175" s="40">
        <v>0.18179999999999999</v>
      </c>
      <c r="L175" s="40">
        <v>0.59</v>
      </c>
      <c r="M175" s="40">
        <v>0.35820000000000002</v>
      </c>
      <c r="N175" s="40">
        <v>8</v>
      </c>
      <c r="O175" s="40">
        <v>90</v>
      </c>
      <c r="P175" s="40">
        <v>98</v>
      </c>
      <c r="Q175" s="40">
        <v>0.18179999999999999</v>
      </c>
    </row>
    <row r="176" spans="1:17" x14ac:dyDescent="0.3">
      <c r="A176" s="40">
        <v>175</v>
      </c>
      <c r="B176" s="42">
        <v>40551</v>
      </c>
      <c r="C176" s="40">
        <v>1</v>
      </c>
      <c r="D176" s="40">
        <v>0</v>
      </c>
      <c r="E176" s="40">
        <v>1</v>
      </c>
      <c r="F176" s="40">
        <v>13</v>
      </c>
      <c r="G176" s="40" t="b">
        <v>0</v>
      </c>
      <c r="H176" s="40">
        <v>6</v>
      </c>
      <c r="I176" s="40">
        <v>1</v>
      </c>
      <c r="J176" s="40">
        <v>0.2</v>
      </c>
      <c r="K176" s="40">
        <v>0.18179999999999999</v>
      </c>
      <c r="L176" s="40">
        <v>0.44</v>
      </c>
      <c r="M176" s="40">
        <v>0.32840000000000003</v>
      </c>
      <c r="N176" s="40">
        <v>7</v>
      </c>
      <c r="O176" s="40">
        <v>95</v>
      </c>
      <c r="P176" s="40">
        <v>102</v>
      </c>
      <c r="Q176" s="40">
        <v>0.18179999999999999</v>
      </c>
    </row>
    <row r="177" spans="1:17" x14ac:dyDescent="0.3">
      <c r="A177" s="40">
        <v>176</v>
      </c>
      <c r="B177" s="42">
        <v>40551</v>
      </c>
      <c r="C177" s="40">
        <v>1</v>
      </c>
      <c r="D177" s="40">
        <v>0</v>
      </c>
      <c r="E177" s="40">
        <v>1</v>
      </c>
      <c r="F177" s="40">
        <v>14</v>
      </c>
      <c r="G177" s="40" t="b">
        <v>0</v>
      </c>
      <c r="H177" s="40">
        <v>6</v>
      </c>
      <c r="I177" s="40">
        <v>1</v>
      </c>
      <c r="J177" s="40">
        <v>0.2</v>
      </c>
      <c r="K177" s="40">
        <v>0.16669999999999999</v>
      </c>
      <c r="L177" s="40">
        <v>0.32</v>
      </c>
      <c r="M177" s="40">
        <v>0.49249999999999999</v>
      </c>
      <c r="N177" s="40">
        <v>12</v>
      </c>
      <c r="O177" s="40">
        <v>83</v>
      </c>
      <c r="P177" s="40">
        <v>95</v>
      </c>
      <c r="Q177" s="40">
        <v>0.16669999999999999</v>
      </c>
    </row>
    <row r="178" spans="1:17" x14ac:dyDescent="0.3">
      <c r="A178" s="40">
        <v>177</v>
      </c>
      <c r="B178" s="42">
        <v>40551</v>
      </c>
      <c r="C178" s="40">
        <v>1</v>
      </c>
      <c r="D178" s="40">
        <v>0</v>
      </c>
      <c r="E178" s="40">
        <v>1</v>
      </c>
      <c r="F178" s="40">
        <v>15</v>
      </c>
      <c r="G178" s="40" t="b">
        <v>0</v>
      </c>
      <c r="H178" s="40">
        <v>6</v>
      </c>
      <c r="I178" s="40">
        <v>1</v>
      </c>
      <c r="J178" s="40">
        <v>0.2</v>
      </c>
      <c r="K178" s="40">
        <v>0.16669999999999999</v>
      </c>
      <c r="L178" s="40">
        <v>0.32</v>
      </c>
      <c r="M178" s="40">
        <v>0.44779999999999998</v>
      </c>
      <c r="N178" s="40">
        <v>5</v>
      </c>
      <c r="O178" s="40">
        <v>69</v>
      </c>
      <c r="P178" s="40">
        <v>74</v>
      </c>
      <c r="Q178" s="40">
        <v>0.16669999999999999</v>
      </c>
    </row>
    <row r="179" spans="1:17" x14ac:dyDescent="0.3">
      <c r="A179" s="40">
        <v>178</v>
      </c>
      <c r="B179" s="42">
        <v>40551</v>
      </c>
      <c r="C179" s="40">
        <v>1</v>
      </c>
      <c r="D179" s="40">
        <v>0</v>
      </c>
      <c r="E179" s="40">
        <v>1</v>
      </c>
      <c r="F179" s="40">
        <v>16</v>
      </c>
      <c r="G179" s="40" t="b">
        <v>0</v>
      </c>
      <c r="H179" s="40">
        <v>6</v>
      </c>
      <c r="I179" s="40">
        <v>1</v>
      </c>
      <c r="J179" s="40">
        <v>0.18</v>
      </c>
      <c r="K179" s="40">
        <v>0.13639999999999999</v>
      </c>
      <c r="L179" s="40">
        <v>0.28999999999999998</v>
      </c>
      <c r="M179" s="40">
        <v>0.44779999999999998</v>
      </c>
      <c r="N179" s="40">
        <v>8</v>
      </c>
      <c r="O179" s="40">
        <v>68</v>
      </c>
      <c r="P179" s="40">
        <v>76</v>
      </c>
      <c r="Q179" s="40">
        <v>0.13639999999999999</v>
      </c>
    </row>
    <row r="180" spans="1:17" x14ac:dyDescent="0.3">
      <c r="A180" s="40">
        <v>179</v>
      </c>
      <c r="B180" s="42">
        <v>40551</v>
      </c>
      <c r="C180" s="40">
        <v>1</v>
      </c>
      <c r="D180" s="40">
        <v>0</v>
      </c>
      <c r="E180" s="40">
        <v>1</v>
      </c>
      <c r="F180" s="40">
        <v>17</v>
      </c>
      <c r="G180" s="40" t="b">
        <v>0</v>
      </c>
      <c r="H180" s="40">
        <v>6</v>
      </c>
      <c r="I180" s="40">
        <v>1</v>
      </c>
      <c r="J180" s="40">
        <v>0.16</v>
      </c>
      <c r="K180" s="40">
        <v>0.1212</v>
      </c>
      <c r="L180" s="40">
        <v>0.37</v>
      </c>
      <c r="M180" s="40">
        <v>0.55220000000000002</v>
      </c>
      <c r="N180" s="40">
        <v>5</v>
      </c>
      <c r="O180" s="40">
        <v>64</v>
      </c>
      <c r="P180" s="40">
        <v>69</v>
      </c>
      <c r="Q180" s="40">
        <v>0.1212</v>
      </c>
    </row>
    <row r="181" spans="1:17" x14ac:dyDescent="0.3">
      <c r="A181" s="40">
        <v>180</v>
      </c>
      <c r="B181" s="42">
        <v>40551</v>
      </c>
      <c r="C181" s="40">
        <v>1</v>
      </c>
      <c r="D181" s="40">
        <v>0</v>
      </c>
      <c r="E181" s="40">
        <v>1</v>
      </c>
      <c r="F181" s="40">
        <v>18</v>
      </c>
      <c r="G181" s="40" t="b">
        <v>0</v>
      </c>
      <c r="H181" s="40">
        <v>6</v>
      </c>
      <c r="I181" s="40">
        <v>1</v>
      </c>
      <c r="J181" s="40">
        <v>0.14000000000000001</v>
      </c>
      <c r="K181" s="40">
        <v>0.1212</v>
      </c>
      <c r="L181" s="40">
        <v>0.39</v>
      </c>
      <c r="M181" s="40">
        <v>0.29849999999999999</v>
      </c>
      <c r="N181" s="40">
        <v>3</v>
      </c>
      <c r="O181" s="40">
        <v>52</v>
      </c>
      <c r="P181" s="40">
        <v>55</v>
      </c>
      <c r="Q181" s="40">
        <v>0.1212</v>
      </c>
    </row>
    <row r="182" spans="1:17" x14ac:dyDescent="0.3">
      <c r="A182" s="40">
        <v>181</v>
      </c>
      <c r="B182" s="42">
        <v>40551</v>
      </c>
      <c r="C182" s="40">
        <v>1</v>
      </c>
      <c r="D182" s="40">
        <v>0</v>
      </c>
      <c r="E182" s="40">
        <v>1</v>
      </c>
      <c r="F182" s="40">
        <v>19</v>
      </c>
      <c r="G182" s="40" t="b">
        <v>0</v>
      </c>
      <c r="H182" s="40">
        <v>6</v>
      </c>
      <c r="I182" s="40">
        <v>1</v>
      </c>
      <c r="J182" s="40">
        <v>0.14000000000000001</v>
      </c>
      <c r="K182" s="40">
        <v>0.1212</v>
      </c>
      <c r="L182" s="40">
        <v>0.36</v>
      </c>
      <c r="M182" s="40">
        <v>0.25369999999999998</v>
      </c>
      <c r="N182" s="40">
        <v>4</v>
      </c>
      <c r="O182" s="40">
        <v>26</v>
      </c>
      <c r="P182" s="40">
        <v>30</v>
      </c>
      <c r="Q182" s="40">
        <v>0.1212</v>
      </c>
    </row>
    <row r="183" spans="1:17" x14ac:dyDescent="0.3">
      <c r="A183" s="40">
        <v>182</v>
      </c>
      <c r="B183" s="42">
        <v>40551</v>
      </c>
      <c r="C183" s="40">
        <v>1</v>
      </c>
      <c r="D183" s="40">
        <v>0</v>
      </c>
      <c r="E183" s="40">
        <v>1</v>
      </c>
      <c r="F183" s="40">
        <v>20</v>
      </c>
      <c r="G183" s="40" t="b">
        <v>0</v>
      </c>
      <c r="H183" s="40">
        <v>6</v>
      </c>
      <c r="I183" s="40">
        <v>1</v>
      </c>
      <c r="J183" s="40">
        <v>0.12</v>
      </c>
      <c r="K183" s="40">
        <v>0.1212</v>
      </c>
      <c r="L183" s="40">
        <v>0.36</v>
      </c>
      <c r="M183" s="40">
        <v>0.25369999999999998</v>
      </c>
      <c r="N183" s="40">
        <v>0</v>
      </c>
      <c r="O183" s="40">
        <v>28</v>
      </c>
      <c r="P183" s="40">
        <v>28</v>
      </c>
      <c r="Q183" s="40">
        <v>0.1212</v>
      </c>
    </row>
    <row r="184" spans="1:17" x14ac:dyDescent="0.3">
      <c r="A184" s="40">
        <v>183</v>
      </c>
      <c r="B184" s="42">
        <v>40551</v>
      </c>
      <c r="C184" s="40">
        <v>1</v>
      </c>
      <c r="D184" s="40">
        <v>0</v>
      </c>
      <c r="E184" s="40">
        <v>1</v>
      </c>
      <c r="F184" s="40">
        <v>21</v>
      </c>
      <c r="G184" s="40" t="b">
        <v>0</v>
      </c>
      <c r="H184" s="40">
        <v>6</v>
      </c>
      <c r="I184" s="40">
        <v>1</v>
      </c>
      <c r="J184" s="40">
        <v>0.12</v>
      </c>
      <c r="K184" s="40">
        <v>0.1061</v>
      </c>
      <c r="L184" s="40">
        <v>0.39</v>
      </c>
      <c r="M184" s="40">
        <v>0.35820000000000002</v>
      </c>
      <c r="N184" s="40">
        <v>2</v>
      </c>
      <c r="O184" s="40">
        <v>35</v>
      </c>
      <c r="P184" s="40">
        <v>37</v>
      </c>
      <c r="Q184" s="40">
        <v>0.1061</v>
      </c>
    </row>
    <row r="185" spans="1:17" x14ac:dyDescent="0.3">
      <c r="A185" s="40">
        <v>184</v>
      </c>
      <c r="B185" s="42">
        <v>40551</v>
      </c>
      <c r="C185" s="40">
        <v>1</v>
      </c>
      <c r="D185" s="40">
        <v>0</v>
      </c>
      <c r="E185" s="40">
        <v>1</v>
      </c>
      <c r="F185" s="40">
        <v>22</v>
      </c>
      <c r="G185" s="40" t="b">
        <v>0</v>
      </c>
      <c r="H185" s="40">
        <v>6</v>
      </c>
      <c r="I185" s="40">
        <v>1</v>
      </c>
      <c r="J185" s="40">
        <v>0.12</v>
      </c>
      <c r="K185" s="40">
        <v>0.1061</v>
      </c>
      <c r="L185" s="40">
        <v>0.36</v>
      </c>
      <c r="M185" s="40">
        <v>0.3881</v>
      </c>
      <c r="N185" s="40">
        <v>1</v>
      </c>
      <c r="O185" s="40">
        <v>33</v>
      </c>
      <c r="P185" s="40">
        <v>34</v>
      </c>
      <c r="Q185" s="40">
        <v>0.1061</v>
      </c>
    </row>
    <row r="186" spans="1:17" x14ac:dyDescent="0.3">
      <c r="A186" s="40">
        <v>185</v>
      </c>
      <c r="B186" s="42">
        <v>40551</v>
      </c>
      <c r="C186" s="40">
        <v>1</v>
      </c>
      <c r="D186" s="40">
        <v>0</v>
      </c>
      <c r="E186" s="40">
        <v>1</v>
      </c>
      <c r="F186" s="40">
        <v>23</v>
      </c>
      <c r="G186" s="40" t="b">
        <v>0</v>
      </c>
      <c r="H186" s="40">
        <v>6</v>
      </c>
      <c r="I186" s="40">
        <v>1</v>
      </c>
      <c r="J186" s="40">
        <v>0.1</v>
      </c>
      <c r="K186" s="40">
        <v>6.0600000000000001E-2</v>
      </c>
      <c r="L186" s="40">
        <v>0.39</v>
      </c>
      <c r="M186" s="40">
        <v>0.44779999999999998</v>
      </c>
      <c r="N186" s="40">
        <v>0</v>
      </c>
      <c r="O186" s="40">
        <v>22</v>
      </c>
      <c r="P186" s="40">
        <v>22</v>
      </c>
      <c r="Q186" s="40">
        <v>6.0600000000000001E-2</v>
      </c>
    </row>
    <row r="187" spans="1:17" x14ac:dyDescent="0.3">
      <c r="A187" s="40">
        <v>186</v>
      </c>
      <c r="B187" s="42">
        <v>40552</v>
      </c>
      <c r="C187" s="40">
        <v>1</v>
      </c>
      <c r="D187" s="40">
        <v>0</v>
      </c>
      <c r="E187" s="40">
        <v>1</v>
      </c>
      <c r="F187" s="40">
        <v>0</v>
      </c>
      <c r="G187" s="40" t="b">
        <v>0</v>
      </c>
      <c r="H187" s="40">
        <v>7</v>
      </c>
      <c r="I187" s="40">
        <v>1</v>
      </c>
      <c r="J187" s="40">
        <v>0.1</v>
      </c>
      <c r="K187" s="40">
        <v>7.5800000000000006E-2</v>
      </c>
      <c r="L187" s="40">
        <v>0.42</v>
      </c>
      <c r="M187" s="40">
        <v>0.3881</v>
      </c>
      <c r="N187" s="40">
        <v>1</v>
      </c>
      <c r="O187" s="40">
        <v>24</v>
      </c>
      <c r="P187" s="40">
        <v>25</v>
      </c>
      <c r="Q187" s="40">
        <v>7.5800000000000006E-2</v>
      </c>
    </row>
    <row r="188" spans="1:17" x14ac:dyDescent="0.3">
      <c r="A188" s="40">
        <v>187</v>
      </c>
      <c r="B188" s="42">
        <v>40552</v>
      </c>
      <c r="C188" s="40">
        <v>1</v>
      </c>
      <c r="D188" s="40">
        <v>0</v>
      </c>
      <c r="E188" s="40">
        <v>1</v>
      </c>
      <c r="F188" s="40">
        <v>1</v>
      </c>
      <c r="G188" s="40" t="b">
        <v>0</v>
      </c>
      <c r="H188" s="40">
        <v>7</v>
      </c>
      <c r="I188" s="40">
        <v>1</v>
      </c>
      <c r="J188" s="40">
        <v>0.1</v>
      </c>
      <c r="K188" s="40">
        <v>6.0600000000000001E-2</v>
      </c>
      <c r="L188" s="40">
        <v>0.42</v>
      </c>
      <c r="M188" s="40">
        <v>0.4627</v>
      </c>
      <c r="N188" s="40">
        <v>0</v>
      </c>
      <c r="O188" s="40">
        <v>12</v>
      </c>
      <c r="P188" s="40">
        <v>12</v>
      </c>
      <c r="Q188" s="40">
        <v>6.0600000000000001E-2</v>
      </c>
    </row>
    <row r="189" spans="1:17" x14ac:dyDescent="0.3">
      <c r="A189" s="40">
        <v>188</v>
      </c>
      <c r="B189" s="42">
        <v>40552</v>
      </c>
      <c r="C189" s="40">
        <v>1</v>
      </c>
      <c r="D189" s="40">
        <v>0</v>
      </c>
      <c r="E189" s="40">
        <v>1</v>
      </c>
      <c r="F189" s="40">
        <v>2</v>
      </c>
      <c r="G189" s="40" t="b">
        <v>0</v>
      </c>
      <c r="H189" s="40">
        <v>7</v>
      </c>
      <c r="I189" s="40">
        <v>1</v>
      </c>
      <c r="J189" s="40">
        <v>0.1</v>
      </c>
      <c r="K189" s="40">
        <v>6.0600000000000001E-2</v>
      </c>
      <c r="L189" s="40">
        <v>0.46</v>
      </c>
      <c r="M189" s="40">
        <v>0.4627</v>
      </c>
      <c r="N189" s="40">
        <v>0</v>
      </c>
      <c r="O189" s="40">
        <v>11</v>
      </c>
      <c r="P189" s="40">
        <v>11</v>
      </c>
      <c r="Q189" s="40">
        <v>6.0600000000000001E-2</v>
      </c>
    </row>
    <row r="190" spans="1:17" x14ac:dyDescent="0.3">
      <c r="A190" s="40">
        <v>189</v>
      </c>
      <c r="B190" s="42">
        <v>40552</v>
      </c>
      <c r="C190" s="40">
        <v>1</v>
      </c>
      <c r="D190" s="40">
        <v>0</v>
      </c>
      <c r="E190" s="40">
        <v>1</v>
      </c>
      <c r="F190" s="40">
        <v>3</v>
      </c>
      <c r="G190" s="40" t="b">
        <v>0</v>
      </c>
      <c r="H190" s="40">
        <v>7</v>
      </c>
      <c r="I190" s="40">
        <v>1</v>
      </c>
      <c r="J190" s="40">
        <v>0.1</v>
      </c>
      <c r="K190" s="40">
        <v>7.5800000000000006E-2</v>
      </c>
      <c r="L190" s="40">
        <v>0.46</v>
      </c>
      <c r="M190" s="40">
        <v>0.41789999999999999</v>
      </c>
      <c r="N190" s="40">
        <v>0</v>
      </c>
      <c r="O190" s="40">
        <v>4</v>
      </c>
      <c r="P190" s="40">
        <v>4</v>
      </c>
      <c r="Q190" s="40">
        <v>7.5800000000000006E-2</v>
      </c>
    </row>
    <row r="191" spans="1:17" x14ac:dyDescent="0.3">
      <c r="A191" s="40">
        <v>190</v>
      </c>
      <c r="B191" s="42">
        <v>40552</v>
      </c>
      <c r="C191" s="40">
        <v>1</v>
      </c>
      <c r="D191" s="40">
        <v>0</v>
      </c>
      <c r="E191" s="40">
        <v>1</v>
      </c>
      <c r="F191" s="40">
        <v>4</v>
      </c>
      <c r="G191" s="40" t="b">
        <v>0</v>
      </c>
      <c r="H191" s="40">
        <v>7</v>
      </c>
      <c r="I191" s="40">
        <v>1</v>
      </c>
      <c r="J191" s="40">
        <v>0.08</v>
      </c>
      <c r="K191" s="40">
        <v>9.0899999999999995E-2</v>
      </c>
      <c r="L191" s="40">
        <v>0.53</v>
      </c>
      <c r="M191" s="40">
        <v>0.19400000000000001</v>
      </c>
      <c r="N191" s="40">
        <v>0</v>
      </c>
      <c r="O191" s="40">
        <v>1</v>
      </c>
      <c r="P191" s="40">
        <v>1</v>
      </c>
      <c r="Q191" s="40">
        <v>9.0899999999999995E-2</v>
      </c>
    </row>
    <row r="192" spans="1:17" x14ac:dyDescent="0.3">
      <c r="A192" s="40">
        <v>191</v>
      </c>
      <c r="B192" s="42">
        <v>40552</v>
      </c>
      <c r="C192" s="40">
        <v>1</v>
      </c>
      <c r="D192" s="40">
        <v>0</v>
      </c>
      <c r="E192" s="40">
        <v>1</v>
      </c>
      <c r="F192" s="40">
        <v>5</v>
      </c>
      <c r="G192" s="40" t="b">
        <v>0</v>
      </c>
      <c r="H192" s="40">
        <v>7</v>
      </c>
      <c r="I192" s="40">
        <v>1</v>
      </c>
      <c r="J192" s="40">
        <v>0.08</v>
      </c>
      <c r="K192" s="40">
        <v>9.0899999999999995E-2</v>
      </c>
      <c r="L192" s="40">
        <v>0.53</v>
      </c>
      <c r="M192" s="40">
        <v>0.19400000000000001</v>
      </c>
      <c r="N192" s="40">
        <v>0</v>
      </c>
      <c r="O192" s="40">
        <v>1</v>
      </c>
      <c r="P192" s="40">
        <v>1</v>
      </c>
      <c r="Q192" s="40">
        <v>9.0899999999999995E-2</v>
      </c>
    </row>
    <row r="193" spans="1:17" x14ac:dyDescent="0.3">
      <c r="A193" s="40">
        <v>192</v>
      </c>
      <c r="B193" s="42">
        <v>40552</v>
      </c>
      <c r="C193" s="40">
        <v>1</v>
      </c>
      <c r="D193" s="40">
        <v>0</v>
      </c>
      <c r="E193" s="40">
        <v>1</v>
      </c>
      <c r="F193" s="40">
        <v>6</v>
      </c>
      <c r="G193" s="40" t="b">
        <v>0</v>
      </c>
      <c r="H193" s="40">
        <v>7</v>
      </c>
      <c r="I193" s="40">
        <v>1</v>
      </c>
      <c r="J193" s="40">
        <v>0.1</v>
      </c>
      <c r="K193" s="40">
        <v>9.0899999999999995E-2</v>
      </c>
      <c r="L193" s="40">
        <v>0.49</v>
      </c>
      <c r="M193" s="40">
        <v>0.28360000000000002</v>
      </c>
      <c r="N193" s="40">
        <v>0</v>
      </c>
      <c r="O193" s="40">
        <v>1</v>
      </c>
      <c r="P193" s="40">
        <v>1</v>
      </c>
      <c r="Q193" s="40">
        <v>9.0899999999999995E-2</v>
      </c>
    </row>
    <row r="194" spans="1:17" x14ac:dyDescent="0.3">
      <c r="A194" s="40">
        <v>193</v>
      </c>
      <c r="B194" s="42">
        <v>40552</v>
      </c>
      <c r="C194" s="40">
        <v>1</v>
      </c>
      <c r="D194" s="40">
        <v>0</v>
      </c>
      <c r="E194" s="40">
        <v>1</v>
      </c>
      <c r="F194" s="40">
        <v>7</v>
      </c>
      <c r="G194" s="40" t="b">
        <v>0</v>
      </c>
      <c r="H194" s="40">
        <v>7</v>
      </c>
      <c r="I194" s="40">
        <v>1</v>
      </c>
      <c r="J194" s="40">
        <v>0.08</v>
      </c>
      <c r="K194" s="40">
        <v>9.0899999999999995E-2</v>
      </c>
      <c r="L194" s="40">
        <v>0.53</v>
      </c>
      <c r="M194" s="40">
        <v>0.19400000000000001</v>
      </c>
      <c r="N194" s="40">
        <v>1</v>
      </c>
      <c r="O194" s="40">
        <v>5</v>
      </c>
      <c r="P194" s="40">
        <v>6</v>
      </c>
      <c r="Q194" s="40">
        <v>9.0899999999999995E-2</v>
      </c>
    </row>
    <row r="195" spans="1:17" x14ac:dyDescent="0.3">
      <c r="A195" s="40">
        <v>194</v>
      </c>
      <c r="B195" s="42">
        <v>40552</v>
      </c>
      <c r="C195" s="40">
        <v>1</v>
      </c>
      <c r="D195" s="40">
        <v>0</v>
      </c>
      <c r="E195" s="40">
        <v>1</v>
      </c>
      <c r="F195" s="40">
        <v>8</v>
      </c>
      <c r="G195" s="40" t="b">
        <v>0</v>
      </c>
      <c r="H195" s="40">
        <v>7</v>
      </c>
      <c r="I195" s="40">
        <v>1</v>
      </c>
      <c r="J195" s="40">
        <v>0.1</v>
      </c>
      <c r="K195" s="40">
        <v>9.0899999999999995E-2</v>
      </c>
      <c r="L195" s="40">
        <v>0.49</v>
      </c>
      <c r="M195" s="40">
        <v>0.28360000000000002</v>
      </c>
      <c r="N195" s="40">
        <v>0</v>
      </c>
      <c r="O195" s="40">
        <v>10</v>
      </c>
      <c r="P195" s="40">
        <v>10</v>
      </c>
      <c r="Q195" s="40">
        <v>9.0899999999999995E-2</v>
      </c>
    </row>
    <row r="196" spans="1:17" x14ac:dyDescent="0.3">
      <c r="A196" s="40">
        <v>195</v>
      </c>
      <c r="B196" s="42">
        <v>40552</v>
      </c>
      <c r="C196" s="40">
        <v>1</v>
      </c>
      <c r="D196" s="40">
        <v>0</v>
      </c>
      <c r="E196" s="40">
        <v>1</v>
      </c>
      <c r="F196" s="40">
        <v>9</v>
      </c>
      <c r="G196" s="40" t="b">
        <v>0</v>
      </c>
      <c r="H196" s="40">
        <v>7</v>
      </c>
      <c r="I196" s="40">
        <v>1</v>
      </c>
      <c r="J196" s="40">
        <v>0.12</v>
      </c>
      <c r="K196" s="40">
        <v>7.5800000000000006E-2</v>
      </c>
      <c r="L196" s="40">
        <v>0.46</v>
      </c>
      <c r="M196" s="40">
        <v>0.52239999999999998</v>
      </c>
      <c r="N196" s="40">
        <v>0</v>
      </c>
      <c r="O196" s="40">
        <v>19</v>
      </c>
      <c r="P196" s="40">
        <v>19</v>
      </c>
      <c r="Q196" s="40">
        <v>7.5800000000000006E-2</v>
      </c>
    </row>
    <row r="197" spans="1:17" x14ac:dyDescent="0.3">
      <c r="A197" s="40">
        <v>196</v>
      </c>
      <c r="B197" s="42">
        <v>40552</v>
      </c>
      <c r="C197" s="40">
        <v>1</v>
      </c>
      <c r="D197" s="40">
        <v>0</v>
      </c>
      <c r="E197" s="40">
        <v>1</v>
      </c>
      <c r="F197" s="40">
        <v>10</v>
      </c>
      <c r="G197" s="40" t="b">
        <v>0</v>
      </c>
      <c r="H197" s="40">
        <v>7</v>
      </c>
      <c r="I197" s="40">
        <v>1</v>
      </c>
      <c r="J197" s="40">
        <v>0.14000000000000001</v>
      </c>
      <c r="K197" s="40">
        <v>0.1061</v>
      </c>
      <c r="L197" s="40">
        <v>0.43</v>
      </c>
      <c r="M197" s="40">
        <v>0.3881</v>
      </c>
      <c r="N197" s="40">
        <v>0</v>
      </c>
      <c r="O197" s="40">
        <v>49</v>
      </c>
      <c r="P197" s="40">
        <v>49</v>
      </c>
      <c r="Q197" s="40">
        <v>0.1061</v>
      </c>
    </row>
    <row r="198" spans="1:17" x14ac:dyDescent="0.3">
      <c r="A198" s="40">
        <v>197</v>
      </c>
      <c r="B198" s="42">
        <v>40552</v>
      </c>
      <c r="C198" s="40">
        <v>1</v>
      </c>
      <c r="D198" s="40">
        <v>0</v>
      </c>
      <c r="E198" s="40">
        <v>1</v>
      </c>
      <c r="F198" s="40">
        <v>11</v>
      </c>
      <c r="G198" s="40" t="b">
        <v>0</v>
      </c>
      <c r="H198" s="40">
        <v>7</v>
      </c>
      <c r="I198" s="40">
        <v>1</v>
      </c>
      <c r="J198" s="40">
        <v>0.16</v>
      </c>
      <c r="K198" s="40">
        <v>0.1212</v>
      </c>
      <c r="L198" s="40">
        <v>0.4</v>
      </c>
      <c r="M198" s="40">
        <v>0.52239999999999998</v>
      </c>
      <c r="N198" s="40">
        <v>2</v>
      </c>
      <c r="O198" s="40">
        <v>47</v>
      </c>
      <c r="P198" s="40">
        <v>49</v>
      </c>
      <c r="Q198" s="40">
        <v>0.1212</v>
      </c>
    </row>
    <row r="199" spans="1:17" x14ac:dyDescent="0.3">
      <c r="A199" s="40">
        <v>198</v>
      </c>
      <c r="B199" s="42">
        <v>40552</v>
      </c>
      <c r="C199" s="40">
        <v>1</v>
      </c>
      <c r="D199" s="40">
        <v>0</v>
      </c>
      <c r="E199" s="40">
        <v>1</v>
      </c>
      <c r="F199" s="40">
        <v>12</v>
      </c>
      <c r="G199" s="40" t="b">
        <v>0</v>
      </c>
      <c r="H199" s="40">
        <v>7</v>
      </c>
      <c r="I199" s="40">
        <v>1</v>
      </c>
      <c r="J199" s="40">
        <v>0.18</v>
      </c>
      <c r="K199" s="40">
        <v>0.13639999999999999</v>
      </c>
      <c r="L199" s="40">
        <v>0.37</v>
      </c>
      <c r="M199" s="40">
        <v>0.44779999999999998</v>
      </c>
      <c r="N199" s="40">
        <v>4</v>
      </c>
      <c r="O199" s="40">
        <v>79</v>
      </c>
      <c r="P199" s="40">
        <v>83</v>
      </c>
      <c r="Q199" s="40">
        <v>0.13639999999999999</v>
      </c>
    </row>
    <row r="200" spans="1:17" x14ac:dyDescent="0.3">
      <c r="A200" s="40">
        <v>199</v>
      </c>
      <c r="B200" s="42">
        <v>40552</v>
      </c>
      <c r="C200" s="40">
        <v>1</v>
      </c>
      <c r="D200" s="40">
        <v>0</v>
      </c>
      <c r="E200" s="40">
        <v>1</v>
      </c>
      <c r="F200" s="40">
        <v>13</v>
      </c>
      <c r="G200" s="40" t="b">
        <v>0</v>
      </c>
      <c r="H200" s="40">
        <v>7</v>
      </c>
      <c r="I200" s="40">
        <v>1</v>
      </c>
      <c r="J200" s="40">
        <v>0.2</v>
      </c>
      <c r="K200" s="40">
        <v>0.16669999999999999</v>
      </c>
      <c r="L200" s="40">
        <v>0.34</v>
      </c>
      <c r="M200" s="40">
        <v>0.44779999999999998</v>
      </c>
      <c r="N200" s="40">
        <v>6</v>
      </c>
      <c r="O200" s="40">
        <v>69</v>
      </c>
      <c r="P200" s="40">
        <v>75</v>
      </c>
      <c r="Q200" s="40">
        <v>0.16669999999999999</v>
      </c>
    </row>
    <row r="201" spans="1:17" x14ac:dyDescent="0.3">
      <c r="A201" s="40">
        <v>200</v>
      </c>
      <c r="B201" s="42">
        <v>40552</v>
      </c>
      <c r="C201" s="40">
        <v>1</v>
      </c>
      <c r="D201" s="40">
        <v>0</v>
      </c>
      <c r="E201" s="40">
        <v>1</v>
      </c>
      <c r="F201" s="40">
        <v>14</v>
      </c>
      <c r="G201" s="40" t="b">
        <v>0</v>
      </c>
      <c r="H201" s="40">
        <v>7</v>
      </c>
      <c r="I201" s="40">
        <v>1</v>
      </c>
      <c r="J201" s="40">
        <v>0.22</v>
      </c>
      <c r="K201" s="40">
        <v>0.18179999999999999</v>
      </c>
      <c r="L201" s="40">
        <v>0.32</v>
      </c>
      <c r="M201" s="40">
        <v>0.4627</v>
      </c>
      <c r="N201" s="40">
        <v>8</v>
      </c>
      <c r="O201" s="40">
        <v>64</v>
      </c>
      <c r="P201" s="40">
        <v>72</v>
      </c>
      <c r="Q201" s="40">
        <v>0.18179999999999999</v>
      </c>
    </row>
    <row r="202" spans="1:17" x14ac:dyDescent="0.3">
      <c r="A202" s="40">
        <v>201</v>
      </c>
      <c r="B202" s="42">
        <v>40552</v>
      </c>
      <c r="C202" s="40">
        <v>1</v>
      </c>
      <c r="D202" s="40">
        <v>0</v>
      </c>
      <c r="E202" s="40">
        <v>1</v>
      </c>
      <c r="F202" s="40">
        <v>15</v>
      </c>
      <c r="G202" s="40" t="b">
        <v>0</v>
      </c>
      <c r="H202" s="40">
        <v>7</v>
      </c>
      <c r="I202" s="40">
        <v>1</v>
      </c>
      <c r="J202" s="40">
        <v>0.22</v>
      </c>
      <c r="K202" s="40">
        <v>0.19700000000000001</v>
      </c>
      <c r="L202" s="40">
        <v>0.35</v>
      </c>
      <c r="M202" s="40">
        <v>0.35820000000000002</v>
      </c>
      <c r="N202" s="40">
        <v>5</v>
      </c>
      <c r="O202" s="40">
        <v>77</v>
      </c>
      <c r="P202" s="40">
        <v>82</v>
      </c>
      <c r="Q202" s="40">
        <v>0.19700000000000001</v>
      </c>
    </row>
    <row r="203" spans="1:17" x14ac:dyDescent="0.3">
      <c r="A203" s="40">
        <v>202</v>
      </c>
      <c r="B203" s="42">
        <v>40552</v>
      </c>
      <c r="C203" s="40">
        <v>1</v>
      </c>
      <c r="D203" s="40">
        <v>0</v>
      </c>
      <c r="E203" s="40">
        <v>1</v>
      </c>
      <c r="F203" s="40">
        <v>16</v>
      </c>
      <c r="G203" s="40" t="b">
        <v>0</v>
      </c>
      <c r="H203" s="40">
        <v>7</v>
      </c>
      <c r="I203" s="40">
        <v>1</v>
      </c>
      <c r="J203" s="40">
        <v>0.2</v>
      </c>
      <c r="K203" s="40">
        <v>0.16669999999999999</v>
      </c>
      <c r="L203" s="40">
        <v>0.34</v>
      </c>
      <c r="M203" s="40">
        <v>0.44779999999999998</v>
      </c>
      <c r="N203" s="40">
        <v>13</v>
      </c>
      <c r="O203" s="40">
        <v>79</v>
      </c>
      <c r="P203" s="40">
        <v>92</v>
      </c>
      <c r="Q203" s="40">
        <v>0.16669999999999999</v>
      </c>
    </row>
    <row r="204" spans="1:17" x14ac:dyDescent="0.3">
      <c r="A204" s="40">
        <v>203</v>
      </c>
      <c r="B204" s="42">
        <v>40552</v>
      </c>
      <c r="C204" s="40">
        <v>1</v>
      </c>
      <c r="D204" s="40">
        <v>0</v>
      </c>
      <c r="E204" s="40">
        <v>1</v>
      </c>
      <c r="F204" s="40">
        <v>17</v>
      </c>
      <c r="G204" s="40" t="b">
        <v>0</v>
      </c>
      <c r="H204" s="40">
        <v>7</v>
      </c>
      <c r="I204" s="40">
        <v>1</v>
      </c>
      <c r="J204" s="40">
        <v>0.18</v>
      </c>
      <c r="K204" s="40">
        <v>0.1515</v>
      </c>
      <c r="L204" s="40">
        <v>0.37</v>
      </c>
      <c r="M204" s="40">
        <v>0.3881</v>
      </c>
      <c r="N204" s="40">
        <v>3</v>
      </c>
      <c r="O204" s="40">
        <v>59</v>
      </c>
      <c r="P204" s="40">
        <v>62</v>
      </c>
      <c r="Q204" s="40">
        <v>0.1515</v>
      </c>
    </row>
    <row r="205" spans="1:17" x14ac:dyDescent="0.3">
      <c r="A205" s="40">
        <v>204</v>
      </c>
      <c r="B205" s="42">
        <v>40552</v>
      </c>
      <c r="C205" s="40">
        <v>1</v>
      </c>
      <c r="D205" s="40">
        <v>0</v>
      </c>
      <c r="E205" s="40">
        <v>1</v>
      </c>
      <c r="F205" s="40">
        <v>18</v>
      </c>
      <c r="G205" s="40" t="b">
        <v>0</v>
      </c>
      <c r="H205" s="40">
        <v>7</v>
      </c>
      <c r="I205" s="40">
        <v>1</v>
      </c>
      <c r="J205" s="40">
        <v>0.16</v>
      </c>
      <c r="K205" s="40">
        <v>0.13639999999999999</v>
      </c>
      <c r="L205" s="40">
        <v>0.4</v>
      </c>
      <c r="M205" s="40">
        <v>0.32840000000000003</v>
      </c>
      <c r="N205" s="40">
        <v>4</v>
      </c>
      <c r="O205" s="40">
        <v>44</v>
      </c>
      <c r="P205" s="40">
        <v>48</v>
      </c>
      <c r="Q205" s="40">
        <v>0.13639999999999999</v>
      </c>
    </row>
    <row r="206" spans="1:17" x14ac:dyDescent="0.3">
      <c r="A206" s="40">
        <v>205</v>
      </c>
      <c r="B206" s="42">
        <v>40552</v>
      </c>
      <c r="C206" s="40">
        <v>1</v>
      </c>
      <c r="D206" s="40">
        <v>0</v>
      </c>
      <c r="E206" s="40">
        <v>1</v>
      </c>
      <c r="F206" s="40">
        <v>19</v>
      </c>
      <c r="G206" s="40" t="b">
        <v>0</v>
      </c>
      <c r="H206" s="40">
        <v>7</v>
      </c>
      <c r="I206" s="40">
        <v>1</v>
      </c>
      <c r="J206" s="40">
        <v>0.16</v>
      </c>
      <c r="K206" s="40">
        <v>0.13639999999999999</v>
      </c>
      <c r="L206" s="40">
        <v>0.43</v>
      </c>
      <c r="M206" s="40">
        <v>0.32840000000000003</v>
      </c>
      <c r="N206" s="40">
        <v>1</v>
      </c>
      <c r="O206" s="40">
        <v>40</v>
      </c>
      <c r="P206" s="40">
        <v>41</v>
      </c>
      <c r="Q206" s="40">
        <v>0.13639999999999999</v>
      </c>
    </row>
    <row r="207" spans="1:17" x14ac:dyDescent="0.3">
      <c r="A207" s="40">
        <v>206</v>
      </c>
      <c r="B207" s="42">
        <v>40552</v>
      </c>
      <c r="C207" s="40">
        <v>1</v>
      </c>
      <c r="D207" s="40">
        <v>0</v>
      </c>
      <c r="E207" s="40">
        <v>1</v>
      </c>
      <c r="F207" s="40">
        <v>20</v>
      </c>
      <c r="G207" s="40" t="b">
        <v>0</v>
      </c>
      <c r="H207" s="40">
        <v>7</v>
      </c>
      <c r="I207" s="40">
        <v>1</v>
      </c>
      <c r="J207" s="40">
        <v>0.14000000000000001</v>
      </c>
      <c r="K207" s="40">
        <v>0.1212</v>
      </c>
      <c r="L207" s="40">
        <v>0.46</v>
      </c>
      <c r="M207" s="40">
        <v>0.25369999999999998</v>
      </c>
      <c r="N207" s="40">
        <v>0</v>
      </c>
      <c r="O207" s="40">
        <v>38</v>
      </c>
      <c r="P207" s="40">
        <v>38</v>
      </c>
      <c r="Q207" s="40">
        <v>0.1212</v>
      </c>
    </row>
    <row r="208" spans="1:17" x14ac:dyDescent="0.3">
      <c r="A208" s="40">
        <v>207</v>
      </c>
      <c r="B208" s="42">
        <v>40552</v>
      </c>
      <c r="C208" s="40">
        <v>1</v>
      </c>
      <c r="D208" s="40">
        <v>0</v>
      </c>
      <c r="E208" s="40">
        <v>1</v>
      </c>
      <c r="F208" s="40">
        <v>21</v>
      </c>
      <c r="G208" s="40" t="b">
        <v>0</v>
      </c>
      <c r="H208" s="40">
        <v>7</v>
      </c>
      <c r="I208" s="40">
        <v>1</v>
      </c>
      <c r="J208" s="40">
        <v>0.14000000000000001</v>
      </c>
      <c r="K208" s="40">
        <v>0.1061</v>
      </c>
      <c r="L208" s="40">
        <v>0.46</v>
      </c>
      <c r="M208" s="40">
        <v>0.41789999999999999</v>
      </c>
      <c r="N208" s="40">
        <v>1</v>
      </c>
      <c r="O208" s="40">
        <v>19</v>
      </c>
      <c r="P208" s="40">
        <v>20</v>
      </c>
      <c r="Q208" s="40">
        <v>0.1061</v>
      </c>
    </row>
    <row r="209" spans="1:17" x14ac:dyDescent="0.3">
      <c r="A209" s="40">
        <v>208</v>
      </c>
      <c r="B209" s="42">
        <v>40552</v>
      </c>
      <c r="C209" s="40">
        <v>1</v>
      </c>
      <c r="D209" s="40">
        <v>0</v>
      </c>
      <c r="E209" s="40">
        <v>1</v>
      </c>
      <c r="F209" s="40">
        <v>22</v>
      </c>
      <c r="G209" s="40" t="b">
        <v>0</v>
      </c>
      <c r="H209" s="40">
        <v>7</v>
      </c>
      <c r="I209" s="40">
        <v>1</v>
      </c>
      <c r="J209" s="40">
        <v>0.14000000000000001</v>
      </c>
      <c r="K209" s="40">
        <v>0.1212</v>
      </c>
      <c r="L209" s="40">
        <v>0.46</v>
      </c>
      <c r="M209" s="40">
        <v>0.29849999999999999</v>
      </c>
      <c r="N209" s="40">
        <v>5</v>
      </c>
      <c r="O209" s="40">
        <v>10</v>
      </c>
      <c r="P209" s="40">
        <v>15</v>
      </c>
      <c r="Q209" s="40">
        <v>0.1212</v>
      </c>
    </row>
    <row r="210" spans="1:17" x14ac:dyDescent="0.3">
      <c r="A210" s="40">
        <v>209</v>
      </c>
      <c r="B210" s="42">
        <v>40552</v>
      </c>
      <c r="C210" s="40">
        <v>1</v>
      </c>
      <c r="D210" s="40">
        <v>0</v>
      </c>
      <c r="E210" s="40">
        <v>1</v>
      </c>
      <c r="F210" s="40">
        <v>23</v>
      </c>
      <c r="G210" s="40" t="b">
        <v>0</v>
      </c>
      <c r="H210" s="40">
        <v>7</v>
      </c>
      <c r="I210" s="40">
        <v>1</v>
      </c>
      <c r="J210" s="40">
        <v>0.12</v>
      </c>
      <c r="K210" s="40">
        <v>0.13639999999999999</v>
      </c>
      <c r="L210" s="40">
        <v>0.5</v>
      </c>
      <c r="M210" s="40">
        <v>0.19400000000000001</v>
      </c>
      <c r="N210" s="40">
        <v>0</v>
      </c>
      <c r="O210" s="40">
        <v>6</v>
      </c>
      <c r="P210" s="40">
        <v>6</v>
      </c>
      <c r="Q210" s="40">
        <v>0.13639999999999999</v>
      </c>
    </row>
    <row r="211" spans="1:17" x14ac:dyDescent="0.3">
      <c r="A211" s="40">
        <v>210</v>
      </c>
      <c r="B211" s="42">
        <v>40553</v>
      </c>
      <c r="C211" s="40">
        <v>1</v>
      </c>
      <c r="D211" s="40">
        <v>0</v>
      </c>
      <c r="E211" s="40">
        <v>1</v>
      </c>
      <c r="F211" s="40">
        <v>0</v>
      </c>
      <c r="G211" s="40" t="b">
        <v>0</v>
      </c>
      <c r="H211" s="40">
        <v>1</v>
      </c>
      <c r="I211" s="40">
        <v>1</v>
      </c>
      <c r="J211" s="40">
        <v>0.12</v>
      </c>
      <c r="K211" s="40">
        <v>0.1212</v>
      </c>
      <c r="L211" s="40">
        <v>0.5</v>
      </c>
      <c r="M211" s="40">
        <v>0.28360000000000002</v>
      </c>
      <c r="N211" s="40">
        <v>2</v>
      </c>
      <c r="O211" s="40">
        <v>3</v>
      </c>
      <c r="P211" s="40">
        <v>5</v>
      </c>
      <c r="Q211" s="40">
        <v>0.1212</v>
      </c>
    </row>
    <row r="212" spans="1:17" x14ac:dyDescent="0.3">
      <c r="A212" s="40">
        <v>211</v>
      </c>
      <c r="B212" s="42">
        <v>40553</v>
      </c>
      <c r="C212" s="40">
        <v>1</v>
      </c>
      <c r="D212" s="40">
        <v>0</v>
      </c>
      <c r="E212" s="40">
        <v>1</v>
      </c>
      <c r="F212" s="40">
        <v>1</v>
      </c>
      <c r="G212" s="40" t="b">
        <v>0</v>
      </c>
      <c r="H212" s="40">
        <v>1</v>
      </c>
      <c r="I212" s="40">
        <v>1</v>
      </c>
      <c r="J212" s="40">
        <v>0.12</v>
      </c>
      <c r="K212" s="40">
        <v>0.1212</v>
      </c>
      <c r="L212" s="40">
        <v>0.5</v>
      </c>
      <c r="M212" s="40">
        <v>0.28360000000000002</v>
      </c>
      <c r="N212" s="40">
        <v>1</v>
      </c>
      <c r="O212" s="40">
        <v>0</v>
      </c>
      <c r="P212" s="40">
        <v>1</v>
      </c>
      <c r="Q212" s="40">
        <v>0.1212</v>
      </c>
    </row>
    <row r="213" spans="1:17" x14ac:dyDescent="0.3">
      <c r="A213" s="40">
        <v>212</v>
      </c>
      <c r="B213" s="42">
        <v>40553</v>
      </c>
      <c r="C213" s="40">
        <v>1</v>
      </c>
      <c r="D213" s="40">
        <v>0</v>
      </c>
      <c r="E213" s="40">
        <v>1</v>
      </c>
      <c r="F213" s="40">
        <v>2</v>
      </c>
      <c r="G213" s="40" t="b">
        <v>0</v>
      </c>
      <c r="H213" s="40">
        <v>1</v>
      </c>
      <c r="I213" s="40">
        <v>1</v>
      </c>
      <c r="J213" s="40">
        <v>0.12</v>
      </c>
      <c r="K213" s="40">
        <v>0.1212</v>
      </c>
      <c r="L213" s="40">
        <v>0.5</v>
      </c>
      <c r="M213" s="40">
        <v>0.22389999999999999</v>
      </c>
      <c r="N213" s="40">
        <v>0</v>
      </c>
      <c r="O213" s="40">
        <v>3</v>
      </c>
      <c r="P213" s="40">
        <v>3</v>
      </c>
      <c r="Q213" s="40">
        <v>0.1212</v>
      </c>
    </row>
    <row r="214" spans="1:17" x14ac:dyDescent="0.3">
      <c r="A214" s="40">
        <v>213</v>
      </c>
      <c r="B214" s="42">
        <v>40553</v>
      </c>
      <c r="C214" s="40">
        <v>1</v>
      </c>
      <c r="D214" s="40">
        <v>0</v>
      </c>
      <c r="E214" s="40">
        <v>1</v>
      </c>
      <c r="F214" s="40">
        <v>3</v>
      </c>
      <c r="G214" s="40" t="b">
        <v>0</v>
      </c>
      <c r="H214" s="40">
        <v>1</v>
      </c>
      <c r="I214" s="40">
        <v>1</v>
      </c>
      <c r="J214" s="40">
        <v>0.12</v>
      </c>
      <c r="K214" s="40">
        <v>0.1212</v>
      </c>
      <c r="L214" s="40">
        <v>0.5</v>
      </c>
      <c r="M214" s="40">
        <v>0.22389999999999999</v>
      </c>
      <c r="N214" s="40">
        <v>0</v>
      </c>
      <c r="O214" s="40">
        <v>1</v>
      </c>
      <c r="P214" s="40">
        <v>1</v>
      </c>
      <c r="Q214" s="40">
        <v>0.1212</v>
      </c>
    </row>
    <row r="215" spans="1:17" x14ac:dyDescent="0.3">
      <c r="A215" s="40">
        <v>214</v>
      </c>
      <c r="B215" s="42">
        <v>40553</v>
      </c>
      <c r="C215" s="40">
        <v>1</v>
      </c>
      <c r="D215" s="40">
        <v>0</v>
      </c>
      <c r="E215" s="40">
        <v>1</v>
      </c>
      <c r="F215" s="40">
        <v>4</v>
      </c>
      <c r="G215" s="40" t="b">
        <v>0</v>
      </c>
      <c r="H215" s="40">
        <v>1</v>
      </c>
      <c r="I215" s="40">
        <v>1</v>
      </c>
      <c r="J215" s="40">
        <v>0.1</v>
      </c>
      <c r="K215" s="40">
        <v>0.1212</v>
      </c>
      <c r="L215" s="40">
        <v>0.54</v>
      </c>
      <c r="M215" s="40">
        <v>0.1343</v>
      </c>
      <c r="N215" s="40">
        <v>1</v>
      </c>
      <c r="O215" s="40">
        <v>2</v>
      </c>
      <c r="P215" s="40">
        <v>3</v>
      </c>
      <c r="Q215" s="40">
        <v>0.1212</v>
      </c>
    </row>
    <row r="216" spans="1:17" x14ac:dyDescent="0.3">
      <c r="A216" s="40">
        <v>215</v>
      </c>
      <c r="B216" s="42">
        <v>40553</v>
      </c>
      <c r="C216" s="40">
        <v>1</v>
      </c>
      <c r="D216" s="40">
        <v>0</v>
      </c>
      <c r="E216" s="40">
        <v>1</v>
      </c>
      <c r="F216" s="40">
        <v>5</v>
      </c>
      <c r="G216" s="40" t="b">
        <v>0</v>
      </c>
      <c r="H216" s="40">
        <v>1</v>
      </c>
      <c r="I216" s="40">
        <v>1</v>
      </c>
      <c r="J216" s="40">
        <v>0.1</v>
      </c>
      <c r="K216" s="40">
        <v>0.1061</v>
      </c>
      <c r="L216" s="40">
        <v>0.54</v>
      </c>
      <c r="M216" s="40">
        <v>0.25369999999999998</v>
      </c>
      <c r="N216" s="40">
        <v>0</v>
      </c>
      <c r="O216" s="40">
        <v>3</v>
      </c>
      <c r="P216" s="40">
        <v>3</v>
      </c>
      <c r="Q216" s="40">
        <v>0.1061</v>
      </c>
    </row>
    <row r="217" spans="1:17" x14ac:dyDescent="0.3">
      <c r="A217" s="40">
        <v>216</v>
      </c>
      <c r="B217" s="42">
        <v>40553</v>
      </c>
      <c r="C217" s="40">
        <v>1</v>
      </c>
      <c r="D217" s="40">
        <v>0</v>
      </c>
      <c r="E217" s="40">
        <v>1</v>
      </c>
      <c r="F217" s="40">
        <v>6</v>
      </c>
      <c r="G217" s="40" t="b">
        <v>0</v>
      </c>
      <c r="H217" s="40">
        <v>1</v>
      </c>
      <c r="I217" s="40">
        <v>1</v>
      </c>
      <c r="J217" s="40">
        <v>0.12</v>
      </c>
      <c r="K217" s="40">
        <v>0.1212</v>
      </c>
      <c r="L217" s="40">
        <v>0.5</v>
      </c>
      <c r="M217" s="40">
        <v>0.28360000000000002</v>
      </c>
      <c r="N217" s="40">
        <v>0</v>
      </c>
      <c r="O217" s="40">
        <v>31</v>
      </c>
      <c r="P217" s="40">
        <v>31</v>
      </c>
      <c r="Q217" s="40">
        <v>0.1212</v>
      </c>
    </row>
    <row r="218" spans="1:17" x14ac:dyDescent="0.3">
      <c r="A218" s="40">
        <v>217</v>
      </c>
      <c r="B218" s="42">
        <v>40553</v>
      </c>
      <c r="C218" s="40">
        <v>1</v>
      </c>
      <c r="D218" s="40">
        <v>0</v>
      </c>
      <c r="E218" s="40">
        <v>1</v>
      </c>
      <c r="F218" s="40">
        <v>7</v>
      </c>
      <c r="G218" s="40" t="b">
        <v>0</v>
      </c>
      <c r="H218" s="40">
        <v>1</v>
      </c>
      <c r="I218" s="40">
        <v>1</v>
      </c>
      <c r="J218" s="40">
        <v>0.12</v>
      </c>
      <c r="K218" s="40">
        <v>0.1212</v>
      </c>
      <c r="L218" s="40">
        <v>0.5</v>
      </c>
      <c r="M218" s="40">
        <v>0.22389999999999999</v>
      </c>
      <c r="N218" s="40">
        <v>2</v>
      </c>
      <c r="O218" s="40">
        <v>75</v>
      </c>
      <c r="P218" s="40">
        <v>77</v>
      </c>
      <c r="Q218" s="40">
        <v>0.1212</v>
      </c>
    </row>
    <row r="219" spans="1:17" x14ac:dyDescent="0.3">
      <c r="A219" s="40">
        <v>218</v>
      </c>
      <c r="B219" s="42">
        <v>40553</v>
      </c>
      <c r="C219" s="40">
        <v>1</v>
      </c>
      <c r="D219" s="40">
        <v>0</v>
      </c>
      <c r="E219" s="40">
        <v>1</v>
      </c>
      <c r="F219" s="40">
        <v>8</v>
      </c>
      <c r="G219" s="40" t="b">
        <v>0</v>
      </c>
      <c r="H219" s="40">
        <v>1</v>
      </c>
      <c r="I219" s="40">
        <v>2</v>
      </c>
      <c r="J219" s="40">
        <v>0.12</v>
      </c>
      <c r="K219" s="40">
        <v>0.1212</v>
      </c>
      <c r="L219" s="40">
        <v>0.5</v>
      </c>
      <c r="M219" s="40">
        <v>0.28360000000000002</v>
      </c>
      <c r="N219" s="40">
        <v>4</v>
      </c>
      <c r="O219" s="40">
        <v>184</v>
      </c>
      <c r="P219" s="40">
        <v>188</v>
      </c>
      <c r="Q219" s="40">
        <v>0.1212</v>
      </c>
    </row>
    <row r="220" spans="1:17" x14ac:dyDescent="0.3">
      <c r="A220" s="40">
        <v>219</v>
      </c>
      <c r="B220" s="42">
        <v>40553</v>
      </c>
      <c r="C220" s="40">
        <v>1</v>
      </c>
      <c r="D220" s="40">
        <v>0</v>
      </c>
      <c r="E220" s="40">
        <v>1</v>
      </c>
      <c r="F220" s="40">
        <v>9</v>
      </c>
      <c r="G220" s="40" t="b">
        <v>0</v>
      </c>
      <c r="H220" s="40">
        <v>1</v>
      </c>
      <c r="I220" s="40">
        <v>2</v>
      </c>
      <c r="J220" s="40">
        <v>0.14000000000000001</v>
      </c>
      <c r="K220" s="40">
        <v>0.1212</v>
      </c>
      <c r="L220" s="40">
        <v>0.5</v>
      </c>
      <c r="M220" s="40">
        <v>0.25369999999999998</v>
      </c>
      <c r="N220" s="40">
        <v>2</v>
      </c>
      <c r="O220" s="40">
        <v>92</v>
      </c>
      <c r="P220" s="40">
        <v>94</v>
      </c>
      <c r="Q220" s="40">
        <v>0.1212</v>
      </c>
    </row>
    <row r="221" spans="1:17" x14ac:dyDescent="0.3">
      <c r="A221" s="40">
        <v>220</v>
      </c>
      <c r="B221" s="42">
        <v>40553</v>
      </c>
      <c r="C221" s="40">
        <v>1</v>
      </c>
      <c r="D221" s="40">
        <v>0</v>
      </c>
      <c r="E221" s="40">
        <v>1</v>
      </c>
      <c r="F221" s="40">
        <v>10</v>
      </c>
      <c r="G221" s="40" t="b">
        <v>0</v>
      </c>
      <c r="H221" s="40">
        <v>1</v>
      </c>
      <c r="I221" s="40">
        <v>2</v>
      </c>
      <c r="J221" s="40">
        <v>0.14000000000000001</v>
      </c>
      <c r="K221" s="40">
        <v>0.1212</v>
      </c>
      <c r="L221" s="40">
        <v>0.5</v>
      </c>
      <c r="M221" s="40">
        <v>0.29849999999999999</v>
      </c>
      <c r="N221" s="40">
        <v>0</v>
      </c>
      <c r="O221" s="40">
        <v>31</v>
      </c>
      <c r="P221" s="40">
        <v>31</v>
      </c>
      <c r="Q221" s="40">
        <v>0.1212</v>
      </c>
    </row>
    <row r="222" spans="1:17" x14ac:dyDescent="0.3">
      <c r="A222" s="40">
        <v>221</v>
      </c>
      <c r="B222" s="42">
        <v>40553</v>
      </c>
      <c r="C222" s="40">
        <v>1</v>
      </c>
      <c r="D222" s="40">
        <v>0</v>
      </c>
      <c r="E222" s="40">
        <v>1</v>
      </c>
      <c r="F222" s="40">
        <v>11</v>
      </c>
      <c r="G222" s="40" t="b">
        <v>0</v>
      </c>
      <c r="H222" s="40">
        <v>1</v>
      </c>
      <c r="I222" s="40">
        <v>2</v>
      </c>
      <c r="J222" s="40">
        <v>0.16</v>
      </c>
      <c r="K222" s="40">
        <v>0.13639999999999999</v>
      </c>
      <c r="L222" s="40">
        <v>0.47</v>
      </c>
      <c r="M222" s="40">
        <v>0.28360000000000002</v>
      </c>
      <c r="N222" s="40">
        <v>2</v>
      </c>
      <c r="O222" s="40">
        <v>28</v>
      </c>
      <c r="P222" s="40">
        <v>30</v>
      </c>
      <c r="Q222" s="40">
        <v>0.13639999999999999</v>
      </c>
    </row>
    <row r="223" spans="1:17" x14ac:dyDescent="0.3">
      <c r="A223" s="40">
        <v>222</v>
      </c>
      <c r="B223" s="42">
        <v>40553</v>
      </c>
      <c r="C223" s="40">
        <v>1</v>
      </c>
      <c r="D223" s="40">
        <v>0</v>
      </c>
      <c r="E223" s="40">
        <v>1</v>
      </c>
      <c r="F223" s="40">
        <v>12</v>
      </c>
      <c r="G223" s="40" t="b">
        <v>0</v>
      </c>
      <c r="H223" s="40">
        <v>1</v>
      </c>
      <c r="I223" s="40">
        <v>2</v>
      </c>
      <c r="J223" s="40">
        <v>0.2</v>
      </c>
      <c r="K223" s="40">
        <v>0.18179999999999999</v>
      </c>
      <c r="L223" s="40">
        <v>0.4</v>
      </c>
      <c r="M223" s="40">
        <v>0.28360000000000002</v>
      </c>
      <c r="N223" s="40">
        <v>5</v>
      </c>
      <c r="O223" s="40">
        <v>47</v>
      </c>
      <c r="P223" s="40">
        <v>52</v>
      </c>
      <c r="Q223" s="40">
        <v>0.18179999999999999</v>
      </c>
    </row>
    <row r="224" spans="1:17" x14ac:dyDescent="0.3">
      <c r="A224" s="40">
        <v>223</v>
      </c>
      <c r="B224" s="42">
        <v>40553</v>
      </c>
      <c r="C224" s="40">
        <v>1</v>
      </c>
      <c r="D224" s="40">
        <v>0</v>
      </c>
      <c r="E224" s="40">
        <v>1</v>
      </c>
      <c r="F224" s="40">
        <v>13</v>
      </c>
      <c r="G224" s="40" t="b">
        <v>0</v>
      </c>
      <c r="H224" s="40">
        <v>1</v>
      </c>
      <c r="I224" s="40">
        <v>2</v>
      </c>
      <c r="J224" s="40">
        <v>0.2</v>
      </c>
      <c r="K224" s="40">
        <v>0.18179999999999999</v>
      </c>
      <c r="L224" s="40">
        <v>0.4</v>
      </c>
      <c r="M224" s="40">
        <v>0.28360000000000002</v>
      </c>
      <c r="N224" s="40">
        <v>4</v>
      </c>
      <c r="O224" s="40">
        <v>50</v>
      </c>
      <c r="P224" s="40">
        <v>54</v>
      </c>
      <c r="Q224" s="40">
        <v>0.18179999999999999</v>
      </c>
    </row>
    <row r="225" spans="1:17" x14ac:dyDescent="0.3">
      <c r="A225" s="40">
        <v>224</v>
      </c>
      <c r="B225" s="42">
        <v>40553</v>
      </c>
      <c r="C225" s="40">
        <v>1</v>
      </c>
      <c r="D225" s="40">
        <v>0</v>
      </c>
      <c r="E225" s="40">
        <v>1</v>
      </c>
      <c r="F225" s="40">
        <v>14</v>
      </c>
      <c r="G225" s="40" t="b">
        <v>0</v>
      </c>
      <c r="H225" s="40">
        <v>1</v>
      </c>
      <c r="I225" s="40">
        <v>2</v>
      </c>
      <c r="J225" s="40">
        <v>0.2</v>
      </c>
      <c r="K225" s="40">
        <v>0.19700000000000001</v>
      </c>
      <c r="L225" s="40">
        <v>0.4</v>
      </c>
      <c r="M225" s="40">
        <v>0.22389999999999999</v>
      </c>
      <c r="N225" s="40">
        <v>0</v>
      </c>
      <c r="O225" s="40">
        <v>47</v>
      </c>
      <c r="P225" s="40">
        <v>47</v>
      </c>
      <c r="Q225" s="40">
        <v>0.19700000000000001</v>
      </c>
    </row>
    <row r="226" spans="1:17" x14ac:dyDescent="0.3">
      <c r="A226" s="40">
        <v>225</v>
      </c>
      <c r="B226" s="42">
        <v>40553</v>
      </c>
      <c r="C226" s="40">
        <v>1</v>
      </c>
      <c r="D226" s="40">
        <v>0</v>
      </c>
      <c r="E226" s="40">
        <v>1</v>
      </c>
      <c r="F226" s="40">
        <v>15</v>
      </c>
      <c r="G226" s="40" t="b">
        <v>0</v>
      </c>
      <c r="H226" s="40">
        <v>1</v>
      </c>
      <c r="I226" s="40">
        <v>2</v>
      </c>
      <c r="J226" s="40">
        <v>0.2</v>
      </c>
      <c r="K226" s="40">
        <v>0.19700000000000001</v>
      </c>
      <c r="L226" s="40">
        <v>0.4</v>
      </c>
      <c r="M226" s="40">
        <v>0.22389999999999999</v>
      </c>
      <c r="N226" s="40">
        <v>2</v>
      </c>
      <c r="O226" s="40">
        <v>43</v>
      </c>
      <c r="P226" s="40">
        <v>45</v>
      </c>
      <c r="Q226" s="40">
        <v>0.19700000000000001</v>
      </c>
    </row>
    <row r="227" spans="1:17" x14ac:dyDescent="0.3">
      <c r="A227" s="40">
        <v>226</v>
      </c>
      <c r="B227" s="42">
        <v>40553</v>
      </c>
      <c r="C227" s="40">
        <v>1</v>
      </c>
      <c r="D227" s="40">
        <v>0</v>
      </c>
      <c r="E227" s="40">
        <v>1</v>
      </c>
      <c r="F227" s="40">
        <v>16</v>
      </c>
      <c r="G227" s="40" t="b">
        <v>0</v>
      </c>
      <c r="H227" s="40">
        <v>1</v>
      </c>
      <c r="I227" s="40">
        <v>1</v>
      </c>
      <c r="J227" s="40">
        <v>0.2</v>
      </c>
      <c r="K227" s="40">
        <v>0.21210000000000001</v>
      </c>
      <c r="L227" s="40">
        <v>0.4</v>
      </c>
      <c r="M227" s="40">
        <v>0.1343</v>
      </c>
      <c r="N227" s="40">
        <v>4</v>
      </c>
      <c r="O227" s="40">
        <v>70</v>
      </c>
      <c r="P227" s="40">
        <v>74</v>
      </c>
      <c r="Q227" s="40">
        <v>0.21210000000000001</v>
      </c>
    </row>
    <row r="228" spans="1:17" x14ac:dyDescent="0.3">
      <c r="A228" s="40">
        <v>227</v>
      </c>
      <c r="B228" s="42">
        <v>40553</v>
      </c>
      <c r="C228" s="40">
        <v>1</v>
      </c>
      <c r="D228" s="40">
        <v>0</v>
      </c>
      <c r="E228" s="40">
        <v>1</v>
      </c>
      <c r="F228" s="40">
        <v>17</v>
      </c>
      <c r="G228" s="40" t="b">
        <v>0</v>
      </c>
      <c r="H228" s="40">
        <v>1</v>
      </c>
      <c r="I228" s="40">
        <v>1</v>
      </c>
      <c r="J228" s="40">
        <v>0.2</v>
      </c>
      <c r="K228" s="40">
        <v>0.2273</v>
      </c>
      <c r="L228" s="40">
        <v>0.4</v>
      </c>
      <c r="M228" s="40">
        <v>0.1045</v>
      </c>
      <c r="N228" s="40">
        <v>4</v>
      </c>
      <c r="O228" s="40">
        <v>174</v>
      </c>
      <c r="P228" s="40">
        <v>178</v>
      </c>
      <c r="Q228" s="40">
        <v>0.2273</v>
      </c>
    </row>
    <row r="229" spans="1:17" x14ac:dyDescent="0.3">
      <c r="A229" s="40">
        <v>228</v>
      </c>
      <c r="B229" s="42">
        <v>40553</v>
      </c>
      <c r="C229" s="40">
        <v>1</v>
      </c>
      <c r="D229" s="40">
        <v>0</v>
      </c>
      <c r="E229" s="40">
        <v>1</v>
      </c>
      <c r="F229" s="40">
        <v>18</v>
      </c>
      <c r="G229" s="40" t="b">
        <v>0</v>
      </c>
      <c r="H229" s="40">
        <v>1</v>
      </c>
      <c r="I229" s="40">
        <v>1</v>
      </c>
      <c r="J229" s="40">
        <v>0.2</v>
      </c>
      <c r="K229" s="40">
        <v>0.19700000000000001</v>
      </c>
      <c r="L229" s="40">
        <v>0.4</v>
      </c>
      <c r="M229" s="40">
        <v>0.22389999999999999</v>
      </c>
      <c r="N229" s="40">
        <v>1</v>
      </c>
      <c r="O229" s="40">
        <v>154</v>
      </c>
      <c r="P229" s="40">
        <v>155</v>
      </c>
      <c r="Q229" s="40">
        <v>0.19700000000000001</v>
      </c>
    </row>
    <row r="230" spans="1:17" x14ac:dyDescent="0.3">
      <c r="A230" s="40">
        <v>229</v>
      </c>
      <c r="B230" s="42">
        <v>40553</v>
      </c>
      <c r="C230" s="40">
        <v>1</v>
      </c>
      <c r="D230" s="40">
        <v>0</v>
      </c>
      <c r="E230" s="40">
        <v>1</v>
      </c>
      <c r="F230" s="40">
        <v>19</v>
      </c>
      <c r="G230" s="40" t="b">
        <v>0</v>
      </c>
      <c r="H230" s="40">
        <v>1</v>
      </c>
      <c r="I230" s="40">
        <v>1</v>
      </c>
      <c r="J230" s="40">
        <v>0.16</v>
      </c>
      <c r="K230" s="40">
        <v>0.16669999999999999</v>
      </c>
      <c r="L230" s="40">
        <v>0.47</v>
      </c>
      <c r="M230" s="40">
        <v>0.16420000000000001</v>
      </c>
      <c r="N230" s="40">
        <v>3</v>
      </c>
      <c r="O230" s="40">
        <v>92</v>
      </c>
      <c r="P230" s="40">
        <v>95</v>
      </c>
      <c r="Q230" s="40">
        <v>0.16669999999999999</v>
      </c>
    </row>
    <row r="231" spans="1:17" x14ac:dyDescent="0.3">
      <c r="A231" s="40">
        <v>230</v>
      </c>
      <c r="B231" s="42">
        <v>40553</v>
      </c>
      <c r="C231" s="40">
        <v>1</v>
      </c>
      <c r="D231" s="40">
        <v>0</v>
      </c>
      <c r="E231" s="40">
        <v>1</v>
      </c>
      <c r="F231" s="40">
        <v>20</v>
      </c>
      <c r="G231" s="40" t="b">
        <v>0</v>
      </c>
      <c r="H231" s="40">
        <v>1</v>
      </c>
      <c r="I231" s="40">
        <v>1</v>
      </c>
      <c r="J231" s="40">
        <v>0.16</v>
      </c>
      <c r="K231" s="40">
        <v>0.16669999999999999</v>
      </c>
      <c r="L231" s="40">
        <v>0.5</v>
      </c>
      <c r="M231" s="40">
        <v>0.16420000000000001</v>
      </c>
      <c r="N231" s="40">
        <v>1</v>
      </c>
      <c r="O231" s="40">
        <v>73</v>
      </c>
      <c r="P231" s="40">
        <v>74</v>
      </c>
      <c r="Q231" s="40">
        <v>0.16669999999999999</v>
      </c>
    </row>
    <row r="232" spans="1:17" x14ac:dyDescent="0.3">
      <c r="A232" s="40">
        <v>231</v>
      </c>
      <c r="B232" s="42">
        <v>40553</v>
      </c>
      <c r="C232" s="40">
        <v>1</v>
      </c>
      <c r="D232" s="40">
        <v>0</v>
      </c>
      <c r="E232" s="40">
        <v>1</v>
      </c>
      <c r="F232" s="40">
        <v>21</v>
      </c>
      <c r="G232" s="40" t="b">
        <v>0</v>
      </c>
      <c r="H232" s="40">
        <v>1</v>
      </c>
      <c r="I232" s="40">
        <v>1</v>
      </c>
      <c r="J232" s="40">
        <v>0.14000000000000001</v>
      </c>
      <c r="K232" s="40">
        <v>0.13639999999999999</v>
      </c>
      <c r="L232" s="40">
        <v>0.59</v>
      </c>
      <c r="M232" s="40">
        <v>0.19400000000000001</v>
      </c>
      <c r="N232" s="40">
        <v>1</v>
      </c>
      <c r="O232" s="40">
        <v>37</v>
      </c>
      <c r="P232" s="40">
        <v>38</v>
      </c>
      <c r="Q232" s="40">
        <v>0.13639999999999999</v>
      </c>
    </row>
    <row r="233" spans="1:17" x14ac:dyDescent="0.3">
      <c r="A233" s="40">
        <v>232</v>
      </c>
      <c r="B233" s="42">
        <v>40553</v>
      </c>
      <c r="C233" s="40">
        <v>1</v>
      </c>
      <c r="D233" s="40">
        <v>0</v>
      </c>
      <c r="E233" s="40">
        <v>1</v>
      </c>
      <c r="F233" s="40">
        <v>22</v>
      </c>
      <c r="G233" s="40" t="b">
        <v>0</v>
      </c>
      <c r="H233" s="40">
        <v>1</v>
      </c>
      <c r="I233" s="40">
        <v>1</v>
      </c>
      <c r="J233" s="40">
        <v>0.14000000000000001</v>
      </c>
      <c r="K233" s="40">
        <v>0.1515</v>
      </c>
      <c r="L233" s="40">
        <v>0.59</v>
      </c>
      <c r="M233" s="40">
        <v>0.16420000000000001</v>
      </c>
      <c r="N233" s="40">
        <v>2</v>
      </c>
      <c r="O233" s="40">
        <v>22</v>
      </c>
      <c r="P233" s="40">
        <v>24</v>
      </c>
      <c r="Q233" s="40">
        <v>0.1515</v>
      </c>
    </row>
    <row r="234" spans="1:17" x14ac:dyDescent="0.3">
      <c r="A234" s="40">
        <v>233</v>
      </c>
      <c r="B234" s="42">
        <v>40553</v>
      </c>
      <c r="C234" s="40">
        <v>1</v>
      </c>
      <c r="D234" s="40">
        <v>0</v>
      </c>
      <c r="E234" s="40">
        <v>1</v>
      </c>
      <c r="F234" s="40">
        <v>23</v>
      </c>
      <c r="G234" s="40" t="b">
        <v>0</v>
      </c>
      <c r="H234" s="40">
        <v>1</v>
      </c>
      <c r="I234" s="40">
        <v>1</v>
      </c>
      <c r="J234" s="40">
        <v>0.14000000000000001</v>
      </c>
      <c r="K234" s="40">
        <v>0.1515</v>
      </c>
      <c r="L234" s="40">
        <v>0.59</v>
      </c>
      <c r="M234" s="40">
        <v>0.16420000000000001</v>
      </c>
      <c r="N234" s="40">
        <v>0</v>
      </c>
      <c r="O234" s="40">
        <v>18</v>
      </c>
      <c r="P234" s="40">
        <v>18</v>
      </c>
      <c r="Q234" s="40">
        <v>0.1515</v>
      </c>
    </row>
    <row r="235" spans="1:17" x14ac:dyDescent="0.3">
      <c r="A235" s="40">
        <v>234</v>
      </c>
      <c r="B235" s="42">
        <v>40554</v>
      </c>
      <c r="C235" s="40">
        <v>1</v>
      </c>
      <c r="D235" s="40">
        <v>0</v>
      </c>
      <c r="E235" s="40">
        <v>1</v>
      </c>
      <c r="F235" s="40">
        <v>0</v>
      </c>
      <c r="G235" s="40" t="b">
        <v>0</v>
      </c>
      <c r="H235" s="40">
        <v>2</v>
      </c>
      <c r="I235" s="40">
        <v>1</v>
      </c>
      <c r="J235" s="40">
        <v>0.14000000000000001</v>
      </c>
      <c r="K235" s="40">
        <v>0.16669999999999999</v>
      </c>
      <c r="L235" s="40">
        <v>0.59</v>
      </c>
      <c r="M235" s="40">
        <v>0.1045</v>
      </c>
      <c r="N235" s="40">
        <v>2</v>
      </c>
      <c r="O235" s="40">
        <v>10</v>
      </c>
      <c r="P235" s="40">
        <v>12</v>
      </c>
      <c r="Q235" s="40">
        <v>0.16669999999999999</v>
      </c>
    </row>
    <row r="236" spans="1:17" x14ac:dyDescent="0.3">
      <c r="A236" s="40">
        <v>235</v>
      </c>
      <c r="B236" s="42">
        <v>40554</v>
      </c>
      <c r="C236" s="40">
        <v>1</v>
      </c>
      <c r="D236" s="40">
        <v>0</v>
      </c>
      <c r="E236" s="40">
        <v>1</v>
      </c>
      <c r="F236" s="40">
        <v>1</v>
      </c>
      <c r="G236" s="40" t="b">
        <v>0</v>
      </c>
      <c r="H236" s="40">
        <v>2</v>
      </c>
      <c r="I236" s="40">
        <v>1</v>
      </c>
      <c r="J236" s="40">
        <v>0.14000000000000001</v>
      </c>
      <c r="K236" s="40">
        <v>0.1515</v>
      </c>
      <c r="L236" s="40">
        <v>0.59</v>
      </c>
      <c r="M236" s="40">
        <v>0.16420000000000001</v>
      </c>
      <c r="N236" s="40">
        <v>0</v>
      </c>
      <c r="O236" s="40">
        <v>3</v>
      </c>
      <c r="P236" s="40">
        <v>3</v>
      </c>
      <c r="Q236" s="40">
        <v>0.1515</v>
      </c>
    </row>
    <row r="237" spans="1:17" x14ac:dyDescent="0.3">
      <c r="A237" s="40">
        <v>236</v>
      </c>
      <c r="B237" s="42">
        <v>40554</v>
      </c>
      <c r="C237" s="40">
        <v>1</v>
      </c>
      <c r="D237" s="40">
        <v>0</v>
      </c>
      <c r="E237" s="40">
        <v>1</v>
      </c>
      <c r="F237" s="40">
        <v>2</v>
      </c>
      <c r="G237" s="40" t="b">
        <v>0</v>
      </c>
      <c r="H237" s="40">
        <v>2</v>
      </c>
      <c r="I237" s="40">
        <v>2</v>
      </c>
      <c r="J237" s="40">
        <v>0.16</v>
      </c>
      <c r="K237" s="40">
        <v>0.1515</v>
      </c>
      <c r="L237" s="40">
        <v>0.55000000000000004</v>
      </c>
      <c r="M237" s="40">
        <v>0.19400000000000001</v>
      </c>
      <c r="N237" s="40">
        <v>0</v>
      </c>
      <c r="O237" s="40">
        <v>3</v>
      </c>
      <c r="P237" s="40">
        <v>3</v>
      </c>
      <c r="Q237" s="40">
        <v>0.1515</v>
      </c>
    </row>
    <row r="238" spans="1:17" x14ac:dyDescent="0.3">
      <c r="A238" s="40">
        <v>237</v>
      </c>
      <c r="B238" s="42">
        <v>40554</v>
      </c>
      <c r="C238" s="40">
        <v>1</v>
      </c>
      <c r="D238" s="40">
        <v>0</v>
      </c>
      <c r="E238" s="40">
        <v>1</v>
      </c>
      <c r="F238" s="40">
        <v>5</v>
      </c>
      <c r="G238" s="40" t="b">
        <v>0</v>
      </c>
      <c r="H238" s="40">
        <v>2</v>
      </c>
      <c r="I238" s="40">
        <v>2</v>
      </c>
      <c r="J238" s="40">
        <v>0.16</v>
      </c>
      <c r="K238" s="40">
        <v>0.18179999999999999</v>
      </c>
      <c r="L238" s="40">
        <v>0.55000000000000004</v>
      </c>
      <c r="M238" s="40">
        <v>0.1343</v>
      </c>
      <c r="N238" s="40">
        <v>0</v>
      </c>
      <c r="O238" s="40">
        <v>6</v>
      </c>
      <c r="P238" s="40">
        <v>6</v>
      </c>
      <c r="Q238" s="40">
        <v>0.18179999999999999</v>
      </c>
    </row>
    <row r="239" spans="1:17" x14ac:dyDescent="0.3">
      <c r="A239" s="40">
        <v>238</v>
      </c>
      <c r="B239" s="42">
        <v>40554</v>
      </c>
      <c r="C239" s="40">
        <v>1</v>
      </c>
      <c r="D239" s="40">
        <v>0</v>
      </c>
      <c r="E239" s="40">
        <v>1</v>
      </c>
      <c r="F239" s="40">
        <v>6</v>
      </c>
      <c r="G239" s="40" t="b">
        <v>0</v>
      </c>
      <c r="H239" s="40">
        <v>2</v>
      </c>
      <c r="I239" s="40">
        <v>2</v>
      </c>
      <c r="J239" s="40">
        <v>0.16</v>
      </c>
      <c r="K239" s="40">
        <v>0.18179999999999999</v>
      </c>
      <c r="L239" s="40">
        <v>0.55000000000000004</v>
      </c>
      <c r="M239" s="40">
        <v>0.1343</v>
      </c>
      <c r="N239" s="40">
        <v>0</v>
      </c>
      <c r="O239" s="40">
        <v>27</v>
      </c>
      <c r="P239" s="40">
        <v>27</v>
      </c>
      <c r="Q239" s="40">
        <v>0.18179999999999999</v>
      </c>
    </row>
    <row r="240" spans="1:17" x14ac:dyDescent="0.3">
      <c r="A240" s="40">
        <v>239</v>
      </c>
      <c r="B240" s="42">
        <v>40554</v>
      </c>
      <c r="C240" s="40">
        <v>1</v>
      </c>
      <c r="D240" s="40">
        <v>0</v>
      </c>
      <c r="E240" s="40">
        <v>1</v>
      </c>
      <c r="F240" s="40">
        <v>7</v>
      </c>
      <c r="G240" s="40" t="b">
        <v>0</v>
      </c>
      <c r="H240" s="40">
        <v>2</v>
      </c>
      <c r="I240" s="40">
        <v>2</v>
      </c>
      <c r="J240" s="40">
        <v>0.16</v>
      </c>
      <c r="K240" s="40">
        <v>0.2273</v>
      </c>
      <c r="L240" s="40">
        <v>0.55000000000000004</v>
      </c>
      <c r="M240" s="40">
        <v>0.20485098360655737</v>
      </c>
      <c r="N240" s="40">
        <v>2</v>
      </c>
      <c r="O240" s="40">
        <v>97</v>
      </c>
      <c r="P240" s="40">
        <v>99</v>
      </c>
      <c r="Q240" s="40">
        <v>0.2273</v>
      </c>
    </row>
    <row r="241" spans="1:17" x14ac:dyDescent="0.3">
      <c r="A241" s="40">
        <v>240</v>
      </c>
      <c r="B241" s="42">
        <v>40554</v>
      </c>
      <c r="C241" s="40">
        <v>1</v>
      </c>
      <c r="D241" s="40">
        <v>0</v>
      </c>
      <c r="E241" s="40">
        <v>1</v>
      </c>
      <c r="F241" s="40">
        <v>8</v>
      </c>
      <c r="G241" s="40" t="b">
        <v>0</v>
      </c>
      <c r="H241" s="40">
        <v>2</v>
      </c>
      <c r="I241" s="40">
        <v>2</v>
      </c>
      <c r="J241" s="40">
        <v>0.18</v>
      </c>
      <c r="K241" s="40">
        <v>0.21210000000000001</v>
      </c>
      <c r="L241" s="40">
        <v>0.51</v>
      </c>
      <c r="M241" s="40">
        <v>8.9599999999999999E-2</v>
      </c>
      <c r="N241" s="40">
        <v>3</v>
      </c>
      <c r="O241" s="40">
        <v>214</v>
      </c>
      <c r="P241" s="40">
        <v>217</v>
      </c>
      <c r="Q241" s="40">
        <v>0.21210000000000001</v>
      </c>
    </row>
    <row r="242" spans="1:17" x14ac:dyDescent="0.3">
      <c r="A242" s="40">
        <v>241</v>
      </c>
      <c r="B242" s="42">
        <v>40554</v>
      </c>
      <c r="C242" s="40">
        <v>1</v>
      </c>
      <c r="D242" s="40">
        <v>0</v>
      </c>
      <c r="E242" s="40">
        <v>1</v>
      </c>
      <c r="F242" s="40">
        <v>9</v>
      </c>
      <c r="G242" s="40" t="b">
        <v>0</v>
      </c>
      <c r="H242" s="40">
        <v>2</v>
      </c>
      <c r="I242" s="40">
        <v>2</v>
      </c>
      <c r="J242" s="40">
        <v>0.18</v>
      </c>
      <c r="K242" s="40">
        <v>0.19700000000000001</v>
      </c>
      <c r="L242" s="40">
        <v>0.51</v>
      </c>
      <c r="M242" s="40">
        <v>0.16420000000000001</v>
      </c>
      <c r="N242" s="40">
        <v>3</v>
      </c>
      <c r="O242" s="40">
        <v>127</v>
      </c>
      <c r="P242" s="40">
        <v>130</v>
      </c>
      <c r="Q242" s="40">
        <v>0.19700000000000001</v>
      </c>
    </row>
    <row r="243" spans="1:17" x14ac:dyDescent="0.3">
      <c r="A243" s="40">
        <v>242</v>
      </c>
      <c r="B243" s="42">
        <v>40554</v>
      </c>
      <c r="C243" s="40">
        <v>1</v>
      </c>
      <c r="D243" s="40">
        <v>0</v>
      </c>
      <c r="E243" s="40">
        <v>1</v>
      </c>
      <c r="F243" s="40">
        <v>10</v>
      </c>
      <c r="G243" s="40" t="b">
        <v>0</v>
      </c>
      <c r="H243" s="40">
        <v>2</v>
      </c>
      <c r="I243" s="40">
        <v>2</v>
      </c>
      <c r="J243" s="40">
        <v>0.2</v>
      </c>
      <c r="K243" s="40">
        <v>0.21210000000000001</v>
      </c>
      <c r="L243" s="40">
        <v>0.51</v>
      </c>
      <c r="M243" s="40">
        <v>0.16420000000000001</v>
      </c>
      <c r="N243" s="40">
        <v>3</v>
      </c>
      <c r="O243" s="40">
        <v>51</v>
      </c>
      <c r="P243" s="40">
        <v>54</v>
      </c>
      <c r="Q243" s="40">
        <v>0.21210000000000001</v>
      </c>
    </row>
    <row r="244" spans="1:17" x14ac:dyDescent="0.3">
      <c r="A244" s="40">
        <v>243</v>
      </c>
      <c r="B244" s="42">
        <v>40554</v>
      </c>
      <c r="C244" s="40">
        <v>1</v>
      </c>
      <c r="D244" s="40">
        <v>0</v>
      </c>
      <c r="E244" s="40">
        <v>1</v>
      </c>
      <c r="F244" s="40">
        <v>11</v>
      </c>
      <c r="G244" s="40" t="b">
        <v>0</v>
      </c>
      <c r="H244" s="40">
        <v>2</v>
      </c>
      <c r="I244" s="40">
        <v>2</v>
      </c>
      <c r="J244" s="40">
        <v>0.2</v>
      </c>
      <c r="K244" s="40">
        <v>0.21210000000000001</v>
      </c>
      <c r="L244" s="40">
        <v>0.47</v>
      </c>
      <c r="M244" s="40">
        <v>0.1343</v>
      </c>
      <c r="N244" s="40">
        <v>4</v>
      </c>
      <c r="O244" s="40">
        <v>31</v>
      </c>
      <c r="P244" s="40">
        <v>35</v>
      </c>
      <c r="Q244" s="40">
        <v>0.21210000000000001</v>
      </c>
    </row>
    <row r="245" spans="1:17" x14ac:dyDescent="0.3">
      <c r="A245" s="40">
        <v>244</v>
      </c>
      <c r="B245" s="42">
        <v>40554</v>
      </c>
      <c r="C245" s="40">
        <v>1</v>
      </c>
      <c r="D245" s="40">
        <v>0</v>
      </c>
      <c r="E245" s="40">
        <v>1</v>
      </c>
      <c r="F245" s="40">
        <v>12</v>
      </c>
      <c r="G245" s="40" t="b">
        <v>0</v>
      </c>
      <c r="H245" s="40">
        <v>2</v>
      </c>
      <c r="I245" s="40">
        <v>2</v>
      </c>
      <c r="J245" s="40">
        <v>0.2</v>
      </c>
      <c r="K245" s="40">
        <v>0.2273</v>
      </c>
      <c r="L245" s="40">
        <v>0.51</v>
      </c>
      <c r="M245" s="40">
        <v>0.1045</v>
      </c>
      <c r="N245" s="40">
        <v>2</v>
      </c>
      <c r="O245" s="40">
        <v>55</v>
      </c>
      <c r="P245" s="40">
        <v>57</v>
      </c>
      <c r="Q245" s="40">
        <v>0.2273</v>
      </c>
    </row>
    <row r="246" spans="1:17" x14ac:dyDescent="0.3">
      <c r="A246" s="40">
        <v>245</v>
      </c>
      <c r="B246" s="42">
        <v>40554</v>
      </c>
      <c r="C246" s="40">
        <v>1</v>
      </c>
      <c r="D246" s="40">
        <v>0</v>
      </c>
      <c r="E246" s="40">
        <v>1</v>
      </c>
      <c r="F246" s="40">
        <v>13</v>
      </c>
      <c r="G246" s="40" t="b">
        <v>0</v>
      </c>
      <c r="H246" s="40">
        <v>2</v>
      </c>
      <c r="I246" s="40">
        <v>2</v>
      </c>
      <c r="J246" s="40">
        <v>0.2</v>
      </c>
      <c r="K246" s="40">
        <v>0.2273</v>
      </c>
      <c r="L246" s="40">
        <v>0.59</v>
      </c>
      <c r="M246" s="40">
        <v>8.9599999999999999E-2</v>
      </c>
      <c r="N246" s="40">
        <v>6</v>
      </c>
      <c r="O246" s="40">
        <v>46</v>
      </c>
      <c r="P246" s="40">
        <v>52</v>
      </c>
      <c r="Q246" s="40">
        <v>0.2273</v>
      </c>
    </row>
    <row r="247" spans="1:17" x14ac:dyDescent="0.3">
      <c r="A247" s="40">
        <v>246</v>
      </c>
      <c r="B247" s="42">
        <v>40554</v>
      </c>
      <c r="C247" s="40">
        <v>1</v>
      </c>
      <c r="D247" s="40">
        <v>0</v>
      </c>
      <c r="E247" s="40">
        <v>1</v>
      </c>
      <c r="F247" s="40">
        <v>14</v>
      </c>
      <c r="G247" s="40" t="b">
        <v>0</v>
      </c>
      <c r="H247" s="40">
        <v>2</v>
      </c>
      <c r="I247" s="40">
        <v>2</v>
      </c>
      <c r="J247" s="40">
        <v>0.2</v>
      </c>
      <c r="K247" s="40">
        <v>0.2273</v>
      </c>
      <c r="L247" s="40">
        <v>0.59</v>
      </c>
      <c r="M247" s="40">
        <v>8.9599999999999999E-2</v>
      </c>
      <c r="N247" s="40">
        <v>3</v>
      </c>
      <c r="O247" s="40">
        <v>60</v>
      </c>
      <c r="P247" s="40">
        <v>63</v>
      </c>
      <c r="Q247" s="40">
        <v>0.2273</v>
      </c>
    </row>
    <row r="248" spans="1:17" x14ac:dyDescent="0.3">
      <c r="A248" s="40">
        <v>247</v>
      </c>
      <c r="B248" s="42">
        <v>40554</v>
      </c>
      <c r="C248" s="40">
        <v>1</v>
      </c>
      <c r="D248" s="40">
        <v>0</v>
      </c>
      <c r="E248" s="40">
        <v>1</v>
      </c>
      <c r="F248" s="40">
        <v>15</v>
      </c>
      <c r="G248" s="40" t="b">
        <v>0</v>
      </c>
      <c r="H248" s="40">
        <v>2</v>
      </c>
      <c r="I248" s="40">
        <v>2</v>
      </c>
      <c r="J248" s="40">
        <v>0.16</v>
      </c>
      <c r="K248" s="40">
        <v>0.19700000000000001</v>
      </c>
      <c r="L248" s="40">
        <v>0.8</v>
      </c>
      <c r="M248" s="40">
        <v>8.9599999999999999E-2</v>
      </c>
      <c r="N248" s="40">
        <v>2</v>
      </c>
      <c r="O248" s="40">
        <v>45</v>
      </c>
      <c r="P248" s="40">
        <v>47</v>
      </c>
      <c r="Q248" s="40">
        <v>0.19700000000000001</v>
      </c>
    </row>
    <row r="249" spans="1:17" x14ac:dyDescent="0.3">
      <c r="A249" s="40">
        <v>248</v>
      </c>
      <c r="B249" s="42">
        <v>40554</v>
      </c>
      <c r="C249" s="40">
        <v>1</v>
      </c>
      <c r="D249" s="40">
        <v>0</v>
      </c>
      <c r="E249" s="40">
        <v>1</v>
      </c>
      <c r="F249" s="40">
        <v>16</v>
      </c>
      <c r="G249" s="40" t="b">
        <v>0</v>
      </c>
      <c r="H249" s="40">
        <v>2</v>
      </c>
      <c r="I249" s="40">
        <v>2</v>
      </c>
      <c r="J249" s="40">
        <v>0.16</v>
      </c>
      <c r="K249" s="40">
        <v>0.1515</v>
      </c>
      <c r="L249" s="40">
        <v>0.86</v>
      </c>
      <c r="M249" s="40">
        <v>0.22389999999999999</v>
      </c>
      <c r="N249" s="40">
        <v>4</v>
      </c>
      <c r="O249" s="40">
        <v>72</v>
      </c>
      <c r="P249" s="40">
        <v>76</v>
      </c>
      <c r="Q249" s="40">
        <v>0.1515</v>
      </c>
    </row>
    <row r="250" spans="1:17" x14ac:dyDescent="0.3">
      <c r="A250" s="40">
        <v>249</v>
      </c>
      <c r="B250" s="42">
        <v>40554</v>
      </c>
      <c r="C250" s="40">
        <v>1</v>
      </c>
      <c r="D250" s="40">
        <v>0</v>
      </c>
      <c r="E250" s="40">
        <v>1</v>
      </c>
      <c r="F250" s="40">
        <v>17</v>
      </c>
      <c r="G250" s="40" t="b">
        <v>0</v>
      </c>
      <c r="H250" s="40">
        <v>2</v>
      </c>
      <c r="I250" s="40">
        <v>2</v>
      </c>
      <c r="J250" s="40">
        <v>0.16</v>
      </c>
      <c r="K250" s="40">
        <v>0.1515</v>
      </c>
      <c r="L250" s="40">
        <v>0.86</v>
      </c>
      <c r="M250" s="40">
        <v>0.22389999999999999</v>
      </c>
      <c r="N250" s="40">
        <v>6</v>
      </c>
      <c r="O250" s="40">
        <v>130</v>
      </c>
      <c r="P250" s="40">
        <v>136</v>
      </c>
      <c r="Q250" s="40">
        <v>0.1515</v>
      </c>
    </row>
    <row r="251" spans="1:17" x14ac:dyDescent="0.3">
      <c r="A251" s="40">
        <v>250</v>
      </c>
      <c r="B251" s="42">
        <v>40554</v>
      </c>
      <c r="C251" s="40">
        <v>1</v>
      </c>
      <c r="D251" s="40">
        <v>0</v>
      </c>
      <c r="E251" s="40">
        <v>1</v>
      </c>
      <c r="F251" s="40">
        <v>18</v>
      </c>
      <c r="G251" s="40" t="b">
        <v>0</v>
      </c>
      <c r="H251" s="40">
        <v>2</v>
      </c>
      <c r="I251" s="40">
        <v>3</v>
      </c>
      <c r="J251" s="40">
        <v>0.16</v>
      </c>
      <c r="K251" s="40">
        <v>0.18179999999999999</v>
      </c>
      <c r="L251" s="40">
        <v>0.93</v>
      </c>
      <c r="M251" s="40">
        <v>0.1045</v>
      </c>
      <c r="N251" s="40">
        <v>1</v>
      </c>
      <c r="O251" s="40">
        <v>94</v>
      </c>
      <c r="P251" s="40">
        <v>95</v>
      </c>
      <c r="Q251" s="40">
        <v>0.18179999999999999</v>
      </c>
    </row>
    <row r="252" spans="1:17" x14ac:dyDescent="0.3">
      <c r="A252" s="40">
        <v>251</v>
      </c>
      <c r="B252" s="42">
        <v>40554</v>
      </c>
      <c r="C252" s="40">
        <v>1</v>
      </c>
      <c r="D252" s="40">
        <v>0</v>
      </c>
      <c r="E252" s="40">
        <v>1</v>
      </c>
      <c r="F252" s="40">
        <v>19</v>
      </c>
      <c r="G252" s="40" t="b">
        <v>0</v>
      </c>
      <c r="H252" s="40">
        <v>2</v>
      </c>
      <c r="I252" s="40">
        <v>3</v>
      </c>
      <c r="J252" s="40">
        <v>0.16</v>
      </c>
      <c r="K252" s="40">
        <v>0.2273</v>
      </c>
      <c r="L252" s="40">
        <v>0.93</v>
      </c>
      <c r="M252" s="40">
        <v>0.20485098360655737</v>
      </c>
      <c r="N252" s="40">
        <v>0</v>
      </c>
      <c r="O252" s="40">
        <v>51</v>
      </c>
      <c r="P252" s="40">
        <v>51</v>
      </c>
      <c r="Q252" s="40">
        <v>0.2273</v>
      </c>
    </row>
    <row r="253" spans="1:17" x14ac:dyDescent="0.3">
      <c r="A253" s="40">
        <v>252</v>
      </c>
      <c r="B253" s="42">
        <v>40554</v>
      </c>
      <c r="C253" s="40">
        <v>1</v>
      </c>
      <c r="D253" s="40">
        <v>0</v>
      </c>
      <c r="E253" s="40">
        <v>1</v>
      </c>
      <c r="F253" s="40">
        <v>20</v>
      </c>
      <c r="G253" s="40" t="b">
        <v>0</v>
      </c>
      <c r="H253" s="40">
        <v>2</v>
      </c>
      <c r="I253" s="40">
        <v>3</v>
      </c>
      <c r="J253" s="40">
        <v>0.16</v>
      </c>
      <c r="K253" s="40">
        <v>0.1515</v>
      </c>
      <c r="L253" s="40">
        <v>0.93</v>
      </c>
      <c r="M253" s="40">
        <v>0.19400000000000001</v>
      </c>
      <c r="N253" s="40">
        <v>0</v>
      </c>
      <c r="O253" s="40">
        <v>32</v>
      </c>
      <c r="P253" s="40">
        <v>32</v>
      </c>
      <c r="Q253" s="40">
        <v>0.1515</v>
      </c>
    </row>
    <row r="254" spans="1:17" x14ac:dyDescent="0.3">
      <c r="A254" s="40">
        <v>253</v>
      </c>
      <c r="B254" s="42">
        <v>40554</v>
      </c>
      <c r="C254" s="40">
        <v>1</v>
      </c>
      <c r="D254" s="40">
        <v>0</v>
      </c>
      <c r="E254" s="40">
        <v>1</v>
      </c>
      <c r="F254" s="40">
        <v>21</v>
      </c>
      <c r="G254" s="40" t="b">
        <v>0</v>
      </c>
      <c r="H254" s="40">
        <v>2</v>
      </c>
      <c r="I254" s="40">
        <v>3</v>
      </c>
      <c r="J254" s="40">
        <v>0.16</v>
      </c>
      <c r="K254" s="40">
        <v>0.19700000000000001</v>
      </c>
      <c r="L254" s="40">
        <v>0.86</v>
      </c>
      <c r="M254" s="40">
        <v>8.9599999999999999E-2</v>
      </c>
      <c r="N254" s="40">
        <v>0</v>
      </c>
      <c r="O254" s="40">
        <v>20</v>
      </c>
      <c r="P254" s="40">
        <v>20</v>
      </c>
      <c r="Q254" s="40">
        <v>0.19700000000000001</v>
      </c>
    </row>
    <row r="255" spans="1:17" x14ac:dyDescent="0.3">
      <c r="A255" s="40">
        <v>254</v>
      </c>
      <c r="B255" s="42">
        <v>40554</v>
      </c>
      <c r="C255" s="40">
        <v>1</v>
      </c>
      <c r="D255" s="40">
        <v>0</v>
      </c>
      <c r="E255" s="40">
        <v>1</v>
      </c>
      <c r="F255" s="40">
        <v>22</v>
      </c>
      <c r="G255" s="40" t="b">
        <v>0</v>
      </c>
      <c r="H255" s="40">
        <v>2</v>
      </c>
      <c r="I255" s="40">
        <v>3</v>
      </c>
      <c r="J255" s="40">
        <v>0.16</v>
      </c>
      <c r="K255" s="40">
        <v>0.18179999999999999</v>
      </c>
      <c r="L255" s="40">
        <v>0.93</v>
      </c>
      <c r="M255" s="40">
        <v>0.1045</v>
      </c>
      <c r="N255" s="40">
        <v>1</v>
      </c>
      <c r="O255" s="40">
        <v>28</v>
      </c>
      <c r="P255" s="40">
        <v>29</v>
      </c>
      <c r="Q255" s="40">
        <v>0.18179999999999999</v>
      </c>
    </row>
    <row r="256" spans="1:17" x14ac:dyDescent="0.3">
      <c r="A256" s="40">
        <v>255</v>
      </c>
      <c r="B256" s="42">
        <v>40554</v>
      </c>
      <c r="C256" s="40">
        <v>1</v>
      </c>
      <c r="D256" s="40">
        <v>0</v>
      </c>
      <c r="E256" s="40">
        <v>1</v>
      </c>
      <c r="F256" s="40">
        <v>23</v>
      </c>
      <c r="G256" s="40" t="b">
        <v>0</v>
      </c>
      <c r="H256" s="40">
        <v>2</v>
      </c>
      <c r="I256" s="40">
        <v>3</v>
      </c>
      <c r="J256" s="40">
        <v>0.16</v>
      </c>
      <c r="K256" s="40">
        <v>0.19700000000000001</v>
      </c>
      <c r="L256" s="40">
        <v>0.93</v>
      </c>
      <c r="M256" s="40">
        <v>8.9599999999999999E-2</v>
      </c>
      <c r="N256" s="40">
        <v>1</v>
      </c>
      <c r="O256" s="40">
        <v>18</v>
      </c>
      <c r="P256" s="40">
        <v>19</v>
      </c>
      <c r="Q256" s="40">
        <v>0.19700000000000001</v>
      </c>
    </row>
    <row r="257" spans="1:17" x14ac:dyDescent="0.3">
      <c r="A257" s="40">
        <v>256</v>
      </c>
      <c r="B257" s="42">
        <v>40555</v>
      </c>
      <c r="C257" s="40">
        <v>1</v>
      </c>
      <c r="D257" s="40">
        <v>0</v>
      </c>
      <c r="E257" s="40">
        <v>1</v>
      </c>
      <c r="F257" s="40">
        <v>0</v>
      </c>
      <c r="G257" s="40" t="b">
        <v>0</v>
      </c>
      <c r="H257" s="40">
        <v>3</v>
      </c>
      <c r="I257" s="40">
        <v>2</v>
      </c>
      <c r="J257" s="40">
        <v>0.16</v>
      </c>
      <c r="K257" s="40">
        <v>0.19700000000000001</v>
      </c>
      <c r="L257" s="40">
        <v>0.86</v>
      </c>
      <c r="M257" s="40">
        <v>8.9599999999999999E-2</v>
      </c>
      <c r="N257" s="40">
        <v>0</v>
      </c>
      <c r="O257" s="40">
        <v>7</v>
      </c>
      <c r="P257" s="40">
        <v>7</v>
      </c>
      <c r="Q257" s="40">
        <v>0.19700000000000001</v>
      </c>
    </row>
    <row r="258" spans="1:17" x14ac:dyDescent="0.3">
      <c r="A258" s="40">
        <v>257</v>
      </c>
      <c r="B258" s="42">
        <v>40555</v>
      </c>
      <c r="C258" s="40">
        <v>1</v>
      </c>
      <c r="D258" s="40">
        <v>0</v>
      </c>
      <c r="E258" s="40">
        <v>1</v>
      </c>
      <c r="F258" s="40">
        <v>1</v>
      </c>
      <c r="G258" s="40" t="b">
        <v>0</v>
      </c>
      <c r="H258" s="40">
        <v>3</v>
      </c>
      <c r="I258" s="40">
        <v>2</v>
      </c>
      <c r="J258" s="40">
        <v>0.16</v>
      </c>
      <c r="K258" s="40">
        <v>0.18179999999999999</v>
      </c>
      <c r="L258" s="40">
        <v>0.86</v>
      </c>
      <c r="M258" s="40">
        <v>0.1045</v>
      </c>
      <c r="N258" s="40">
        <v>0</v>
      </c>
      <c r="O258" s="40">
        <v>6</v>
      </c>
      <c r="P258" s="40">
        <v>6</v>
      </c>
      <c r="Q258" s="40">
        <v>0.18179999999999999</v>
      </c>
    </row>
    <row r="259" spans="1:17" x14ac:dyDescent="0.3">
      <c r="A259" s="40">
        <v>258</v>
      </c>
      <c r="B259" s="42">
        <v>40555</v>
      </c>
      <c r="C259" s="40">
        <v>1</v>
      </c>
      <c r="D259" s="40">
        <v>0</v>
      </c>
      <c r="E259" s="40">
        <v>1</v>
      </c>
      <c r="F259" s="40">
        <v>2</v>
      </c>
      <c r="G259" s="40" t="b">
        <v>0</v>
      </c>
      <c r="H259" s="40">
        <v>3</v>
      </c>
      <c r="I259" s="40">
        <v>1</v>
      </c>
      <c r="J259" s="40">
        <v>0.14000000000000001</v>
      </c>
      <c r="K259" s="40">
        <v>0.1515</v>
      </c>
      <c r="L259" s="40">
        <v>0.86</v>
      </c>
      <c r="M259" s="40">
        <v>0.1343</v>
      </c>
      <c r="N259" s="40">
        <v>0</v>
      </c>
      <c r="O259" s="40">
        <v>1</v>
      </c>
      <c r="P259" s="40">
        <v>1</v>
      </c>
      <c r="Q259" s="40">
        <v>0.1515</v>
      </c>
    </row>
    <row r="260" spans="1:17" x14ac:dyDescent="0.3">
      <c r="A260" s="40">
        <v>259</v>
      </c>
      <c r="B260" s="42">
        <v>40555</v>
      </c>
      <c r="C260" s="40">
        <v>1</v>
      </c>
      <c r="D260" s="40">
        <v>0</v>
      </c>
      <c r="E260" s="40">
        <v>1</v>
      </c>
      <c r="F260" s="40">
        <v>5</v>
      </c>
      <c r="G260" s="40" t="b">
        <v>0</v>
      </c>
      <c r="H260" s="40">
        <v>3</v>
      </c>
      <c r="I260" s="40">
        <v>1</v>
      </c>
      <c r="J260" s="40">
        <v>0.14000000000000001</v>
      </c>
      <c r="K260" s="40">
        <v>0.1515</v>
      </c>
      <c r="L260" s="40">
        <v>0.86</v>
      </c>
      <c r="M260" s="40">
        <v>0.16420000000000001</v>
      </c>
      <c r="N260" s="40">
        <v>0</v>
      </c>
      <c r="O260" s="40">
        <v>5</v>
      </c>
      <c r="P260" s="40">
        <v>5</v>
      </c>
      <c r="Q260" s="40">
        <v>0.1515</v>
      </c>
    </row>
    <row r="261" spans="1:17" x14ac:dyDescent="0.3">
      <c r="A261" s="40">
        <v>260</v>
      </c>
      <c r="B261" s="42">
        <v>40555</v>
      </c>
      <c r="C261" s="40">
        <v>1</v>
      </c>
      <c r="D261" s="40">
        <v>0</v>
      </c>
      <c r="E261" s="40">
        <v>1</v>
      </c>
      <c r="F261" s="40">
        <v>6</v>
      </c>
      <c r="G261" s="40" t="b">
        <v>0</v>
      </c>
      <c r="H261" s="40">
        <v>3</v>
      </c>
      <c r="I261" s="40">
        <v>1</v>
      </c>
      <c r="J261" s="40">
        <v>0.12</v>
      </c>
      <c r="K261" s="40">
        <v>0.1515</v>
      </c>
      <c r="L261" s="40">
        <v>0.93</v>
      </c>
      <c r="M261" s="40">
        <v>0.1343</v>
      </c>
      <c r="N261" s="40">
        <v>0</v>
      </c>
      <c r="O261" s="40">
        <v>16</v>
      </c>
      <c r="P261" s="40">
        <v>16</v>
      </c>
      <c r="Q261" s="40">
        <v>0.1515</v>
      </c>
    </row>
    <row r="262" spans="1:17" x14ac:dyDescent="0.3">
      <c r="A262" s="40">
        <v>261</v>
      </c>
      <c r="B262" s="42">
        <v>40555</v>
      </c>
      <c r="C262" s="40">
        <v>1</v>
      </c>
      <c r="D262" s="40">
        <v>0</v>
      </c>
      <c r="E262" s="40">
        <v>1</v>
      </c>
      <c r="F262" s="40">
        <v>7</v>
      </c>
      <c r="G262" s="40" t="b">
        <v>0</v>
      </c>
      <c r="H262" s="40">
        <v>3</v>
      </c>
      <c r="I262" s="40">
        <v>1</v>
      </c>
      <c r="J262" s="40">
        <v>0.14000000000000001</v>
      </c>
      <c r="K262" s="40">
        <v>0.1515</v>
      </c>
      <c r="L262" s="40">
        <v>0.69</v>
      </c>
      <c r="M262" s="40">
        <v>0.1343</v>
      </c>
      <c r="N262" s="40">
        <v>0</v>
      </c>
      <c r="O262" s="40">
        <v>54</v>
      </c>
      <c r="P262" s="40">
        <v>54</v>
      </c>
      <c r="Q262" s="40">
        <v>0.1515</v>
      </c>
    </row>
    <row r="263" spans="1:17" x14ac:dyDescent="0.3">
      <c r="A263" s="40">
        <v>262</v>
      </c>
      <c r="B263" s="42">
        <v>40555</v>
      </c>
      <c r="C263" s="40">
        <v>1</v>
      </c>
      <c r="D263" s="40">
        <v>0</v>
      </c>
      <c r="E263" s="40">
        <v>1</v>
      </c>
      <c r="F263" s="40">
        <v>8</v>
      </c>
      <c r="G263" s="40" t="b">
        <v>0</v>
      </c>
      <c r="H263" s="40">
        <v>3</v>
      </c>
      <c r="I263" s="40">
        <v>1</v>
      </c>
      <c r="J263" s="40">
        <v>0.16</v>
      </c>
      <c r="K263" s="40">
        <v>0.16669999999999999</v>
      </c>
      <c r="L263" s="40">
        <v>0.59</v>
      </c>
      <c r="M263" s="40">
        <v>0.16420000000000001</v>
      </c>
      <c r="N263" s="40">
        <v>3</v>
      </c>
      <c r="O263" s="40">
        <v>125</v>
      </c>
      <c r="P263" s="40">
        <v>128</v>
      </c>
      <c r="Q263" s="40">
        <v>0.16669999999999999</v>
      </c>
    </row>
    <row r="264" spans="1:17" x14ac:dyDescent="0.3">
      <c r="A264" s="40">
        <v>263</v>
      </c>
      <c r="B264" s="42">
        <v>40555</v>
      </c>
      <c r="C264" s="40">
        <v>1</v>
      </c>
      <c r="D264" s="40">
        <v>0</v>
      </c>
      <c r="E264" s="40">
        <v>1</v>
      </c>
      <c r="F264" s="40">
        <v>9</v>
      </c>
      <c r="G264" s="40" t="b">
        <v>0</v>
      </c>
      <c r="H264" s="40">
        <v>3</v>
      </c>
      <c r="I264" s="40">
        <v>1</v>
      </c>
      <c r="J264" s="40">
        <v>0.16</v>
      </c>
      <c r="K264" s="40">
        <v>0.13639999999999999</v>
      </c>
      <c r="L264" s="40">
        <v>0.59</v>
      </c>
      <c r="M264" s="40">
        <v>0.32840000000000003</v>
      </c>
      <c r="N264" s="40">
        <v>3</v>
      </c>
      <c r="O264" s="40">
        <v>78</v>
      </c>
      <c r="P264" s="40">
        <v>81</v>
      </c>
      <c r="Q264" s="40">
        <v>0.13639999999999999</v>
      </c>
    </row>
    <row r="265" spans="1:17" x14ac:dyDescent="0.3">
      <c r="A265" s="40">
        <v>264</v>
      </c>
      <c r="B265" s="42">
        <v>40555</v>
      </c>
      <c r="C265" s="40">
        <v>1</v>
      </c>
      <c r="D265" s="40">
        <v>0</v>
      </c>
      <c r="E265" s="40">
        <v>1</v>
      </c>
      <c r="F265" s="40">
        <v>10</v>
      </c>
      <c r="G265" s="40" t="b">
        <v>0</v>
      </c>
      <c r="H265" s="40">
        <v>3</v>
      </c>
      <c r="I265" s="40">
        <v>1</v>
      </c>
      <c r="J265" s="40">
        <v>0.18</v>
      </c>
      <c r="K265" s="40">
        <v>0.18179999999999999</v>
      </c>
      <c r="L265" s="40">
        <v>0.55000000000000004</v>
      </c>
      <c r="M265" s="40">
        <v>0.22389999999999999</v>
      </c>
      <c r="N265" s="40">
        <v>0</v>
      </c>
      <c r="O265" s="40">
        <v>39</v>
      </c>
      <c r="P265" s="40">
        <v>39</v>
      </c>
      <c r="Q265" s="40">
        <v>0.18179999999999999</v>
      </c>
    </row>
    <row r="266" spans="1:17" x14ac:dyDescent="0.3">
      <c r="A266" s="40">
        <v>265</v>
      </c>
      <c r="B266" s="42">
        <v>40555</v>
      </c>
      <c r="C266" s="40">
        <v>1</v>
      </c>
      <c r="D266" s="40">
        <v>0</v>
      </c>
      <c r="E266" s="40">
        <v>1</v>
      </c>
      <c r="F266" s="40">
        <v>11</v>
      </c>
      <c r="G266" s="40" t="b">
        <v>0</v>
      </c>
      <c r="H266" s="40">
        <v>3</v>
      </c>
      <c r="I266" s="40">
        <v>1</v>
      </c>
      <c r="J266" s="40">
        <v>0.2</v>
      </c>
      <c r="K266" s="40">
        <v>0.18179999999999999</v>
      </c>
      <c r="L266" s="40">
        <v>0.51</v>
      </c>
      <c r="M266" s="40">
        <v>0.3881</v>
      </c>
      <c r="N266" s="40">
        <v>3</v>
      </c>
      <c r="O266" s="40">
        <v>32</v>
      </c>
      <c r="P266" s="40">
        <v>35</v>
      </c>
      <c r="Q266" s="40">
        <v>0.18179999999999999</v>
      </c>
    </row>
    <row r="267" spans="1:17" x14ac:dyDescent="0.3">
      <c r="A267" s="40">
        <v>266</v>
      </c>
      <c r="B267" s="42">
        <v>40555</v>
      </c>
      <c r="C267" s="40">
        <v>1</v>
      </c>
      <c r="D267" s="40">
        <v>0</v>
      </c>
      <c r="E267" s="40">
        <v>1</v>
      </c>
      <c r="F267" s="40">
        <v>12</v>
      </c>
      <c r="G267" s="40" t="b">
        <v>0</v>
      </c>
      <c r="H267" s="40">
        <v>3</v>
      </c>
      <c r="I267" s="40">
        <v>1</v>
      </c>
      <c r="J267" s="40">
        <v>0.2</v>
      </c>
      <c r="K267" s="40">
        <v>0.1515</v>
      </c>
      <c r="L267" s="40">
        <v>0.47</v>
      </c>
      <c r="M267" s="40">
        <v>0.58209999999999995</v>
      </c>
      <c r="N267" s="40">
        <v>3</v>
      </c>
      <c r="O267" s="40">
        <v>52</v>
      </c>
      <c r="P267" s="40">
        <v>55</v>
      </c>
      <c r="Q267" s="40">
        <v>0.1515</v>
      </c>
    </row>
    <row r="268" spans="1:17" x14ac:dyDescent="0.3">
      <c r="A268" s="40">
        <v>267</v>
      </c>
      <c r="B268" s="42">
        <v>40555</v>
      </c>
      <c r="C268" s="40">
        <v>1</v>
      </c>
      <c r="D268" s="40">
        <v>0</v>
      </c>
      <c r="E268" s="40">
        <v>1</v>
      </c>
      <c r="F268" s="40">
        <v>13</v>
      </c>
      <c r="G268" s="40" t="b">
        <v>0</v>
      </c>
      <c r="H268" s="40">
        <v>3</v>
      </c>
      <c r="I268" s="40">
        <v>1</v>
      </c>
      <c r="J268" s="40">
        <v>0.22</v>
      </c>
      <c r="K268" s="40">
        <v>0.19700000000000001</v>
      </c>
      <c r="L268" s="40">
        <v>0.44</v>
      </c>
      <c r="M268" s="40">
        <v>0.35820000000000002</v>
      </c>
      <c r="N268" s="40">
        <v>0</v>
      </c>
      <c r="O268" s="40">
        <v>49</v>
      </c>
      <c r="P268" s="40">
        <v>49</v>
      </c>
      <c r="Q268" s="40">
        <v>0.19700000000000001</v>
      </c>
    </row>
    <row r="269" spans="1:17" x14ac:dyDescent="0.3">
      <c r="A269" s="40">
        <v>268</v>
      </c>
      <c r="B269" s="42">
        <v>40555</v>
      </c>
      <c r="C269" s="40">
        <v>1</v>
      </c>
      <c r="D269" s="40">
        <v>0</v>
      </c>
      <c r="E269" s="40">
        <v>1</v>
      </c>
      <c r="F269" s="40">
        <v>14</v>
      </c>
      <c r="G269" s="40" t="b">
        <v>0</v>
      </c>
      <c r="H269" s="40">
        <v>3</v>
      </c>
      <c r="I269" s="40">
        <v>1</v>
      </c>
      <c r="J269" s="40">
        <v>0.2</v>
      </c>
      <c r="K269" s="40">
        <v>0.18179999999999999</v>
      </c>
      <c r="L269" s="40">
        <v>0.47</v>
      </c>
      <c r="M269" s="40">
        <v>0.32840000000000003</v>
      </c>
      <c r="N269" s="40">
        <v>0</v>
      </c>
      <c r="O269" s="40">
        <v>44</v>
      </c>
      <c r="P269" s="40">
        <v>44</v>
      </c>
      <c r="Q269" s="40">
        <v>0.18179999999999999</v>
      </c>
    </row>
    <row r="270" spans="1:17" x14ac:dyDescent="0.3">
      <c r="A270" s="40">
        <v>269</v>
      </c>
      <c r="B270" s="42">
        <v>40555</v>
      </c>
      <c r="C270" s="40">
        <v>1</v>
      </c>
      <c r="D270" s="40">
        <v>0</v>
      </c>
      <c r="E270" s="40">
        <v>1</v>
      </c>
      <c r="F270" s="40">
        <v>15</v>
      </c>
      <c r="G270" s="40" t="b">
        <v>0</v>
      </c>
      <c r="H270" s="40">
        <v>3</v>
      </c>
      <c r="I270" s="40">
        <v>1</v>
      </c>
      <c r="J270" s="40">
        <v>0.2</v>
      </c>
      <c r="K270" s="40">
        <v>0.16669999999999999</v>
      </c>
      <c r="L270" s="40">
        <v>0.47</v>
      </c>
      <c r="M270" s="40">
        <v>0.41789999999999999</v>
      </c>
      <c r="N270" s="40">
        <v>1</v>
      </c>
      <c r="O270" s="40">
        <v>48</v>
      </c>
      <c r="P270" s="40">
        <v>49</v>
      </c>
      <c r="Q270" s="40">
        <v>0.16669999999999999</v>
      </c>
    </row>
    <row r="271" spans="1:17" x14ac:dyDescent="0.3">
      <c r="A271" s="40">
        <v>270</v>
      </c>
      <c r="B271" s="42">
        <v>40555</v>
      </c>
      <c r="C271" s="40">
        <v>1</v>
      </c>
      <c r="D271" s="40">
        <v>0</v>
      </c>
      <c r="E271" s="40">
        <v>1</v>
      </c>
      <c r="F271" s="40">
        <v>16</v>
      </c>
      <c r="G271" s="40" t="b">
        <v>0</v>
      </c>
      <c r="H271" s="40">
        <v>3</v>
      </c>
      <c r="I271" s="40">
        <v>1</v>
      </c>
      <c r="J271" s="40">
        <v>0.22</v>
      </c>
      <c r="K271" s="40">
        <v>0.19700000000000001</v>
      </c>
      <c r="L271" s="40">
        <v>0.44</v>
      </c>
      <c r="M271" s="40">
        <v>0.32840000000000003</v>
      </c>
      <c r="N271" s="40">
        <v>5</v>
      </c>
      <c r="O271" s="40">
        <v>63</v>
      </c>
      <c r="P271" s="40">
        <v>68</v>
      </c>
      <c r="Q271" s="40">
        <v>0.19700000000000001</v>
      </c>
    </row>
    <row r="272" spans="1:17" x14ac:dyDescent="0.3">
      <c r="A272" s="40">
        <v>271</v>
      </c>
      <c r="B272" s="42">
        <v>40555</v>
      </c>
      <c r="C272" s="40">
        <v>1</v>
      </c>
      <c r="D272" s="40">
        <v>0</v>
      </c>
      <c r="E272" s="40">
        <v>1</v>
      </c>
      <c r="F272" s="40">
        <v>17</v>
      </c>
      <c r="G272" s="40" t="b">
        <v>0</v>
      </c>
      <c r="H272" s="40">
        <v>3</v>
      </c>
      <c r="I272" s="40">
        <v>1</v>
      </c>
      <c r="J272" s="40">
        <v>0.2</v>
      </c>
      <c r="K272" s="40">
        <v>0.18179999999999999</v>
      </c>
      <c r="L272" s="40">
        <v>0.47</v>
      </c>
      <c r="M272" s="40">
        <v>0.35820000000000002</v>
      </c>
      <c r="N272" s="40">
        <v>0</v>
      </c>
      <c r="O272" s="40">
        <v>139</v>
      </c>
      <c r="P272" s="40">
        <v>139</v>
      </c>
      <c r="Q272" s="40">
        <v>0.18179999999999999</v>
      </c>
    </row>
    <row r="273" spans="1:17" x14ac:dyDescent="0.3">
      <c r="A273" s="40">
        <v>272</v>
      </c>
      <c r="B273" s="42">
        <v>40555</v>
      </c>
      <c r="C273" s="40">
        <v>1</v>
      </c>
      <c r="D273" s="40">
        <v>0</v>
      </c>
      <c r="E273" s="40">
        <v>1</v>
      </c>
      <c r="F273" s="40">
        <v>18</v>
      </c>
      <c r="G273" s="40" t="b">
        <v>0</v>
      </c>
      <c r="H273" s="40">
        <v>3</v>
      </c>
      <c r="I273" s="40">
        <v>1</v>
      </c>
      <c r="J273" s="40">
        <v>0.2</v>
      </c>
      <c r="K273" s="40">
        <v>0.1515</v>
      </c>
      <c r="L273" s="40">
        <v>0.47</v>
      </c>
      <c r="M273" s="40">
        <v>0.52239999999999998</v>
      </c>
      <c r="N273" s="40">
        <v>2</v>
      </c>
      <c r="O273" s="40">
        <v>135</v>
      </c>
      <c r="P273" s="40">
        <v>137</v>
      </c>
      <c r="Q273" s="40">
        <v>0.1515</v>
      </c>
    </row>
    <row r="274" spans="1:17" x14ac:dyDescent="0.3">
      <c r="A274" s="40">
        <v>273</v>
      </c>
      <c r="B274" s="42">
        <v>40555</v>
      </c>
      <c r="C274" s="40">
        <v>1</v>
      </c>
      <c r="D274" s="40">
        <v>0</v>
      </c>
      <c r="E274" s="40">
        <v>1</v>
      </c>
      <c r="F274" s="40">
        <v>19</v>
      </c>
      <c r="G274" s="40" t="b">
        <v>0</v>
      </c>
      <c r="H274" s="40">
        <v>3</v>
      </c>
      <c r="I274" s="40">
        <v>1</v>
      </c>
      <c r="J274" s="40">
        <v>0.18</v>
      </c>
      <c r="K274" s="40">
        <v>0.1515</v>
      </c>
      <c r="L274" s="40">
        <v>0.47</v>
      </c>
      <c r="M274" s="40">
        <v>0.41789999999999999</v>
      </c>
      <c r="N274" s="40">
        <v>1</v>
      </c>
      <c r="O274" s="40">
        <v>82</v>
      </c>
      <c r="P274" s="40">
        <v>83</v>
      </c>
      <c r="Q274" s="40">
        <v>0.1515</v>
      </c>
    </row>
    <row r="275" spans="1:17" x14ac:dyDescent="0.3">
      <c r="A275" s="40">
        <v>274</v>
      </c>
      <c r="B275" s="42">
        <v>40555</v>
      </c>
      <c r="C275" s="40">
        <v>1</v>
      </c>
      <c r="D275" s="40">
        <v>0</v>
      </c>
      <c r="E275" s="40">
        <v>1</v>
      </c>
      <c r="F275" s="40">
        <v>20</v>
      </c>
      <c r="G275" s="40" t="b">
        <v>0</v>
      </c>
      <c r="H275" s="40">
        <v>3</v>
      </c>
      <c r="I275" s="40">
        <v>1</v>
      </c>
      <c r="J275" s="40">
        <v>0.16</v>
      </c>
      <c r="K275" s="40">
        <v>0.13639999999999999</v>
      </c>
      <c r="L275" s="40">
        <v>0.5</v>
      </c>
      <c r="M275" s="40">
        <v>0.32840000000000003</v>
      </c>
      <c r="N275" s="40">
        <v>2</v>
      </c>
      <c r="O275" s="40">
        <v>54</v>
      </c>
      <c r="P275" s="40">
        <v>56</v>
      </c>
      <c r="Q275" s="40">
        <v>0.13639999999999999</v>
      </c>
    </row>
    <row r="276" spans="1:17" x14ac:dyDescent="0.3">
      <c r="A276" s="40">
        <v>275</v>
      </c>
      <c r="B276" s="42">
        <v>40555</v>
      </c>
      <c r="C276" s="40">
        <v>1</v>
      </c>
      <c r="D276" s="40">
        <v>0</v>
      </c>
      <c r="E276" s="40">
        <v>1</v>
      </c>
      <c r="F276" s="40">
        <v>21</v>
      </c>
      <c r="G276" s="40" t="b">
        <v>0</v>
      </c>
      <c r="H276" s="40">
        <v>3</v>
      </c>
      <c r="I276" s="40">
        <v>1</v>
      </c>
      <c r="J276" s="40">
        <v>0.16</v>
      </c>
      <c r="K276" s="40">
        <v>0.13639999999999999</v>
      </c>
      <c r="L276" s="40">
        <v>0.55000000000000004</v>
      </c>
      <c r="M276" s="40">
        <v>0.32840000000000003</v>
      </c>
      <c r="N276" s="40">
        <v>0</v>
      </c>
      <c r="O276" s="40">
        <v>57</v>
      </c>
      <c r="P276" s="40">
        <v>57</v>
      </c>
      <c r="Q276" s="40">
        <v>0.13639999999999999</v>
      </c>
    </row>
    <row r="277" spans="1:17" x14ac:dyDescent="0.3">
      <c r="A277" s="40">
        <v>276</v>
      </c>
      <c r="B277" s="42">
        <v>40555</v>
      </c>
      <c r="C277" s="40">
        <v>1</v>
      </c>
      <c r="D277" s="40">
        <v>0</v>
      </c>
      <c r="E277" s="40">
        <v>1</v>
      </c>
      <c r="F277" s="40">
        <v>22</v>
      </c>
      <c r="G277" s="40" t="b">
        <v>0</v>
      </c>
      <c r="H277" s="40">
        <v>3</v>
      </c>
      <c r="I277" s="40">
        <v>1</v>
      </c>
      <c r="J277" s="40">
        <v>0.16</v>
      </c>
      <c r="K277" s="40">
        <v>0.1212</v>
      </c>
      <c r="L277" s="40">
        <v>0.55000000000000004</v>
      </c>
      <c r="M277" s="40">
        <v>0.44779999999999998</v>
      </c>
      <c r="N277" s="40">
        <v>1</v>
      </c>
      <c r="O277" s="40">
        <v>32</v>
      </c>
      <c r="P277" s="40">
        <v>33</v>
      </c>
      <c r="Q277" s="40">
        <v>0.1212</v>
      </c>
    </row>
    <row r="278" spans="1:17" x14ac:dyDescent="0.3">
      <c r="A278" s="40">
        <v>277</v>
      </c>
      <c r="B278" s="42">
        <v>40555</v>
      </c>
      <c r="C278" s="40">
        <v>1</v>
      </c>
      <c r="D278" s="40">
        <v>0</v>
      </c>
      <c r="E278" s="40">
        <v>1</v>
      </c>
      <c r="F278" s="40">
        <v>23</v>
      </c>
      <c r="G278" s="40" t="b">
        <v>0</v>
      </c>
      <c r="H278" s="40">
        <v>3</v>
      </c>
      <c r="I278" s="40">
        <v>1</v>
      </c>
      <c r="J278" s="40">
        <v>0.14000000000000001</v>
      </c>
      <c r="K278" s="40">
        <v>0.1061</v>
      </c>
      <c r="L278" s="40">
        <v>0.59</v>
      </c>
      <c r="M278" s="40">
        <v>0.41789999999999999</v>
      </c>
      <c r="N278" s="40">
        <v>1</v>
      </c>
      <c r="O278" s="40">
        <v>19</v>
      </c>
      <c r="P278" s="40">
        <v>20</v>
      </c>
      <c r="Q278" s="40">
        <v>0.1061</v>
      </c>
    </row>
    <row r="279" spans="1:17" x14ac:dyDescent="0.3">
      <c r="A279" s="40">
        <v>278</v>
      </c>
      <c r="B279" s="42">
        <v>40921</v>
      </c>
      <c r="C279" s="40">
        <v>1</v>
      </c>
      <c r="D279" s="40">
        <v>0</v>
      </c>
      <c r="E279" s="40">
        <v>1</v>
      </c>
      <c r="F279" s="40">
        <v>0</v>
      </c>
      <c r="G279" s="40" t="b">
        <v>0</v>
      </c>
      <c r="H279" s="40">
        <v>5</v>
      </c>
      <c r="I279" s="40">
        <v>1</v>
      </c>
      <c r="J279" s="40">
        <v>0.14000000000000001</v>
      </c>
      <c r="K279" s="40">
        <v>0.1212</v>
      </c>
      <c r="L279" s="40">
        <v>0.59</v>
      </c>
      <c r="M279" s="40">
        <v>0.28360000000000002</v>
      </c>
      <c r="N279" s="40">
        <v>1</v>
      </c>
      <c r="O279" s="40">
        <v>6</v>
      </c>
      <c r="P279" s="40">
        <v>7</v>
      </c>
      <c r="Q279" s="40">
        <v>0.1212</v>
      </c>
    </row>
    <row r="280" spans="1:17" x14ac:dyDescent="0.3">
      <c r="A280" s="40">
        <v>279</v>
      </c>
      <c r="B280" s="42">
        <v>40921</v>
      </c>
      <c r="C280" s="40">
        <v>1</v>
      </c>
      <c r="D280" s="40">
        <v>0</v>
      </c>
      <c r="E280" s="40">
        <v>1</v>
      </c>
      <c r="F280" s="40">
        <v>1</v>
      </c>
      <c r="G280" s="40" t="b">
        <v>0</v>
      </c>
      <c r="H280" s="40">
        <v>5</v>
      </c>
      <c r="I280" s="40">
        <v>1</v>
      </c>
      <c r="J280" s="40">
        <v>0.14000000000000001</v>
      </c>
      <c r="K280" s="40">
        <v>0.1212</v>
      </c>
      <c r="L280" s="40">
        <v>0.5</v>
      </c>
      <c r="M280" s="40">
        <v>0.28360000000000002</v>
      </c>
      <c r="N280" s="40">
        <v>0</v>
      </c>
      <c r="O280" s="40">
        <v>2</v>
      </c>
      <c r="P280" s="40">
        <v>2</v>
      </c>
      <c r="Q280" s="40">
        <v>0.1212</v>
      </c>
    </row>
    <row r="281" spans="1:17" x14ac:dyDescent="0.3">
      <c r="A281" s="40">
        <v>280</v>
      </c>
      <c r="B281" s="42">
        <v>40921</v>
      </c>
      <c r="C281" s="40">
        <v>1</v>
      </c>
      <c r="D281" s="40">
        <v>0</v>
      </c>
      <c r="E281" s="40">
        <v>1</v>
      </c>
      <c r="F281" s="40">
        <v>2</v>
      </c>
      <c r="G281" s="40" t="b">
        <v>0</v>
      </c>
      <c r="H281" s="40">
        <v>5</v>
      </c>
      <c r="I281" s="40">
        <v>1</v>
      </c>
      <c r="J281" s="40">
        <v>0.14000000000000001</v>
      </c>
      <c r="K281" s="40">
        <v>0.1212</v>
      </c>
      <c r="L281" s="40">
        <v>0.5</v>
      </c>
      <c r="M281" s="40">
        <v>0.35820000000000002</v>
      </c>
      <c r="N281" s="40">
        <v>0</v>
      </c>
      <c r="O281" s="40">
        <v>2</v>
      </c>
      <c r="P281" s="40">
        <v>2</v>
      </c>
      <c r="Q281" s="40">
        <v>0.1212</v>
      </c>
    </row>
    <row r="282" spans="1:17" x14ac:dyDescent="0.3">
      <c r="A282" s="40">
        <v>281</v>
      </c>
      <c r="B282" s="42">
        <v>40921</v>
      </c>
      <c r="C282" s="40">
        <v>1</v>
      </c>
      <c r="D282" s="40">
        <v>0</v>
      </c>
      <c r="E282" s="40">
        <v>1</v>
      </c>
      <c r="F282" s="40">
        <v>3</v>
      </c>
      <c r="G282" s="40" t="b">
        <v>0</v>
      </c>
      <c r="H282" s="40">
        <v>5</v>
      </c>
      <c r="I282" s="40">
        <v>1</v>
      </c>
      <c r="J282" s="40">
        <v>0.14000000000000001</v>
      </c>
      <c r="K282" s="40">
        <v>0.1212</v>
      </c>
      <c r="L282" s="40">
        <v>0.5</v>
      </c>
      <c r="M282" s="40">
        <v>0.32840000000000003</v>
      </c>
      <c r="N282" s="40">
        <v>0</v>
      </c>
      <c r="O282" s="40">
        <v>3</v>
      </c>
      <c r="P282" s="40">
        <v>3</v>
      </c>
      <c r="Q282" s="40">
        <v>0.1212</v>
      </c>
    </row>
    <row r="283" spans="1:17" x14ac:dyDescent="0.3">
      <c r="A283" s="40">
        <v>282</v>
      </c>
      <c r="B283" s="42">
        <v>40921</v>
      </c>
      <c r="C283" s="40">
        <v>1</v>
      </c>
      <c r="D283" s="40">
        <v>0</v>
      </c>
      <c r="E283" s="40">
        <v>1</v>
      </c>
      <c r="F283" s="40">
        <v>4</v>
      </c>
      <c r="G283" s="40" t="b">
        <v>0</v>
      </c>
      <c r="H283" s="40">
        <v>5</v>
      </c>
      <c r="I283" s="40">
        <v>1</v>
      </c>
      <c r="J283" s="40">
        <v>0.14000000000000001</v>
      </c>
      <c r="K283" s="40">
        <v>0.1212</v>
      </c>
      <c r="L283" s="40">
        <v>0.5</v>
      </c>
      <c r="M283" s="40">
        <v>0.25369999999999998</v>
      </c>
      <c r="N283" s="40">
        <v>0</v>
      </c>
      <c r="O283" s="40">
        <v>4</v>
      </c>
      <c r="P283" s="40">
        <v>4</v>
      </c>
      <c r="Q283" s="40">
        <v>0.1212</v>
      </c>
    </row>
    <row r="284" spans="1:17" x14ac:dyDescent="0.3">
      <c r="A284" s="40">
        <v>283</v>
      </c>
      <c r="B284" s="42">
        <v>40921</v>
      </c>
      <c r="C284" s="40">
        <v>1</v>
      </c>
      <c r="D284" s="40">
        <v>0</v>
      </c>
      <c r="E284" s="40">
        <v>1</v>
      </c>
      <c r="F284" s="40">
        <v>5</v>
      </c>
      <c r="G284" s="40" t="b">
        <v>0</v>
      </c>
      <c r="H284" s="40">
        <v>5</v>
      </c>
      <c r="I284" s="40">
        <v>1</v>
      </c>
      <c r="J284" s="40">
        <v>0.14000000000000001</v>
      </c>
      <c r="K284" s="40">
        <v>0.1212</v>
      </c>
      <c r="L284" s="40">
        <v>0.5</v>
      </c>
      <c r="M284" s="40">
        <v>0.29849999999999999</v>
      </c>
      <c r="N284" s="40">
        <v>0</v>
      </c>
      <c r="O284" s="40">
        <v>3</v>
      </c>
      <c r="P284" s="40">
        <v>3</v>
      </c>
      <c r="Q284" s="40">
        <v>0.1212</v>
      </c>
    </row>
    <row r="285" spans="1:17" x14ac:dyDescent="0.3">
      <c r="A285" s="40">
        <v>284</v>
      </c>
      <c r="B285" s="42">
        <v>40921</v>
      </c>
      <c r="C285" s="40">
        <v>1</v>
      </c>
      <c r="D285" s="40">
        <v>0</v>
      </c>
      <c r="E285" s="40">
        <v>1</v>
      </c>
      <c r="F285" s="40">
        <v>6</v>
      </c>
      <c r="G285" s="40" t="b">
        <v>0</v>
      </c>
      <c r="H285" s="40">
        <v>5</v>
      </c>
      <c r="I285" s="40">
        <v>1</v>
      </c>
      <c r="J285" s="40">
        <v>0.12</v>
      </c>
      <c r="K285" s="40">
        <v>0.1515</v>
      </c>
      <c r="L285" s="40">
        <v>0.54</v>
      </c>
      <c r="M285" s="40">
        <v>0.1343</v>
      </c>
      <c r="N285" s="40">
        <v>0</v>
      </c>
      <c r="O285" s="40">
        <v>28</v>
      </c>
      <c r="P285" s="40">
        <v>28</v>
      </c>
      <c r="Q285" s="40">
        <v>0.1515</v>
      </c>
    </row>
    <row r="286" spans="1:17" x14ac:dyDescent="0.3">
      <c r="A286" s="40">
        <v>285</v>
      </c>
      <c r="B286" s="42">
        <v>40921</v>
      </c>
      <c r="C286" s="40">
        <v>1</v>
      </c>
      <c r="D286" s="40">
        <v>0</v>
      </c>
      <c r="E286" s="40">
        <v>1</v>
      </c>
      <c r="F286" s="40">
        <v>7</v>
      </c>
      <c r="G286" s="40" t="b">
        <v>0</v>
      </c>
      <c r="H286" s="40">
        <v>5</v>
      </c>
      <c r="I286" s="40">
        <v>1</v>
      </c>
      <c r="J286" s="40">
        <v>0.12</v>
      </c>
      <c r="K286" s="40">
        <v>0.1515</v>
      </c>
      <c r="L286" s="40">
        <v>0.54</v>
      </c>
      <c r="M286" s="40">
        <v>0.1343</v>
      </c>
      <c r="N286" s="40">
        <v>0</v>
      </c>
      <c r="O286" s="40">
        <v>72</v>
      </c>
      <c r="P286" s="40">
        <v>72</v>
      </c>
      <c r="Q286" s="40">
        <v>0.1515</v>
      </c>
    </row>
    <row r="287" spans="1:17" x14ac:dyDescent="0.3">
      <c r="A287" s="40">
        <v>286</v>
      </c>
      <c r="B287" s="42">
        <v>40921</v>
      </c>
      <c r="C287" s="40">
        <v>1</v>
      </c>
      <c r="D287" s="40">
        <v>0</v>
      </c>
      <c r="E287" s="40">
        <v>1</v>
      </c>
      <c r="F287" s="40">
        <v>8</v>
      </c>
      <c r="G287" s="40" t="b">
        <v>0</v>
      </c>
      <c r="H287" s="40">
        <v>5</v>
      </c>
      <c r="I287" s="40">
        <v>1</v>
      </c>
      <c r="J287" s="40">
        <v>0.14000000000000001</v>
      </c>
      <c r="K287" s="40">
        <v>0.13639999999999999</v>
      </c>
      <c r="L287" s="40">
        <v>0.5</v>
      </c>
      <c r="M287" s="40">
        <v>0.19400000000000001</v>
      </c>
      <c r="N287" s="40">
        <v>5</v>
      </c>
      <c r="O287" s="40">
        <v>197</v>
      </c>
      <c r="P287" s="40">
        <v>202</v>
      </c>
      <c r="Q287" s="40">
        <v>0.13639999999999999</v>
      </c>
    </row>
    <row r="288" spans="1:17" x14ac:dyDescent="0.3">
      <c r="A288" s="40">
        <v>287</v>
      </c>
      <c r="B288" s="42">
        <v>40921</v>
      </c>
      <c r="C288" s="40">
        <v>1</v>
      </c>
      <c r="D288" s="40">
        <v>0</v>
      </c>
      <c r="E288" s="40">
        <v>1</v>
      </c>
      <c r="F288" s="40">
        <v>9</v>
      </c>
      <c r="G288" s="40" t="b">
        <v>0</v>
      </c>
      <c r="H288" s="40">
        <v>5</v>
      </c>
      <c r="I288" s="40">
        <v>1</v>
      </c>
      <c r="J288" s="40">
        <v>0.14000000000000001</v>
      </c>
      <c r="K288" s="40">
        <v>0.1212</v>
      </c>
      <c r="L288" s="40">
        <v>0.5</v>
      </c>
      <c r="M288" s="40">
        <v>0.32840000000000003</v>
      </c>
      <c r="N288" s="40">
        <v>2</v>
      </c>
      <c r="O288" s="40">
        <v>137</v>
      </c>
      <c r="P288" s="40">
        <v>139</v>
      </c>
      <c r="Q288" s="40">
        <v>0.1212</v>
      </c>
    </row>
    <row r="289" spans="1:17" x14ac:dyDescent="0.3">
      <c r="A289" s="40">
        <v>288</v>
      </c>
      <c r="B289" s="42">
        <v>40921</v>
      </c>
      <c r="C289" s="40">
        <v>1</v>
      </c>
      <c r="D289" s="40">
        <v>0</v>
      </c>
      <c r="E289" s="40">
        <v>1</v>
      </c>
      <c r="F289" s="40">
        <v>10</v>
      </c>
      <c r="G289" s="40" t="b">
        <v>0</v>
      </c>
      <c r="H289" s="40">
        <v>5</v>
      </c>
      <c r="I289" s="40">
        <v>2</v>
      </c>
      <c r="J289" s="40">
        <v>0.16</v>
      </c>
      <c r="K289" s="40">
        <v>0.13639999999999999</v>
      </c>
      <c r="L289" s="40">
        <v>0.5</v>
      </c>
      <c r="M289" s="40">
        <v>0.35820000000000002</v>
      </c>
      <c r="N289" s="40">
        <v>2</v>
      </c>
      <c r="O289" s="40">
        <v>36</v>
      </c>
      <c r="P289" s="40">
        <v>38</v>
      </c>
      <c r="Q289" s="40">
        <v>0.13639999999999999</v>
      </c>
    </row>
    <row r="290" spans="1:17" x14ac:dyDescent="0.3">
      <c r="A290" s="40">
        <v>289</v>
      </c>
      <c r="B290" s="42">
        <v>40921</v>
      </c>
      <c r="C290" s="40">
        <v>1</v>
      </c>
      <c r="D290" s="40">
        <v>0</v>
      </c>
      <c r="E290" s="40">
        <v>1</v>
      </c>
      <c r="F290" s="40">
        <v>11</v>
      </c>
      <c r="G290" s="40" t="b">
        <v>0</v>
      </c>
      <c r="H290" s="40">
        <v>5</v>
      </c>
      <c r="I290" s="40">
        <v>2</v>
      </c>
      <c r="J290" s="40">
        <v>0.2</v>
      </c>
      <c r="K290" s="40">
        <v>0.16669999999999999</v>
      </c>
      <c r="L290" s="40">
        <v>0.44</v>
      </c>
      <c r="M290" s="40">
        <v>0.44779999999999998</v>
      </c>
      <c r="N290" s="40">
        <v>4</v>
      </c>
      <c r="O290" s="40">
        <v>33</v>
      </c>
      <c r="P290" s="40">
        <v>37</v>
      </c>
      <c r="Q290" s="40">
        <v>0.16669999999999999</v>
      </c>
    </row>
    <row r="291" spans="1:17" x14ac:dyDescent="0.3">
      <c r="A291" s="40">
        <v>290</v>
      </c>
      <c r="B291" s="42">
        <v>40921</v>
      </c>
      <c r="C291" s="40">
        <v>1</v>
      </c>
      <c r="D291" s="40">
        <v>0</v>
      </c>
      <c r="E291" s="40">
        <v>1</v>
      </c>
      <c r="F291" s="40">
        <v>12</v>
      </c>
      <c r="G291" s="40" t="b">
        <v>0</v>
      </c>
      <c r="H291" s="40">
        <v>5</v>
      </c>
      <c r="I291" s="40">
        <v>1</v>
      </c>
      <c r="J291" s="40">
        <v>0.2</v>
      </c>
      <c r="K291" s="40">
        <v>0.16669999999999999</v>
      </c>
      <c r="L291" s="40">
        <v>0.44</v>
      </c>
      <c r="M291" s="40">
        <v>0.41789999999999999</v>
      </c>
      <c r="N291" s="40">
        <v>3</v>
      </c>
      <c r="O291" s="40">
        <v>49</v>
      </c>
      <c r="P291" s="40">
        <v>52</v>
      </c>
      <c r="Q291" s="40">
        <v>0.16669999999999999</v>
      </c>
    </row>
    <row r="292" spans="1:17" x14ac:dyDescent="0.3">
      <c r="A292" s="40">
        <v>291</v>
      </c>
      <c r="B292" s="42">
        <v>40921</v>
      </c>
      <c r="C292" s="40">
        <v>1</v>
      </c>
      <c r="D292" s="40">
        <v>0</v>
      </c>
      <c r="E292" s="40">
        <v>1</v>
      </c>
      <c r="F292" s="40">
        <v>13</v>
      </c>
      <c r="G292" s="40" t="b">
        <v>0</v>
      </c>
      <c r="H292" s="40">
        <v>5</v>
      </c>
      <c r="I292" s="40">
        <v>1</v>
      </c>
      <c r="J292" s="40">
        <v>0.22</v>
      </c>
      <c r="K292" s="40">
        <v>0.19700000000000001</v>
      </c>
      <c r="L292" s="40">
        <v>0.41</v>
      </c>
      <c r="M292" s="40">
        <v>0.44779999999999998</v>
      </c>
      <c r="N292" s="40">
        <v>2</v>
      </c>
      <c r="O292" s="40">
        <v>81</v>
      </c>
      <c r="P292" s="40">
        <v>83</v>
      </c>
      <c r="Q292" s="40">
        <v>0.19700000000000001</v>
      </c>
    </row>
    <row r="293" spans="1:17" x14ac:dyDescent="0.3">
      <c r="A293" s="40">
        <v>292</v>
      </c>
      <c r="B293" s="42">
        <v>40921</v>
      </c>
      <c r="C293" s="40">
        <v>1</v>
      </c>
      <c r="D293" s="40">
        <v>0</v>
      </c>
      <c r="E293" s="40">
        <v>1</v>
      </c>
      <c r="F293" s="40">
        <v>14</v>
      </c>
      <c r="G293" s="40" t="b">
        <v>0</v>
      </c>
      <c r="H293" s="40">
        <v>5</v>
      </c>
      <c r="I293" s="40">
        <v>1</v>
      </c>
      <c r="J293" s="40">
        <v>0.22</v>
      </c>
      <c r="K293" s="40">
        <v>0.19700000000000001</v>
      </c>
      <c r="L293" s="40">
        <v>0.41</v>
      </c>
      <c r="M293" s="40">
        <v>0.3881</v>
      </c>
      <c r="N293" s="40">
        <v>3</v>
      </c>
      <c r="O293" s="40">
        <v>39</v>
      </c>
      <c r="P293" s="40">
        <v>42</v>
      </c>
      <c r="Q293" s="40">
        <v>0.19700000000000001</v>
      </c>
    </row>
    <row r="294" spans="1:17" x14ac:dyDescent="0.3">
      <c r="A294" s="40">
        <v>293</v>
      </c>
      <c r="B294" s="42">
        <v>40921</v>
      </c>
      <c r="C294" s="40">
        <v>1</v>
      </c>
      <c r="D294" s="40">
        <v>0</v>
      </c>
      <c r="E294" s="40">
        <v>1</v>
      </c>
      <c r="F294" s="40">
        <v>15</v>
      </c>
      <c r="G294" s="40" t="b">
        <v>0</v>
      </c>
      <c r="H294" s="40">
        <v>5</v>
      </c>
      <c r="I294" s="40">
        <v>1</v>
      </c>
      <c r="J294" s="40">
        <v>0.24</v>
      </c>
      <c r="K294" s="40">
        <v>0.21210000000000001</v>
      </c>
      <c r="L294" s="40">
        <v>0.38</v>
      </c>
      <c r="M294" s="40">
        <v>0.29849999999999999</v>
      </c>
      <c r="N294" s="40">
        <v>5</v>
      </c>
      <c r="O294" s="40">
        <v>55</v>
      </c>
      <c r="P294" s="40">
        <v>60</v>
      </c>
      <c r="Q294" s="40">
        <v>0.21210000000000001</v>
      </c>
    </row>
    <row r="295" spans="1:17" x14ac:dyDescent="0.3">
      <c r="A295" s="40">
        <v>294</v>
      </c>
      <c r="B295" s="42">
        <v>40921</v>
      </c>
      <c r="C295" s="40">
        <v>1</v>
      </c>
      <c r="D295" s="40">
        <v>0</v>
      </c>
      <c r="E295" s="40">
        <v>1</v>
      </c>
      <c r="F295" s="40">
        <v>16</v>
      </c>
      <c r="G295" s="40" t="b">
        <v>0</v>
      </c>
      <c r="H295" s="40">
        <v>5</v>
      </c>
      <c r="I295" s="40">
        <v>1</v>
      </c>
      <c r="J295" s="40">
        <v>0.24</v>
      </c>
      <c r="K295" s="40">
        <v>0.21210000000000001</v>
      </c>
      <c r="L295" s="40">
        <v>0.38</v>
      </c>
      <c r="M295" s="40">
        <v>0.35820000000000002</v>
      </c>
      <c r="N295" s="40">
        <v>2</v>
      </c>
      <c r="O295" s="40">
        <v>76</v>
      </c>
      <c r="P295" s="40">
        <v>78</v>
      </c>
      <c r="Q295" s="40">
        <v>0.21210000000000001</v>
      </c>
    </row>
    <row r="296" spans="1:17" x14ac:dyDescent="0.3">
      <c r="A296" s="40">
        <v>295</v>
      </c>
      <c r="B296" s="42">
        <v>40921</v>
      </c>
      <c r="C296" s="40">
        <v>1</v>
      </c>
      <c r="D296" s="40">
        <v>0</v>
      </c>
      <c r="E296" s="40">
        <v>1</v>
      </c>
      <c r="F296" s="40">
        <v>17</v>
      </c>
      <c r="G296" s="40" t="b">
        <v>0</v>
      </c>
      <c r="H296" s="40">
        <v>5</v>
      </c>
      <c r="I296" s="40">
        <v>1</v>
      </c>
      <c r="J296" s="40">
        <v>0.2</v>
      </c>
      <c r="K296" s="40">
        <v>0.18179999999999999</v>
      </c>
      <c r="L296" s="40">
        <v>0.4</v>
      </c>
      <c r="M296" s="40">
        <v>0.28360000000000002</v>
      </c>
      <c r="N296" s="40">
        <v>4</v>
      </c>
      <c r="O296" s="40">
        <v>158</v>
      </c>
      <c r="P296" s="40">
        <v>162</v>
      </c>
      <c r="Q296" s="40">
        <v>0.18179999999999999</v>
      </c>
    </row>
    <row r="297" spans="1:17" x14ac:dyDescent="0.3">
      <c r="A297" s="40">
        <v>296</v>
      </c>
      <c r="B297" s="42">
        <v>40921</v>
      </c>
      <c r="C297" s="40">
        <v>1</v>
      </c>
      <c r="D297" s="40">
        <v>0</v>
      </c>
      <c r="E297" s="40">
        <v>1</v>
      </c>
      <c r="F297" s="40">
        <v>18</v>
      </c>
      <c r="G297" s="40" t="b">
        <v>0</v>
      </c>
      <c r="H297" s="40">
        <v>5</v>
      </c>
      <c r="I297" s="40">
        <v>1</v>
      </c>
      <c r="J297" s="40">
        <v>0.2</v>
      </c>
      <c r="K297" s="40">
        <v>0.18179999999999999</v>
      </c>
      <c r="L297" s="40">
        <v>0.4</v>
      </c>
      <c r="M297" s="40">
        <v>0.32840000000000003</v>
      </c>
      <c r="N297" s="40">
        <v>3</v>
      </c>
      <c r="O297" s="40">
        <v>141</v>
      </c>
      <c r="P297" s="40">
        <v>144</v>
      </c>
      <c r="Q297" s="40">
        <v>0.18179999999999999</v>
      </c>
    </row>
    <row r="298" spans="1:17" x14ac:dyDescent="0.3">
      <c r="A298" s="40">
        <v>297</v>
      </c>
      <c r="B298" s="42">
        <v>40921</v>
      </c>
      <c r="C298" s="40">
        <v>1</v>
      </c>
      <c r="D298" s="40">
        <v>0</v>
      </c>
      <c r="E298" s="40">
        <v>1</v>
      </c>
      <c r="F298" s="40">
        <v>19</v>
      </c>
      <c r="G298" s="40" t="b">
        <v>0</v>
      </c>
      <c r="H298" s="40">
        <v>5</v>
      </c>
      <c r="I298" s="40">
        <v>1</v>
      </c>
      <c r="J298" s="40">
        <v>0.16</v>
      </c>
      <c r="K298" s="40">
        <v>0.1515</v>
      </c>
      <c r="L298" s="40">
        <v>0.47</v>
      </c>
      <c r="M298" s="40">
        <v>0.25369999999999998</v>
      </c>
      <c r="N298" s="40">
        <v>1</v>
      </c>
      <c r="O298" s="40">
        <v>98</v>
      </c>
      <c r="P298" s="40">
        <v>99</v>
      </c>
      <c r="Q298" s="40">
        <v>0.1515</v>
      </c>
    </row>
    <row r="299" spans="1:17" x14ac:dyDescent="0.3">
      <c r="A299" s="40">
        <v>298</v>
      </c>
      <c r="B299" s="42">
        <v>40921</v>
      </c>
      <c r="C299" s="40">
        <v>1</v>
      </c>
      <c r="D299" s="40">
        <v>0</v>
      </c>
      <c r="E299" s="40">
        <v>1</v>
      </c>
      <c r="F299" s="40">
        <v>20</v>
      </c>
      <c r="G299" s="40" t="b">
        <v>0</v>
      </c>
      <c r="H299" s="40">
        <v>5</v>
      </c>
      <c r="I299" s="40">
        <v>1</v>
      </c>
      <c r="J299" s="40">
        <v>0.16</v>
      </c>
      <c r="K299" s="40">
        <v>0.1515</v>
      </c>
      <c r="L299" s="40">
        <v>0.47</v>
      </c>
      <c r="M299" s="40">
        <v>0.22389999999999999</v>
      </c>
      <c r="N299" s="40">
        <v>0</v>
      </c>
      <c r="O299" s="40">
        <v>64</v>
      </c>
      <c r="P299" s="40">
        <v>64</v>
      </c>
      <c r="Q299" s="40">
        <v>0.1515</v>
      </c>
    </row>
    <row r="300" spans="1:17" x14ac:dyDescent="0.3">
      <c r="A300" s="40">
        <v>299</v>
      </c>
      <c r="B300" s="42">
        <v>40921</v>
      </c>
      <c r="C300" s="40">
        <v>1</v>
      </c>
      <c r="D300" s="40">
        <v>0</v>
      </c>
      <c r="E300" s="40">
        <v>1</v>
      </c>
      <c r="F300" s="40">
        <v>21</v>
      </c>
      <c r="G300" s="40" t="b">
        <v>0</v>
      </c>
      <c r="H300" s="40">
        <v>5</v>
      </c>
      <c r="I300" s="40">
        <v>1</v>
      </c>
      <c r="J300" s="40">
        <v>0.14000000000000001</v>
      </c>
      <c r="K300" s="40">
        <v>0.1212</v>
      </c>
      <c r="L300" s="40">
        <v>0.46</v>
      </c>
      <c r="M300" s="40">
        <v>0.29849999999999999</v>
      </c>
      <c r="N300" s="40">
        <v>0</v>
      </c>
      <c r="O300" s="40">
        <v>40</v>
      </c>
      <c r="P300" s="40">
        <v>40</v>
      </c>
      <c r="Q300" s="40">
        <v>0.1212</v>
      </c>
    </row>
    <row r="301" spans="1:17" x14ac:dyDescent="0.3">
      <c r="A301" s="40">
        <v>300</v>
      </c>
      <c r="B301" s="42">
        <v>40921</v>
      </c>
      <c r="C301" s="40">
        <v>1</v>
      </c>
      <c r="D301" s="40">
        <v>0</v>
      </c>
      <c r="E301" s="40">
        <v>1</v>
      </c>
      <c r="F301" s="40">
        <v>22</v>
      </c>
      <c r="G301" s="40" t="b">
        <v>0</v>
      </c>
      <c r="H301" s="40">
        <v>5</v>
      </c>
      <c r="I301" s="40">
        <v>1</v>
      </c>
      <c r="J301" s="40">
        <v>0.14000000000000001</v>
      </c>
      <c r="K301" s="40">
        <v>0.1212</v>
      </c>
      <c r="L301" s="40">
        <v>0.46</v>
      </c>
      <c r="M301" s="40">
        <v>0.32840000000000003</v>
      </c>
      <c r="N301" s="40">
        <v>0</v>
      </c>
      <c r="O301" s="40">
        <v>30</v>
      </c>
      <c r="P301" s="40">
        <v>30</v>
      </c>
      <c r="Q301" s="40">
        <v>0.1212</v>
      </c>
    </row>
    <row r="302" spans="1:17" x14ac:dyDescent="0.3">
      <c r="A302" s="40">
        <v>301</v>
      </c>
      <c r="B302" s="42">
        <v>40921</v>
      </c>
      <c r="C302" s="40">
        <v>1</v>
      </c>
      <c r="D302" s="40">
        <v>0</v>
      </c>
      <c r="E302" s="40">
        <v>1</v>
      </c>
      <c r="F302" s="40">
        <v>23</v>
      </c>
      <c r="G302" s="40" t="b">
        <v>0</v>
      </c>
      <c r="H302" s="40">
        <v>5</v>
      </c>
      <c r="I302" s="40">
        <v>1</v>
      </c>
      <c r="J302" s="40">
        <v>0.12</v>
      </c>
      <c r="K302" s="40">
        <v>0.13639999999999999</v>
      </c>
      <c r="L302" s="40">
        <v>0.5</v>
      </c>
      <c r="M302" s="40">
        <v>0.19400000000000001</v>
      </c>
      <c r="N302" s="40">
        <v>1</v>
      </c>
      <c r="O302" s="40">
        <v>14</v>
      </c>
      <c r="P302" s="40">
        <v>15</v>
      </c>
      <c r="Q302" s="40">
        <v>0.13639999999999999</v>
      </c>
    </row>
    <row r="303" spans="1:17" x14ac:dyDescent="0.3">
      <c r="A303" s="40">
        <v>302</v>
      </c>
      <c r="B303" s="42">
        <v>40557</v>
      </c>
      <c r="C303" s="40">
        <v>1</v>
      </c>
      <c r="D303" s="40">
        <v>0</v>
      </c>
      <c r="E303" s="40">
        <v>1</v>
      </c>
      <c r="F303" s="40">
        <v>0</v>
      </c>
      <c r="G303" s="40" t="b">
        <v>0</v>
      </c>
      <c r="H303" s="40">
        <v>5</v>
      </c>
      <c r="I303" s="40">
        <v>1</v>
      </c>
      <c r="J303" s="40">
        <v>0.12</v>
      </c>
      <c r="K303" s="40">
        <v>0.13639999999999999</v>
      </c>
      <c r="L303" s="40">
        <v>0.5</v>
      </c>
      <c r="M303" s="40">
        <v>0.19400000000000001</v>
      </c>
      <c r="N303" s="40">
        <v>0</v>
      </c>
      <c r="O303" s="40">
        <v>14</v>
      </c>
      <c r="P303" s="40">
        <v>14</v>
      </c>
      <c r="Q303" s="40">
        <v>0.13639999999999999</v>
      </c>
    </row>
    <row r="304" spans="1:17" x14ac:dyDescent="0.3">
      <c r="A304" s="40">
        <v>303</v>
      </c>
      <c r="B304" s="42">
        <v>40557</v>
      </c>
      <c r="C304" s="40">
        <v>1</v>
      </c>
      <c r="D304" s="40">
        <v>0</v>
      </c>
      <c r="E304" s="40">
        <v>1</v>
      </c>
      <c r="F304" s="40">
        <v>1</v>
      </c>
      <c r="G304" s="40" t="b">
        <v>0</v>
      </c>
      <c r="H304" s="40">
        <v>5</v>
      </c>
      <c r="I304" s="40">
        <v>1</v>
      </c>
      <c r="J304" s="40">
        <v>0.1</v>
      </c>
      <c r="K304" s="40">
        <v>0.1212</v>
      </c>
      <c r="L304" s="40">
        <v>0.54</v>
      </c>
      <c r="M304" s="40">
        <v>0.16420000000000001</v>
      </c>
      <c r="N304" s="40">
        <v>0</v>
      </c>
      <c r="O304" s="40">
        <v>5</v>
      </c>
      <c r="P304" s="40">
        <v>5</v>
      </c>
      <c r="Q304" s="40">
        <v>0.1212</v>
      </c>
    </row>
    <row r="305" spans="1:17" x14ac:dyDescent="0.3">
      <c r="A305" s="40">
        <v>304</v>
      </c>
      <c r="B305" s="42">
        <v>40557</v>
      </c>
      <c r="C305" s="40">
        <v>1</v>
      </c>
      <c r="D305" s="40">
        <v>0</v>
      </c>
      <c r="E305" s="40">
        <v>1</v>
      </c>
      <c r="F305" s="40">
        <v>2</v>
      </c>
      <c r="G305" s="40" t="b">
        <v>0</v>
      </c>
      <c r="H305" s="40">
        <v>5</v>
      </c>
      <c r="I305" s="40">
        <v>1</v>
      </c>
      <c r="J305" s="40">
        <v>0.1</v>
      </c>
      <c r="K305" s="40">
        <v>0.1212</v>
      </c>
      <c r="L305" s="40">
        <v>0.54</v>
      </c>
      <c r="M305" s="40">
        <v>0.1343</v>
      </c>
      <c r="N305" s="40">
        <v>0</v>
      </c>
      <c r="O305" s="40">
        <v>1</v>
      </c>
      <c r="P305" s="40">
        <v>1</v>
      </c>
      <c r="Q305" s="40">
        <v>0.1212</v>
      </c>
    </row>
    <row r="306" spans="1:17" x14ac:dyDescent="0.3">
      <c r="A306" s="40">
        <v>305</v>
      </c>
      <c r="B306" s="42">
        <v>40557</v>
      </c>
      <c r="C306" s="40">
        <v>1</v>
      </c>
      <c r="D306" s="40">
        <v>0</v>
      </c>
      <c r="E306" s="40">
        <v>1</v>
      </c>
      <c r="F306" s="40">
        <v>3</v>
      </c>
      <c r="G306" s="40" t="b">
        <v>0</v>
      </c>
      <c r="H306" s="40">
        <v>5</v>
      </c>
      <c r="I306" s="40">
        <v>1</v>
      </c>
      <c r="J306" s="40">
        <v>0.1</v>
      </c>
      <c r="K306" s="40">
        <v>0.13639999999999999</v>
      </c>
      <c r="L306" s="40">
        <v>0.54</v>
      </c>
      <c r="M306" s="40">
        <v>0.1045</v>
      </c>
      <c r="N306" s="40">
        <v>0</v>
      </c>
      <c r="O306" s="40">
        <v>1</v>
      </c>
      <c r="P306" s="40">
        <v>1</v>
      </c>
      <c r="Q306" s="40">
        <v>0.13639999999999999</v>
      </c>
    </row>
    <row r="307" spans="1:17" x14ac:dyDescent="0.3">
      <c r="A307" s="40">
        <v>306</v>
      </c>
      <c r="B307" s="42">
        <v>40557</v>
      </c>
      <c r="C307" s="40">
        <v>1</v>
      </c>
      <c r="D307" s="40">
        <v>0</v>
      </c>
      <c r="E307" s="40">
        <v>1</v>
      </c>
      <c r="F307" s="40">
        <v>5</v>
      </c>
      <c r="G307" s="40" t="b">
        <v>0</v>
      </c>
      <c r="H307" s="40">
        <v>5</v>
      </c>
      <c r="I307" s="40">
        <v>1</v>
      </c>
      <c r="J307" s="40">
        <v>0.1</v>
      </c>
      <c r="K307" s="40">
        <v>0.13639999999999999</v>
      </c>
      <c r="L307" s="40">
        <v>0.54</v>
      </c>
      <c r="M307" s="40">
        <v>8.9599999999999999E-2</v>
      </c>
      <c r="N307" s="40">
        <v>0</v>
      </c>
      <c r="O307" s="40">
        <v>8</v>
      </c>
      <c r="P307" s="40">
        <v>8</v>
      </c>
      <c r="Q307" s="40">
        <v>0.13639999999999999</v>
      </c>
    </row>
    <row r="308" spans="1:17" x14ac:dyDescent="0.3">
      <c r="A308" s="40">
        <v>307</v>
      </c>
      <c r="B308" s="42">
        <v>40557</v>
      </c>
      <c r="C308" s="40">
        <v>1</v>
      </c>
      <c r="D308" s="40">
        <v>0</v>
      </c>
      <c r="E308" s="40">
        <v>1</v>
      </c>
      <c r="F308" s="40">
        <v>6</v>
      </c>
      <c r="G308" s="40" t="b">
        <v>0</v>
      </c>
      <c r="H308" s="40">
        <v>5</v>
      </c>
      <c r="I308" s="40">
        <v>1</v>
      </c>
      <c r="J308" s="40">
        <v>0.1</v>
      </c>
      <c r="K308" s="40">
        <v>0.18179999999999999</v>
      </c>
      <c r="L308" s="40">
        <v>0.54</v>
      </c>
      <c r="M308" s="40">
        <v>0.20485098360655737</v>
      </c>
      <c r="N308" s="40">
        <v>0</v>
      </c>
      <c r="O308" s="40">
        <v>17</v>
      </c>
      <c r="P308" s="40">
        <v>17</v>
      </c>
      <c r="Q308" s="40">
        <v>0.18179999999999999</v>
      </c>
    </row>
    <row r="309" spans="1:17" x14ac:dyDescent="0.3">
      <c r="A309" s="40">
        <v>308</v>
      </c>
      <c r="B309" s="42">
        <v>40557</v>
      </c>
      <c r="C309" s="40">
        <v>1</v>
      </c>
      <c r="D309" s="40">
        <v>0</v>
      </c>
      <c r="E309" s="40">
        <v>1</v>
      </c>
      <c r="F309" s="40">
        <v>7</v>
      </c>
      <c r="G309" s="40" t="b">
        <v>0</v>
      </c>
      <c r="H309" s="40">
        <v>5</v>
      </c>
      <c r="I309" s="40">
        <v>1</v>
      </c>
      <c r="J309" s="40">
        <v>0.1</v>
      </c>
      <c r="K309" s="40">
        <v>0.1212</v>
      </c>
      <c r="L309" s="40">
        <v>0.74</v>
      </c>
      <c r="M309" s="40">
        <v>0.16420000000000001</v>
      </c>
      <c r="N309" s="40">
        <v>0</v>
      </c>
      <c r="O309" s="40">
        <v>70</v>
      </c>
      <c r="P309" s="40">
        <v>70</v>
      </c>
      <c r="Q309" s="40">
        <v>0.1212</v>
      </c>
    </row>
    <row r="310" spans="1:17" x14ac:dyDescent="0.3">
      <c r="A310" s="40">
        <v>309</v>
      </c>
      <c r="B310" s="42">
        <v>40557</v>
      </c>
      <c r="C310" s="40">
        <v>1</v>
      </c>
      <c r="D310" s="40">
        <v>0</v>
      </c>
      <c r="E310" s="40">
        <v>1</v>
      </c>
      <c r="F310" s="40">
        <v>8</v>
      </c>
      <c r="G310" s="40" t="b">
        <v>0</v>
      </c>
      <c r="H310" s="40">
        <v>5</v>
      </c>
      <c r="I310" s="40">
        <v>1</v>
      </c>
      <c r="J310" s="40">
        <v>0.12</v>
      </c>
      <c r="K310" s="40">
        <v>0.16669999999999999</v>
      </c>
      <c r="L310" s="40">
        <v>0.68</v>
      </c>
      <c r="M310" s="40">
        <v>0.20485098360655737</v>
      </c>
      <c r="N310" s="40">
        <v>2</v>
      </c>
      <c r="O310" s="40">
        <v>156</v>
      </c>
      <c r="P310" s="40">
        <v>158</v>
      </c>
      <c r="Q310" s="40">
        <v>0.16669999999999999</v>
      </c>
    </row>
    <row r="311" spans="1:17" x14ac:dyDescent="0.3">
      <c r="A311" s="40">
        <v>310</v>
      </c>
      <c r="B311" s="42">
        <v>40557</v>
      </c>
      <c r="C311" s="40">
        <v>1</v>
      </c>
      <c r="D311" s="40">
        <v>0</v>
      </c>
      <c r="E311" s="40">
        <v>1</v>
      </c>
      <c r="F311" s="40">
        <v>9</v>
      </c>
      <c r="G311" s="40" t="b">
        <v>0</v>
      </c>
      <c r="H311" s="40">
        <v>5</v>
      </c>
      <c r="I311" s="40">
        <v>1</v>
      </c>
      <c r="J311" s="40">
        <v>0.14000000000000001</v>
      </c>
      <c r="K311" s="40">
        <v>0.1515</v>
      </c>
      <c r="L311" s="40">
        <v>0.69</v>
      </c>
      <c r="M311" s="40">
        <v>0.1343</v>
      </c>
      <c r="N311" s="40">
        <v>0</v>
      </c>
      <c r="O311" s="40">
        <v>117</v>
      </c>
      <c r="P311" s="40">
        <v>117</v>
      </c>
      <c r="Q311" s="40">
        <v>0.1515</v>
      </c>
    </row>
    <row r="312" spans="1:17" x14ac:dyDescent="0.3">
      <c r="A312" s="40">
        <v>311</v>
      </c>
      <c r="B312" s="42">
        <v>40557</v>
      </c>
      <c r="C312" s="40">
        <v>1</v>
      </c>
      <c r="D312" s="40">
        <v>0</v>
      </c>
      <c r="E312" s="40">
        <v>1</v>
      </c>
      <c r="F312" s="40">
        <v>10</v>
      </c>
      <c r="G312" s="40" t="b">
        <v>0</v>
      </c>
      <c r="H312" s="40">
        <v>5</v>
      </c>
      <c r="I312" s="40">
        <v>1</v>
      </c>
      <c r="J312" s="40">
        <v>0.18</v>
      </c>
      <c r="K312" s="40">
        <v>0.18179999999999999</v>
      </c>
      <c r="L312" s="40">
        <v>0.55000000000000004</v>
      </c>
      <c r="M312" s="40">
        <v>0.19400000000000001</v>
      </c>
      <c r="N312" s="40">
        <v>4</v>
      </c>
      <c r="O312" s="40">
        <v>40</v>
      </c>
      <c r="P312" s="40">
        <v>44</v>
      </c>
      <c r="Q312" s="40">
        <v>0.18179999999999999</v>
      </c>
    </row>
    <row r="313" spans="1:17" x14ac:dyDescent="0.3">
      <c r="A313" s="40">
        <v>312</v>
      </c>
      <c r="B313" s="42">
        <v>40557</v>
      </c>
      <c r="C313" s="40">
        <v>1</v>
      </c>
      <c r="D313" s="40">
        <v>0</v>
      </c>
      <c r="E313" s="40">
        <v>1</v>
      </c>
      <c r="F313" s="40">
        <v>11</v>
      </c>
      <c r="G313" s="40" t="b">
        <v>0</v>
      </c>
      <c r="H313" s="40">
        <v>5</v>
      </c>
      <c r="I313" s="40">
        <v>1</v>
      </c>
      <c r="J313" s="40">
        <v>0.18</v>
      </c>
      <c r="K313" s="40">
        <v>0.16669999999999999</v>
      </c>
      <c r="L313" s="40">
        <v>0.51</v>
      </c>
      <c r="M313" s="40">
        <v>0.28360000000000002</v>
      </c>
      <c r="N313" s="40">
        <v>6</v>
      </c>
      <c r="O313" s="40">
        <v>47</v>
      </c>
      <c r="P313" s="40">
        <v>53</v>
      </c>
      <c r="Q313" s="40">
        <v>0.16669999999999999</v>
      </c>
    </row>
    <row r="314" spans="1:17" x14ac:dyDescent="0.3">
      <c r="A314" s="40">
        <v>313</v>
      </c>
      <c r="B314" s="42">
        <v>40557</v>
      </c>
      <c r="C314" s="40">
        <v>1</v>
      </c>
      <c r="D314" s="40">
        <v>0</v>
      </c>
      <c r="E314" s="40">
        <v>1</v>
      </c>
      <c r="F314" s="40">
        <v>12</v>
      </c>
      <c r="G314" s="40" t="b">
        <v>0</v>
      </c>
      <c r="H314" s="40">
        <v>5</v>
      </c>
      <c r="I314" s="40">
        <v>1</v>
      </c>
      <c r="J314" s="40">
        <v>0.2</v>
      </c>
      <c r="K314" s="40">
        <v>0.19700000000000001</v>
      </c>
      <c r="L314" s="40">
        <v>0.44</v>
      </c>
      <c r="M314" s="40">
        <v>0.25369999999999998</v>
      </c>
      <c r="N314" s="40">
        <v>2</v>
      </c>
      <c r="O314" s="40">
        <v>59</v>
      </c>
      <c r="P314" s="40">
        <v>61</v>
      </c>
      <c r="Q314" s="40">
        <v>0.19700000000000001</v>
      </c>
    </row>
    <row r="315" spans="1:17" x14ac:dyDescent="0.3">
      <c r="A315" s="40">
        <v>314</v>
      </c>
      <c r="B315" s="42">
        <v>40557</v>
      </c>
      <c r="C315" s="40">
        <v>1</v>
      </c>
      <c r="D315" s="40">
        <v>0</v>
      </c>
      <c r="E315" s="40">
        <v>1</v>
      </c>
      <c r="F315" s="40">
        <v>13</v>
      </c>
      <c r="G315" s="40" t="b">
        <v>0</v>
      </c>
      <c r="H315" s="40">
        <v>5</v>
      </c>
      <c r="I315" s="40">
        <v>1</v>
      </c>
      <c r="J315" s="40">
        <v>0.22</v>
      </c>
      <c r="K315" s="40">
        <v>0.19700000000000001</v>
      </c>
      <c r="L315" s="40">
        <v>0.37</v>
      </c>
      <c r="M315" s="40">
        <v>0.3881</v>
      </c>
      <c r="N315" s="40">
        <v>4</v>
      </c>
      <c r="O315" s="40">
        <v>73</v>
      </c>
      <c r="P315" s="40">
        <v>77</v>
      </c>
      <c r="Q315" s="40">
        <v>0.19700000000000001</v>
      </c>
    </row>
    <row r="316" spans="1:17" x14ac:dyDescent="0.3">
      <c r="A316" s="40">
        <v>315</v>
      </c>
      <c r="B316" s="42">
        <v>40557</v>
      </c>
      <c r="C316" s="40">
        <v>1</v>
      </c>
      <c r="D316" s="40">
        <v>0</v>
      </c>
      <c r="E316" s="40">
        <v>1</v>
      </c>
      <c r="F316" s="40">
        <v>14</v>
      </c>
      <c r="G316" s="40" t="b">
        <v>0</v>
      </c>
      <c r="H316" s="40">
        <v>5</v>
      </c>
      <c r="I316" s="40">
        <v>1</v>
      </c>
      <c r="J316" s="40">
        <v>0.22</v>
      </c>
      <c r="K316" s="40">
        <v>0.21210000000000001</v>
      </c>
      <c r="L316" s="40">
        <v>0.41</v>
      </c>
      <c r="M316" s="40">
        <v>0.28360000000000002</v>
      </c>
      <c r="N316" s="40">
        <v>5</v>
      </c>
      <c r="O316" s="40">
        <v>59</v>
      </c>
      <c r="P316" s="40">
        <v>64</v>
      </c>
      <c r="Q316" s="40">
        <v>0.21210000000000001</v>
      </c>
    </row>
    <row r="317" spans="1:17" x14ac:dyDescent="0.3">
      <c r="A317" s="40">
        <v>316</v>
      </c>
      <c r="B317" s="42">
        <v>40557</v>
      </c>
      <c r="C317" s="40">
        <v>1</v>
      </c>
      <c r="D317" s="40">
        <v>0</v>
      </c>
      <c r="E317" s="40">
        <v>1</v>
      </c>
      <c r="F317" s="40">
        <v>15</v>
      </c>
      <c r="G317" s="40" t="b">
        <v>0</v>
      </c>
      <c r="H317" s="40">
        <v>5</v>
      </c>
      <c r="I317" s="40">
        <v>1</v>
      </c>
      <c r="J317" s="40">
        <v>0.24</v>
      </c>
      <c r="K317" s="40">
        <v>0.2424</v>
      </c>
      <c r="L317" s="40">
        <v>0.38</v>
      </c>
      <c r="M317" s="40">
        <v>0.16420000000000001</v>
      </c>
      <c r="N317" s="40">
        <v>9</v>
      </c>
      <c r="O317" s="40">
        <v>59</v>
      </c>
      <c r="P317" s="40">
        <v>68</v>
      </c>
      <c r="Q317" s="40">
        <v>0.2424</v>
      </c>
    </row>
    <row r="318" spans="1:17" x14ac:dyDescent="0.3">
      <c r="A318" s="40">
        <v>317</v>
      </c>
      <c r="B318" s="42">
        <v>40557</v>
      </c>
      <c r="C318" s="40">
        <v>1</v>
      </c>
      <c r="D318" s="40">
        <v>0</v>
      </c>
      <c r="E318" s="40">
        <v>1</v>
      </c>
      <c r="F318" s="40">
        <v>16</v>
      </c>
      <c r="G318" s="40" t="b">
        <v>0</v>
      </c>
      <c r="H318" s="40">
        <v>5</v>
      </c>
      <c r="I318" s="40">
        <v>1</v>
      </c>
      <c r="J318" s="40">
        <v>0.22</v>
      </c>
      <c r="K318" s="40">
        <v>0.2424</v>
      </c>
      <c r="L318" s="40">
        <v>0.41</v>
      </c>
      <c r="M318" s="40">
        <v>0.1045</v>
      </c>
      <c r="N318" s="40">
        <v>3</v>
      </c>
      <c r="O318" s="40">
        <v>87</v>
      </c>
      <c r="P318" s="40">
        <v>90</v>
      </c>
      <c r="Q318" s="40">
        <v>0.2424</v>
      </c>
    </row>
    <row r="319" spans="1:17" x14ac:dyDescent="0.3">
      <c r="A319" s="40">
        <v>318</v>
      </c>
      <c r="B319" s="42">
        <v>40557</v>
      </c>
      <c r="C319" s="40">
        <v>1</v>
      </c>
      <c r="D319" s="40">
        <v>0</v>
      </c>
      <c r="E319" s="40">
        <v>1</v>
      </c>
      <c r="F319" s="40">
        <v>17</v>
      </c>
      <c r="G319" s="40" t="b">
        <v>0</v>
      </c>
      <c r="H319" s="40">
        <v>5</v>
      </c>
      <c r="I319" s="40">
        <v>1</v>
      </c>
      <c r="J319" s="40">
        <v>0.22</v>
      </c>
      <c r="K319" s="40">
        <v>0.2273</v>
      </c>
      <c r="L319" s="40">
        <v>0.41</v>
      </c>
      <c r="M319" s="40">
        <v>0.16420000000000001</v>
      </c>
      <c r="N319" s="40">
        <v>4</v>
      </c>
      <c r="O319" s="40">
        <v>155</v>
      </c>
      <c r="P319" s="40">
        <v>159</v>
      </c>
      <c r="Q319" s="40">
        <v>0.2273</v>
      </c>
    </row>
    <row r="320" spans="1:17" x14ac:dyDescent="0.3">
      <c r="A320" s="40">
        <v>319</v>
      </c>
      <c r="B320" s="42">
        <v>40557</v>
      </c>
      <c r="C320" s="40">
        <v>1</v>
      </c>
      <c r="D320" s="40">
        <v>0</v>
      </c>
      <c r="E320" s="40">
        <v>1</v>
      </c>
      <c r="F320" s="40">
        <v>18</v>
      </c>
      <c r="G320" s="40" t="b">
        <v>0</v>
      </c>
      <c r="H320" s="40">
        <v>5</v>
      </c>
      <c r="I320" s="40">
        <v>1</v>
      </c>
      <c r="J320" s="40">
        <v>0.2</v>
      </c>
      <c r="K320" s="40">
        <v>0.2576</v>
      </c>
      <c r="L320" s="40">
        <v>0.47</v>
      </c>
      <c r="M320" s="40">
        <v>0.20485098360655737</v>
      </c>
      <c r="N320" s="40">
        <v>5</v>
      </c>
      <c r="O320" s="40">
        <v>134</v>
      </c>
      <c r="P320" s="40">
        <v>139</v>
      </c>
      <c r="Q320" s="40">
        <v>0.2576</v>
      </c>
    </row>
    <row r="321" spans="1:17" x14ac:dyDescent="0.3">
      <c r="A321" s="40">
        <v>320</v>
      </c>
      <c r="B321" s="42">
        <v>40557</v>
      </c>
      <c r="C321" s="40">
        <v>1</v>
      </c>
      <c r="D321" s="40">
        <v>0</v>
      </c>
      <c r="E321" s="40">
        <v>1</v>
      </c>
      <c r="F321" s="40">
        <v>19</v>
      </c>
      <c r="G321" s="40" t="b">
        <v>0</v>
      </c>
      <c r="H321" s="40">
        <v>5</v>
      </c>
      <c r="I321" s="40">
        <v>1</v>
      </c>
      <c r="J321" s="40">
        <v>0.16</v>
      </c>
      <c r="K321" s="40">
        <v>0.19700000000000001</v>
      </c>
      <c r="L321" s="40">
        <v>0.59</v>
      </c>
      <c r="M321" s="40">
        <v>8.9599999999999999E-2</v>
      </c>
      <c r="N321" s="40">
        <v>3</v>
      </c>
      <c r="O321" s="40">
        <v>89</v>
      </c>
      <c r="P321" s="40">
        <v>92</v>
      </c>
      <c r="Q321" s="40">
        <v>0.19700000000000001</v>
      </c>
    </row>
    <row r="322" spans="1:17" x14ac:dyDescent="0.3">
      <c r="A322" s="40">
        <v>321</v>
      </c>
      <c r="B322" s="42">
        <v>40557</v>
      </c>
      <c r="C322" s="40">
        <v>1</v>
      </c>
      <c r="D322" s="40">
        <v>0</v>
      </c>
      <c r="E322" s="40">
        <v>1</v>
      </c>
      <c r="F322" s="40">
        <v>20</v>
      </c>
      <c r="G322" s="40" t="b">
        <v>0</v>
      </c>
      <c r="H322" s="40">
        <v>5</v>
      </c>
      <c r="I322" s="40">
        <v>1</v>
      </c>
      <c r="J322" s="40">
        <v>0.18</v>
      </c>
      <c r="K322" s="40">
        <v>0.2424</v>
      </c>
      <c r="L322" s="40">
        <v>0.59</v>
      </c>
      <c r="M322" s="40">
        <v>0.20485098360655737</v>
      </c>
      <c r="N322" s="40">
        <v>0</v>
      </c>
      <c r="O322" s="40">
        <v>68</v>
      </c>
      <c r="P322" s="40">
        <v>68</v>
      </c>
      <c r="Q322" s="40">
        <v>0.2424</v>
      </c>
    </row>
    <row r="323" spans="1:17" x14ac:dyDescent="0.3">
      <c r="A323" s="40">
        <v>322</v>
      </c>
      <c r="B323" s="42">
        <v>40557</v>
      </c>
      <c r="C323" s="40">
        <v>1</v>
      </c>
      <c r="D323" s="40">
        <v>0</v>
      </c>
      <c r="E323" s="40">
        <v>1</v>
      </c>
      <c r="F323" s="40">
        <v>21</v>
      </c>
      <c r="G323" s="40" t="b">
        <v>0</v>
      </c>
      <c r="H323" s="40">
        <v>5</v>
      </c>
      <c r="I323" s="40">
        <v>1</v>
      </c>
      <c r="J323" s="40">
        <v>0.16</v>
      </c>
      <c r="K323" s="40">
        <v>0.2273</v>
      </c>
      <c r="L323" s="40">
        <v>0.69</v>
      </c>
      <c r="M323" s="40">
        <v>0.20485098360655737</v>
      </c>
      <c r="N323" s="40">
        <v>4</v>
      </c>
      <c r="O323" s="40">
        <v>48</v>
      </c>
      <c r="P323" s="40">
        <v>52</v>
      </c>
      <c r="Q323" s="40">
        <v>0.2273</v>
      </c>
    </row>
    <row r="324" spans="1:17" x14ac:dyDescent="0.3">
      <c r="A324" s="40">
        <v>323</v>
      </c>
      <c r="B324" s="42">
        <v>40557</v>
      </c>
      <c r="C324" s="40">
        <v>1</v>
      </c>
      <c r="D324" s="40">
        <v>0</v>
      </c>
      <c r="E324" s="40">
        <v>1</v>
      </c>
      <c r="F324" s="40">
        <v>22</v>
      </c>
      <c r="G324" s="40" t="b">
        <v>0</v>
      </c>
      <c r="H324" s="40">
        <v>5</v>
      </c>
      <c r="I324" s="40">
        <v>2</v>
      </c>
      <c r="J324" s="40">
        <v>0.16</v>
      </c>
      <c r="K324" s="40">
        <v>0.2273</v>
      </c>
      <c r="L324" s="40">
        <v>0.69</v>
      </c>
      <c r="M324" s="40">
        <v>0.20485098360655737</v>
      </c>
      <c r="N324" s="40">
        <v>2</v>
      </c>
      <c r="O324" s="40">
        <v>34</v>
      </c>
      <c r="P324" s="40">
        <v>36</v>
      </c>
      <c r="Q324" s="40">
        <v>0.2273</v>
      </c>
    </row>
    <row r="325" spans="1:17" x14ac:dyDescent="0.3">
      <c r="A325" s="40">
        <v>324</v>
      </c>
      <c r="B325" s="42">
        <v>40557</v>
      </c>
      <c r="C325" s="40">
        <v>1</v>
      </c>
      <c r="D325" s="40">
        <v>0</v>
      </c>
      <c r="E325" s="40">
        <v>1</v>
      </c>
      <c r="F325" s="40">
        <v>23</v>
      </c>
      <c r="G325" s="40" t="b">
        <v>0</v>
      </c>
      <c r="H325" s="40">
        <v>5</v>
      </c>
      <c r="I325" s="40">
        <v>2</v>
      </c>
      <c r="J325" s="40">
        <v>0.18</v>
      </c>
      <c r="K325" s="40">
        <v>0.2424</v>
      </c>
      <c r="L325" s="40">
        <v>0.55000000000000004</v>
      </c>
      <c r="M325" s="40">
        <v>0.20485098360655737</v>
      </c>
      <c r="N325" s="40">
        <v>1</v>
      </c>
      <c r="O325" s="40">
        <v>26</v>
      </c>
      <c r="P325" s="40">
        <v>27</v>
      </c>
      <c r="Q325" s="40">
        <v>0.2424</v>
      </c>
    </row>
    <row r="326" spans="1:17" x14ac:dyDescent="0.3">
      <c r="A326" s="40">
        <v>325</v>
      </c>
      <c r="B326" s="42">
        <v>40558</v>
      </c>
      <c r="C326" s="40">
        <v>1</v>
      </c>
      <c r="D326" s="40">
        <v>0</v>
      </c>
      <c r="E326" s="40">
        <v>1</v>
      </c>
      <c r="F326" s="40">
        <v>0</v>
      </c>
      <c r="G326" s="40" t="b">
        <v>0</v>
      </c>
      <c r="H326" s="40">
        <v>6</v>
      </c>
      <c r="I326" s="40">
        <v>1</v>
      </c>
      <c r="J326" s="40">
        <v>0.18</v>
      </c>
      <c r="K326" s="40">
        <v>0.2424</v>
      </c>
      <c r="L326" s="40">
        <v>0.55000000000000004</v>
      </c>
      <c r="M326" s="40">
        <v>0.20485098360655737</v>
      </c>
      <c r="N326" s="40">
        <v>3</v>
      </c>
      <c r="O326" s="40">
        <v>25</v>
      </c>
      <c r="P326" s="40">
        <v>28</v>
      </c>
      <c r="Q326" s="40">
        <v>0.2424</v>
      </c>
    </row>
    <row r="327" spans="1:17" x14ac:dyDescent="0.3">
      <c r="A327" s="40">
        <v>326</v>
      </c>
      <c r="B327" s="42">
        <v>40558</v>
      </c>
      <c r="C327" s="40">
        <v>1</v>
      </c>
      <c r="D327" s="40">
        <v>0</v>
      </c>
      <c r="E327" s="40">
        <v>1</v>
      </c>
      <c r="F327" s="40">
        <v>1</v>
      </c>
      <c r="G327" s="40" t="b">
        <v>0</v>
      </c>
      <c r="H327" s="40">
        <v>6</v>
      </c>
      <c r="I327" s="40">
        <v>2</v>
      </c>
      <c r="J327" s="40">
        <v>0.16</v>
      </c>
      <c r="K327" s="40">
        <v>0.19700000000000001</v>
      </c>
      <c r="L327" s="40">
        <v>0.59</v>
      </c>
      <c r="M327" s="40">
        <v>8.9599999999999999E-2</v>
      </c>
      <c r="N327" s="40">
        <v>2</v>
      </c>
      <c r="O327" s="40">
        <v>18</v>
      </c>
      <c r="P327" s="40">
        <v>20</v>
      </c>
      <c r="Q327" s="40">
        <v>0.19700000000000001</v>
      </c>
    </row>
    <row r="328" spans="1:17" x14ac:dyDescent="0.3">
      <c r="A328" s="40">
        <v>327</v>
      </c>
      <c r="B328" s="42">
        <v>40558</v>
      </c>
      <c r="C328" s="40">
        <v>1</v>
      </c>
      <c r="D328" s="40">
        <v>0</v>
      </c>
      <c r="E328" s="40">
        <v>1</v>
      </c>
      <c r="F328" s="40">
        <v>2</v>
      </c>
      <c r="G328" s="40" t="b">
        <v>0</v>
      </c>
      <c r="H328" s="40">
        <v>6</v>
      </c>
      <c r="I328" s="40">
        <v>2</v>
      </c>
      <c r="J328" s="40">
        <v>0.16</v>
      </c>
      <c r="K328" s="40">
        <v>0.19700000000000001</v>
      </c>
      <c r="L328" s="40">
        <v>0.59</v>
      </c>
      <c r="M328" s="40">
        <v>8.9599999999999999E-2</v>
      </c>
      <c r="N328" s="40">
        <v>0</v>
      </c>
      <c r="O328" s="40">
        <v>12</v>
      </c>
      <c r="P328" s="40">
        <v>12</v>
      </c>
      <c r="Q328" s="40">
        <v>0.19700000000000001</v>
      </c>
    </row>
    <row r="329" spans="1:17" x14ac:dyDescent="0.3">
      <c r="A329" s="40">
        <v>328</v>
      </c>
      <c r="B329" s="42">
        <v>40558</v>
      </c>
      <c r="C329" s="40">
        <v>1</v>
      </c>
      <c r="D329" s="40">
        <v>0</v>
      </c>
      <c r="E329" s="40">
        <v>1</v>
      </c>
      <c r="F329" s="40">
        <v>3</v>
      </c>
      <c r="G329" s="40" t="b">
        <v>0</v>
      </c>
      <c r="H329" s="40">
        <v>6</v>
      </c>
      <c r="I329" s="40">
        <v>2</v>
      </c>
      <c r="J329" s="40">
        <v>0.16</v>
      </c>
      <c r="K329" s="40">
        <v>0.2273</v>
      </c>
      <c r="L329" s="40">
        <v>0.59</v>
      </c>
      <c r="M329" s="40">
        <v>0.20485098360655737</v>
      </c>
      <c r="N329" s="40">
        <v>1</v>
      </c>
      <c r="O329" s="40">
        <v>7</v>
      </c>
      <c r="P329" s="40">
        <v>8</v>
      </c>
      <c r="Q329" s="40">
        <v>0.2273</v>
      </c>
    </row>
    <row r="330" spans="1:17" x14ac:dyDescent="0.3">
      <c r="A330" s="40">
        <v>329</v>
      </c>
      <c r="B330" s="42">
        <v>40558</v>
      </c>
      <c r="C330" s="40">
        <v>1</v>
      </c>
      <c r="D330" s="40">
        <v>0</v>
      </c>
      <c r="E330" s="40">
        <v>1</v>
      </c>
      <c r="F330" s="40">
        <v>4</v>
      </c>
      <c r="G330" s="40" t="b">
        <v>0</v>
      </c>
      <c r="H330" s="40">
        <v>6</v>
      </c>
      <c r="I330" s="40">
        <v>2</v>
      </c>
      <c r="J330" s="40">
        <v>0.16</v>
      </c>
      <c r="K330" s="40">
        <v>0.2273</v>
      </c>
      <c r="L330" s="40">
        <v>0.59</v>
      </c>
      <c r="M330" s="40">
        <v>0.20485098360655737</v>
      </c>
      <c r="N330" s="40">
        <v>0</v>
      </c>
      <c r="O330" s="40">
        <v>5</v>
      </c>
      <c r="P330" s="40">
        <v>5</v>
      </c>
      <c r="Q330" s="40">
        <v>0.2273</v>
      </c>
    </row>
    <row r="331" spans="1:17" x14ac:dyDescent="0.3">
      <c r="A331" s="40">
        <v>330</v>
      </c>
      <c r="B331" s="42">
        <v>40558</v>
      </c>
      <c r="C331" s="40">
        <v>1</v>
      </c>
      <c r="D331" s="40">
        <v>0</v>
      </c>
      <c r="E331" s="40">
        <v>1</v>
      </c>
      <c r="F331" s="40">
        <v>5</v>
      </c>
      <c r="G331" s="40" t="b">
        <v>0</v>
      </c>
      <c r="H331" s="40">
        <v>6</v>
      </c>
      <c r="I331" s="40">
        <v>1</v>
      </c>
      <c r="J331" s="40">
        <v>0.16</v>
      </c>
      <c r="K331" s="40">
        <v>0.2273</v>
      </c>
      <c r="L331" s="40">
        <v>0.59</v>
      </c>
      <c r="M331" s="40">
        <v>0.20485098360655737</v>
      </c>
      <c r="N331" s="40">
        <v>0</v>
      </c>
      <c r="O331" s="40">
        <v>1</v>
      </c>
      <c r="P331" s="40">
        <v>1</v>
      </c>
      <c r="Q331" s="40">
        <v>0.2273</v>
      </c>
    </row>
    <row r="332" spans="1:17" x14ac:dyDescent="0.3">
      <c r="A332" s="40">
        <v>331</v>
      </c>
      <c r="B332" s="42">
        <v>40558</v>
      </c>
      <c r="C332" s="40">
        <v>1</v>
      </c>
      <c r="D332" s="40">
        <v>0</v>
      </c>
      <c r="E332" s="40">
        <v>1</v>
      </c>
      <c r="F332" s="40">
        <v>6</v>
      </c>
      <c r="G332" s="40" t="b">
        <v>0</v>
      </c>
      <c r="H332" s="40">
        <v>6</v>
      </c>
      <c r="I332" s="40">
        <v>1</v>
      </c>
      <c r="J332" s="40">
        <v>0.14000000000000001</v>
      </c>
      <c r="K332" s="40">
        <v>0.16669999999999999</v>
      </c>
      <c r="L332" s="40">
        <v>0.63</v>
      </c>
      <c r="M332" s="40">
        <v>0.1045</v>
      </c>
      <c r="N332" s="40">
        <v>1</v>
      </c>
      <c r="O332" s="40">
        <v>2</v>
      </c>
      <c r="P332" s="40">
        <v>3</v>
      </c>
      <c r="Q332" s="40">
        <v>0.16669999999999999</v>
      </c>
    </row>
    <row r="333" spans="1:17" x14ac:dyDescent="0.3">
      <c r="A333" s="40">
        <v>332</v>
      </c>
      <c r="B333" s="42">
        <v>40558</v>
      </c>
      <c r="C333" s="40">
        <v>1</v>
      </c>
      <c r="D333" s="40">
        <v>0</v>
      </c>
      <c r="E333" s="40">
        <v>1</v>
      </c>
      <c r="F333" s="40">
        <v>7</v>
      </c>
      <c r="G333" s="40" t="b">
        <v>0</v>
      </c>
      <c r="H333" s="40">
        <v>6</v>
      </c>
      <c r="I333" s="40">
        <v>1</v>
      </c>
      <c r="J333" s="40">
        <v>0.14000000000000001</v>
      </c>
      <c r="K333" s="40">
        <v>0.21210000000000001</v>
      </c>
      <c r="L333" s="40">
        <v>0.63</v>
      </c>
      <c r="M333" s="40">
        <v>0.20485098360655737</v>
      </c>
      <c r="N333" s="40">
        <v>1</v>
      </c>
      <c r="O333" s="40">
        <v>9</v>
      </c>
      <c r="P333" s="40">
        <v>10</v>
      </c>
      <c r="Q333" s="40">
        <v>0.21210000000000001</v>
      </c>
    </row>
    <row r="334" spans="1:17" x14ac:dyDescent="0.3">
      <c r="A334" s="40">
        <v>333</v>
      </c>
      <c r="B334" s="42">
        <v>40558</v>
      </c>
      <c r="C334" s="40">
        <v>1</v>
      </c>
      <c r="D334" s="40">
        <v>0</v>
      </c>
      <c r="E334" s="40">
        <v>1</v>
      </c>
      <c r="F334" s="40">
        <v>8</v>
      </c>
      <c r="G334" s="40" t="b">
        <v>0</v>
      </c>
      <c r="H334" s="40">
        <v>6</v>
      </c>
      <c r="I334" s="40">
        <v>1</v>
      </c>
      <c r="J334" s="40">
        <v>0.14000000000000001</v>
      </c>
      <c r="K334" s="40">
        <v>0.1515</v>
      </c>
      <c r="L334" s="40">
        <v>0.63</v>
      </c>
      <c r="M334" s="40">
        <v>0.1343</v>
      </c>
      <c r="N334" s="40">
        <v>1</v>
      </c>
      <c r="O334" s="40">
        <v>22</v>
      </c>
      <c r="P334" s="40">
        <v>23</v>
      </c>
      <c r="Q334" s="40">
        <v>0.1515</v>
      </c>
    </row>
    <row r="335" spans="1:17" x14ac:dyDescent="0.3">
      <c r="A335" s="40">
        <v>334</v>
      </c>
      <c r="B335" s="42">
        <v>40558</v>
      </c>
      <c r="C335" s="40">
        <v>1</v>
      </c>
      <c r="D335" s="40">
        <v>0</v>
      </c>
      <c r="E335" s="40">
        <v>1</v>
      </c>
      <c r="F335" s="40">
        <v>9</v>
      </c>
      <c r="G335" s="40" t="b">
        <v>0</v>
      </c>
      <c r="H335" s="40">
        <v>6</v>
      </c>
      <c r="I335" s="40">
        <v>1</v>
      </c>
      <c r="J335" s="40">
        <v>0.16</v>
      </c>
      <c r="K335" s="40">
        <v>0.18179999999999999</v>
      </c>
      <c r="L335" s="40">
        <v>0.64</v>
      </c>
      <c r="M335" s="40">
        <v>0.1343</v>
      </c>
      <c r="N335" s="40">
        <v>2</v>
      </c>
      <c r="O335" s="40">
        <v>31</v>
      </c>
      <c r="P335" s="40">
        <v>33</v>
      </c>
      <c r="Q335" s="40">
        <v>0.18179999999999999</v>
      </c>
    </row>
    <row r="336" spans="1:17" x14ac:dyDescent="0.3">
      <c r="A336" s="40">
        <v>335</v>
      </c>
      <c r="B336" s="42">
        <v>40558</v>
      </c>
      <c r="C336" s="40">
        <v>1</v>
      </c>
      <c r="D336" s="40">
        <v>0</v>
      </c>
      <c r="E336" s="40">
        <v>1</v>
      </c>
      <c r="F336" s="40">
        <v>10</v>
      </c>
      <c r="G336" s="40" t="b">
        <v>0</v>
      </c>
      <c r="H336" s="40">
        <v>6</v>
      </c>
      <c r="I336" s="40">
        <v>1</v>
      </c>
      <c r="J336" s="40">
        <v>0.18</v>
      </c>
      <c r="K336" s="40">
        <v>0.19700000000000001</v>
      </c>
      <c r="L336" s="40">
        <v>0.59</v>
      </c>
      <c r="M336" s="40">
        <v>0.16420000000000001</v>
      </c>
      <c r="N336" s="40">
        <v>2</v>
      </c>
      <c r="O336" s="40">
        <v>57</v>
      </c>
      <c r="P336" s="40">
        <v>59</v>
      </c>
      <c r="Q336" s="40">
        <v>0.19700000000000001</v>
      </c>
    </row>
    <row r="337" spans="1:17" x14ac:dyDescent="0.3">
      <c r="A337" s="40">
        <v>336</v>
      </c>
      <c r="B337" s="42">
        <v>40558</v>
      </c>
      <c r="C337" s="40">
        <v>1</v>
      </c>
      <c r="D337" s="40">
        <v>0</v>
      </c>
      <c r="E337" s="40">
        <v>1</v>
      </c>
      <c r="F337" s="40">
        <v>11</v>
      </c>
      <c r="G337" s="40" t="b">
        <v>0</v>
      </c>
      <c r="H337" s="40">
        <v>6</v>
      </c>
      <c r="I337" s="40">
        <v>1</v>
      </c>
      <c r="J337" s="40">
        <v>0.2</v>
      </c>
      <c r="K337" s="40">
        <v>0.19700000000000001</v>
      </c>
      <c r="L337" s="40">
        <v>0.55000000000000004</v>
      </c>
      <c r="M337" s="40">
        <v>0.22389999999999999</v>
      </c>
      <c r="N337" s="40">
        <v>18</v>
      </c>
      <c r="O337" s="40">
        <v>54</v>
      </c>
      <c r="P337" s="40">
        <v>72</v>
      </c>
      <c r="Q337" s="40">
        <v>0.19700000000000001</v>
      </c>
    </row>
    <row r="338" spans="1:17" x14ac:dyDescent="0.3">
      <c r="A338" s="40">
        <v>337</v>
      </c>
      <c r="B338" s="42">
        <v>40558</v>
      </c>
      <c r="C338" s="40">
        <v>1</v>
      </c>
      <c r="D338" s="40">
        <v>0</v>
      </c>
      <c r="E338" s="40">
        <v>1</v>
      </c>
      <c r="F338" s="40">
        <v>12</v>
      </c>
      <c r="G338" s="40" t="b">
        <v>0</v>
      </c>
      <c r="H338" s="40">
        <v>6</v>
      </c>
      <c r="I338" s="40">
        <v>1</v>
      </c>
      <c r="J338" s="40">
        <v>0.24</v>
      </c>
      <c r="K338" s="40">
        <v>0.2273</v>
      </c>
      <c r="L338" s="40">
        <v>0.48</v>
      </c>
      <c r="M338" s="40">
        <v>0.22389999999999999</v>
      </c>
      <c r="N338" s="40">
        <v>15</v>
      </c>
      <c r="O338" s="40">
        <v>74</v>
      </c>
      <c r="P338" s="40">
        <v>89</v>
      </c>
      <c r="Q338" s="40">
        <v>0.2273</v>
      </c>
    </row>
    <row r="339" spans="1:17" x14ac:dyDescent="0.3">
      <c r="A339" s="40">
        <v>338</v>
      </c>
      <c r="B339" s="42">
        <v>40558</v>
      </c>
      <c r="C339" s="40">
        <v>1</v>
      </c>
      <c r="D339" s="40">
        <v>0</v>
      </c>
      <c r="E339" s="40">
        <v>1</v>
      </c>
      <c r="F339" s="40">
        <v>13</v>
      </c>
      <c r="G339" s="40" t="b">
        <v>0</v>
      </c>
      <c r="H339" s="40">
        <v>6</v>
      </c>
      <c r="I339" s="40">
        <v>1</v>
      </c>
      <c r="J339" s="40">
        <v>0.28000000000000003</v>
      </c>
      <c r="K339" s="40">
        <v>0.2576</v>
      </c>
      <c r="L339" s="40">
        <v>0.38</v>
      </c>
      <c r="M339" s="40">
        <v>0.29849999999999999</v>
      </c>
      <c r="N339" s="40">
        <v>21</v>
      </c>
      <c r="O339" s="40">
        <v>80</v>
      </c>
      <c r="P339" s="40">
        <v>101</v>
      </c>
      <c r="Q339" s="40">
        <v>0.2576</v>
      </c>
    </row>
    <row r="340" spans="1:17" x14ac:dyDescent="0.3">
      <c r="A340" s="40">
        <v>339</v>
      </c>
      <c r="B340" s="42">
        <v>40558</v>
      </c>
      <c r="C340" s="40">
        <v>1</v>
      </c>
      <c r="D340" s="40">
        <v>0</v>
      </c>
      <c r="E340" s="40">
        <v>1</v>
      </c>
      <c r="F340" s="40">
        <v>14</v>
      </c>
      <c r="G340" s="40" t="b">
        <v>0</v>
      </c>
      <c r="H340" s="40">
        <v>6</v>
      </c>
      <c r="I340" s="40">
        <v>1</v>
      </c>
      <c r="J340" s="40">
        <v>0.3</v>
      </c>
      <c r="K340" s="40">
        <v>0.28789999999999999</v>
      </c>
      <c r="L340" s="40">
        <v>0.39</v>
      </c>
      <c r="M340" s="40">
        <v>0.28360000000000002</v>
      </c>
      <c r="N340" s="40">
        <v>26</v>
      </c>
      <c r="O340" s="40">
        <v>92</v>
      </c>
      <c r="P340" s="40">
        <v>118</v>
      </c>
      <c r="Q340" s="40">
        <v>0.28789999999999999</v>
      </c>
    </row>
    <row r="341" spans="1:17" x14ac:dyDescent="0.3">
      <c r="A341" s="40">
        <v>340</v>
      </c>
      <c r="B341" s="42">
        <v>40558</v>
      </c>
      <c r="C341" s="40">
        <v>1</v>
      </c>
      <c r="D341" s="40">
        <v>0</v>
      </c>
      <c r="E341" s="40">
        <v>1</v>
      </c>
      <c r="F341" s="40">
        <v>15</v>
      </c>
      <c r="G341" s="40" t="b">
        <v>0</v>
      </c>
      <c r="H341" s="40">
        <v>6</v>
      </c>
      <c r="I341" s="40">
        <v>2</v>
      </c>
      <c r="J341" s="40">
        <v>0.32</v>
      </c>
      <c r="K341" s="40">
        <v>0.31819999999999998</v>
      </c>
      <c r="L341" s="40">
        <v>0.36</v>
      </c>
      <c r="M341" s="40">
        <v>0.19400000000000001</v>
      </c>
      <c r="N341" s="40">
        <v>21</v>
      </c>
      <c r="O341" s="40">
        <v>108</v>
      </c>
      <c r="P341" s="40">
        <v>129</v>
      </c>
      <c r="Q341" s="40">
        <v>0.31819999999999998</v>
      </c>
    </row>
    <row r="342" spans="1:17" x14ac:dyDescent="0.3">
      <c r="A342" s="40">
        <v>341</v>
      </c>
      <c r="B342" s="42">
        <v>40558</v>
      </c>
      <c r="C342" s="40">
        <v>1</v>
      </c>
      <c r="D342" s="40">
        <v>0</v>
      </c>
      <c r="E342" s="40">
        <v>1</v>
      </c>
      <c r="F342" s="40">
        <v>16</v>
      </c>
      <c r="G342" s="40" t="b">
        <v>0</v>
      </c>
      <c r="H342" s="40">
        <v>6</v>
      </c>
      <c r="I342" s="40">
        <v>2</v>
      </c>
      <c r="J342" s="40">
        <v>0.34</v>
      </c>
      <c r="K342" s="40">
        <v>0.33329999999999999</v>
      </c>
      <c r="L342" s="40">
        <v>0.34</v>
      </c>
      <c r="M342" s="40">
        <v>0.19400000000000001</v>
      </c>
      <c r="N342" s="40">
        <v>33</v>
      </c>
      <c r="O342" s="40">
        <v>95</v>
      </c>
      <c r="P342" s="40">
        <v>128</v>
      </c>
      <c r="Q342" s="40">
        <v>0.33329999999999999</v>
      </c>
    </row>
    <row r="343" spans="1:17" x14ac:dyDescent="0.3">
      <c r="A343" s="40">
        <v>342</v>
      </c>
      <c r="B343" s="42">
        <v>40558</v>
      </c>
      <c r="C343" s="40">
        <v>1</v>
      </c>
      <c r="D343" s="40">
        <v>0</v>
      </c>
      <c r="E343" s="40">
        <v>1</v>
      </c>
      <c r="F343" s="40">
        <v>17</v>
      </c>
      <c r="G343" s="40" t="b">
        <v>0</v>
      </c>
      <c r="H343" s="40">
        <v>6</v>
      </c>
      <c r="I343" s="40">
        <v>2</v>
      </c>
      <c r="J343" s="40">
        <v>0.32</v>
      </c>
      <c r="K343" s="40">
        <v>0.30299999999999999</v>
      </c>
      <c r="L343" s="40">
        <v>0.36</v>
      </c>
      <c r="M343" s="40">
        <v>0.28360000000000002</v>
      </c>
      <c r="N343" s="40">
        <v>29</v>
      </c>
      <c r="O343" s="40">
        <v>54</v>
      </c>
      <c r="P343" s="40">
        <v>83</v>
      </c>
      <c r="Q343" s="40">
        <v>0.30299999999999999</v>
      </c>
    </row>
    <row r="344" spans="1:17" x14ac:dyDescent="0.3">
      <c r="A344" s="40">
        <v>343</v>
      </c>
      <c r="B344" s="42">
        <v>40558</v>
      </c>
      <c r="C344" s="40">
        <v>1</v>
      </c>
      <c r="D344" s="40">
        <v>0</v>
      </c>
      <c r="E344" s="40">
        <v>1</v>
      </c>
      <c r="F344" s="40">
        <v>18</v>
      </c>
      <c r="G344" s="40" t="b">
        <v>0</v>
      </c>
      <c r="H344" s="40">
        <v>6</v>
      </c>
      <c r="I344" s="40">
        <v>2</v>
      </c>
      <c r="J344" s="40">
        <v>0.3</v>
      </c>
      <c r="K344" s="40">
        <v>0.28789999999999999</v>
      </c>
      <c r="L344" s="40">
        <v>0.45</v>
      </c>
      <c r="M344" s="40">
        <v>0.25369999999999998</v>
      </c>
      <c r="N344" s="40">
        <v>15</v>
      </c>
      <c r="O344" s="40">
        <v>69</v>
      </c>
      <c r="P344" s="40">
        <v>84</v>
      </c>
      <c r="Q344" s="40">
        <v>0.28789999999999999</v>
      </c>
    </row>
    <row r="345" spans="1:17" x14ac:dyDescent="0.3">
      <c r="A345" s="40">
        <v>344</v>
      </c>
      <c r="B345" s="42">
        <v>40558</v>
      </c>
      <c r="C345" s="40">
        <v>1</v>
      </c>
      <c r="D345" s="40">
        <v>0</v>
      </c>
      <c r="E345" s="40">
        <v>1</v>
      </c>
      <c r="F345" s="40">
        <v>19</v>
      </c>
      <c r="G345" s="40" t="b">
        <v>0</v>
      </c>
      <c r="H345" s="40">
        <v>6</v>
      </c>
      <c r="I345" s="40">
        <v>2</v>
      </c>
      <c r="J345" s="40">
        <v>0.32</v>
      </c>
      <c r="K345" s="40">
        <v>0.30299999999999999</v>
      </c>
      <c r="L345" s="40">
        <v>0.39</v>
      </c>
      <c r="M345" s="40">
        <v>0.25369999999999998</v>
      </c>
      <c r="N345" s="40">
        <v>14</v>
      </c>
      <c r="O345" s="40">
        <v>60</v>
      </c>
      <c r="P345" s="40">
        <v>74</v>
      </c>
      <c r="Q345" s="40">
        <v>0.30299999999999999</v>
      </c>
    </row>
    <row r="346" spans="1:17" x14ac:dyDescent="0.3">
      <c r="A346" s="40">
        <v>345</v>
      </c>
      <c r="B346" s="42">
        <v>40558</v>
      </c>
      <c r="C346" s="40">
        <v>1</v>
      </c>
      <c r="D346" s="40">
        <v>0</v>
      </c>
      <c r="E346" s="40">
        <v>1</v>
      </c>
      <c r="F346" s="40">
        <v>20</v>
      </c>
      <c r="G346" s="40" t="b">
        <v>0</v>
      </c>
      <c r="H346" s="40">
        <v>6</v>
      </c>
      <c r="I346" s="40">
        <v>2</v>
      </c>
      <c r="J346" s="40">
        <v>0.32</v>
      </c>
      <c r="K346" s="40">
        <v>0.30299999999999999</v>
      </c>
      <c r="L346" s="40">
        <v>0.39</v>
      </c>
      <c r="M346" s="40">
        <v>0.25369999999999998</v>
      </c>
      <c r="N346" s="40">
        <v>6</v>
      </c>
      <c r="O346" s="40">
        <v>35</v>
      </c>
      <c r="P346" s="40">
        <v>41</v>
      </c>
      <c r="Q346" s="40">
        <v>0.30299999999999999</v>
      </c>
    </row>
    <row r="347" spans="1:17" x14ac:dyDescent="0.3">
      <c r="A347" s="40">
        <v>346</v>
      </c>
      <c r="B347" s="42">
        <v>40558</v>
      </c>
      <c r="C347" s="40">
        <v>1</v>
      </c>
      <c r="D347" s="40">
        <v>0</v>
      </c>
      <c r="E347" s="40">
        <v>1</v>
      </c>
      <c r="F347" s="40">
        <v>21</v>
      </c>
      <c r="G347" s="40" t="b">
        <v>0</v>
      </c>
      <c r="H347" s="40">
        <v>6</v>
      </c>
      <c r="I347" s="40">
        <v>2</v>
      </c>
      <c r="J347" s="40">
        <v>0.32</v>
      </c>
      <c r="K347" s="40">
        <v>0.30299999999999999</v>
      </c>
      <c r="L347" s="40">
        <v>0.39</v>
      </c>
      <c r="M347" s="40">
        <v>0.22389999999999999</v>
      </c>
      <c r="N347" s="40">
        <v>6</v>
      </c>
      <c r="O347" s="40">
        <v>51</v>
      </c>
      <c r="P347" s="40">
        <v>57</v>
      </c>
      <c r="Q347" s="40">
        <v>0.30299999999999999</v>
      </c>
    </row>
    <row r="348" spans="1:17" x14ac:dyDescent="0.3">
      <c r="A348" s="40">
        <v>347</v>
      </c>
      <c r="B348" s="42">
        <v>40558</v>
      </c>
      <c r="C348" s="40">
        <v>1</v>
      </c>
      <c r="D348" s="40">
        <v>0</v>
      </c>
      <c r="E348" s="40">
        <v>1</v>
      </c>
      <c r="F348" s="40">
        <v>22</v>
      </c>
      <c r="G348" s="40" t="b">
        <v>0</v>
      </c>
      <c r="H348" s="40">
        <v>6</v>
      </c>
      <c r="I348" s="40">
        <v>2</v>
      </c>
      <c r="J348" s="40">
        <v>0.3</v>
      </c>
      <c r="K348" s="40">
        <v>0.31819999999999998</v>
      </c>
      <c r="L348" s="40">
        <v>0.42</v>
      </c>
      <c r="M348" s="40">
        <v>0.1045</v>
      </c>
      <c r="N348" s="40">
        <v>0</v>
      </c>
      <c r="O348" s="40">
        <v>26</v>
      </c>
      <c r="P348" s="40">
        <v>26</v>
      </c>
      <c r="Q348" s="40">
        <v>0.31819999999999998</v>
      </c>
    </row>
    <row r="349" spans="1:17" x14ac:dyDescent="0.3">
      <c r="A349" s="40">
        <v>348</v>
      </c>
      <c r="B349" s="42">
        <v>40558</v>
      </c>
      <c r="C349" s="40">
        <v>1</v>
      </c>
      <c r="D349" s="40">
        <v>0</v>
      </c>
      <c r="E349" s="40">
        <v>1</v>
      </c>
      <c r="F349" s="40">
        <v>23</v>
      </c>
      <c r="G349" s="40" t="b">
        <v>0</v>
      </c>
      <c r="H349" s="40">
        <v>6</v>
      </c>
      <c r="I349" s="40">
        <v>1</v>
      </c>
      <c r="J349" s="40">
        <v>0.3</v>
      </c>
      <c r="K349" s="40">
        <v>0.28789999999999999</v>
      </c>
      <c r="L349" s="40">
        <v>0.45</v>
      </c>
      <c r="M349" s="40">
        <v>0.28360000000000002</v>
      </c>
      <c r="N349" s="40">
        <v>5</v>
      </c>
      <c r="O349" s="40">
        <v>39</v>
      </c>
      <c r="P349" s="40">
        <v>44</v>
      </c>
      <c r="Q349" s="40">
        <v>0.28789999999999999</v>
      </c>
    </row>
    <row r="350" spans="1:17" x14ac:dyDescent="0.3">
      <c r="A350" s="40">
        <v>349</v>
      </c>
      <c r="B350" s="42">
        <v>40559</v>
      </c>
      <c r="C350" s="40">
        <v>1</v>
      </c>
      <c r="D350" s="40">
        <v>0</v>
      </c>
      <c r="E350" s="40">
        <v>1</v>
      </c>
      <c r="F350" s="40">
        <v>0</v>
      </c>
      <c r="G350" s="40" t="b">
        <v>0</v>
      </c>
      <c r="H350" s="40">
        <v>7</v>
      </c>
      <c r="I350" s="40">
        <v>1</v>
      </c>
      <c r="J350" s="40">
        <v>0.26</v>
      </c>
      <c r="K350" s="40">
        <v>0.30299999999999999</v>
      </c>
      <c r="L350" s="40">
        <v>0.56000000000000005</v>
      </c>
      <c r="M350" s="40">
        <v>0.20485098360655737</v>
      </c>
      <c r="N350" s="40">
        <v>6</v>
      </c>
      <c r="O350" s="40">
        <v>33</v>
      </c>
      <c r="P350" s="40">
        <v>39</v>
      </c>
      <c r="Q350" s="40">
        <v>0.30299999999999999</v>
      </c>
    </row>
    <row r="351" spans="1:17" x14ac:dyDescent="0.3">
      <c r="A351" s="40">
        <v>350</v>
      </c>
      <c r="B351" s="42">
        <v>40559</v>
      </c>
      <c r="C351" s="40">
        <v>1</v>
      </c>
      <c r="D351" s="40">
        <v>0</v>
      </c>
      <c r="E351" s="40">
        <v>1</v>
      </c>
      <c r="F351" s="40">
        <v>1</v>
      </c>
      <c r="G351" s="40" t="b">
        <v>0</v>
      </c>
      <c r="H351" s="40">
        <v>7</v>
      </c>
      <c r="I351" s="40">
        <v>1</v>
      </c>
      <c r="J351" s="40">
        <v>0.26</v>
      </c>
      <c r="K351" s="40">
        <v>0.2727</v>
      </c>
      <c r="L351" s="40">
        <v>0.56000000000000005</v>
      </c>
      <c r="M351" s="40">
        <v>0.1343</v>
      </c>
      <c r="N351" s="40">
        <v>4</v>
      </c>
      <c r="O351" s="40">
        <v>19</v>
      </c>
      <c r="P351" s="40">
        <v>23</v>
      </c>
      <c r="Q351" s="40">
        <v>0.2727</v>
      </c>
    </row>
    <row r="352" spans="1:17" x14ac:dyDescent="0.3">
      <c r="A352" s="40">
        <v>351</v>
      </c>
      <c r="B352" s="42">
        <v>40559</v>
      </c>
      <c r="C352" s="40">
        <v>1</v>
      </c>
      <c r="D352" s="40">
        <v>0</v>
      </c>
      <c r="E352" s="40">
        <v>1</v>
      </c>
      <c r="F352" s="40">
        <v>2</v>
      </c>
      <c r="G352" s="40" t="b">
        <v>0</v>
      </c>
      <c r="H352" s="40">
        <v>7</v>
      </c>
      <c r="I352" s="40">
        <v>1</v>
      </c>
      <c r="J352" s="40">
        <v>0.26</v>
      </c>
      <c r="K352" s="40">
        <v>0.28789999999999999</v>
      </c>
      <c r="L352" s="40">
        <v>0.56000000000000005</v>
      </c>
      <c r="M352" s="40">
        <v>8.9599999999999999E-2</v>
      </c>
      <c r="N352" s="40">
        <v>3</v>
      </c>
      <c r="O352" s="40">
        <v>13</v>
      </c>
      <c r="P352" s="40">
        <v>16</v>
      </c>
      <c r="Q352" s="40">
        <v>0.28789999999999999</v>
      </c>
    </row>
    <row r="353" spans="1:17" x14ac:dyDescent="0.3">
      <c r="A353" s="40">
        <v>352</v>
      </c>
      <c r="B353" s="42">
        <v>40559</v>
      </c>
      <c r="C353" s="40">
        <v>1</v>
      </c>
      <c r="D353" s="40">
        <v>0</v>
      </c>
      <c r="E353" s="40">
        <v>1</v>
      </c>
      <c r="F353" s="40">
        <v>3</v>
      </c>
      <c r="G353" s="40" t="b">
        <v>0</v>
      </c>
      <c r="H353" s="40">
        <v>7</v>
      </c>
      <c r="I353" s="40">
        <v>1</v>
      </c>
      <c r="J353" s="40">
        <v>0.22</v>
      </c>
      <c r="K353" s="40">
        <v>0.2727</v>
      </c>
      <c r="L353" s="40">
        <v>0.69</v>
      </c>
      <c r="M353" s="40">
        <v>0.20485098360655737</v>
      </c>
      <c r="N353" s="40">
        <v>9</v>
      </c>
      <c r="O353" s="40">
        <v>6</v>
      </c>
      <c r="P353" s="40">
        <v>15</v>
      </c>
      <c r="Q353" s="40">
        <v>0.2727</v>
      </c>
    </row>
    <row r="354" spans="1:17" x14ac:dyDescent="0.3">
      <c r="A354" s="40">
        <v>353</v>
      </c>
      <c r="B354" s="42">
        <v>40559</v>
      </c>
      <c r="C354" s="40">
        <v>1</v>
      </c>
      <c r="D354" s="40">
        <v>0</v>
      </c>
      <c r="E354" s="40">
        <v>1</v>
      </c>
      <c r="F354" s="40">
        <v>4</v>
      </c>
      <c r="G354" s="40" t="b">
        <v>0</v>
      </c>
      <c r="H354" s="40">
        <v>7</v>
      </c>
      <c r="I354" s="40">
        <v>1</v>
      </c>
      <c r="J354" s="40">
        <v>0.26</v>
      </c>
      <c r="K354" s="40">
        <v>0.2576</v>
      </c>
      <c r="L354" s="40">
        <v>0.56000000000000005</v>
      </c>
      <c r="M354" s="40">
        <v>0.16420000000000001</v>
      </c>
      <c r="N354" s="40">
        <v>0</v>
      </c>
      <c r="O354" s="40">
        <v>1</v>
      </c>
      <c r="P354" s="40">
        <v>1</v>
      </c>
      <c r="Q354" s="40">
        <v>0.2576</v>
      </c>
    </row>
    <row r="355" spans="1:17" x14ac:dyDescent="0.3">
      <c r="A355" s="40">
        <v>354</v>
      </c>
      <c r="B355" s="42">
        <v>40559</v>
      </c>
      <c r="C355" s="40">
        <v>1</v>
      </c>
      <c r="D355" s="40">
        <v>0</v>
      </c>
      <c r="E355" s="40">
        <v>1</v>
      </c>
      <c r="F355" s="40">
        <v>5</v>
      </c>
      <c r="G355" s="40" t="b">
        <v>0</v>
      </c>
      <c r="H355" s="40">
        <v>7</v>
      </c>
      <c r="I355" s="40">
        <v>2</v>
      </c>
      <c r="J355" s="40">
        <v>0.26</v>
      </c>
      <c r="K355" s="40">
        <v>0.2576</v>
      </c>
      <c r="L355" s="40">
        <v>0.56000000000000005</v>
      </c>
      <c r="M355" s="40">
        <v>0.16420000000000001</v>
      </c>
      <c r="N355" s="40">
        <v>1</v>
      </c>
      <c r="O355" s="40">
        <v>1</v>
      </c>
      <c r="P355" s="40">
        <v>2</v>
      </c>
      <c r="Q355" s="40">
        <v>0.2576</v>
      </c>
    </row>
    <row r="356" spans="1:17" x14ac:dyDescent="0.3">
      <c r="A356" s="40">
        <v>355</v>
      </c>
      <c r="B356" s="42">
        <v>40559</v>
      </c>
      <c r="C356" s="40">
        <v>1</v>
      </c>
      <c r="D356" s="40">
        <v>0</v>
      </c>
      <c r="E356" s="40">
        <v>1</v>
      </c>
      <c r="F356" s="40">
        <v>6</v>
      </c>
      <c r="G356" s="40" t="b">
        <v>0</v>
      </c>
      <c r="H356" s="40">
        <v>7</v>
      </c>
      <c r="I356" s="40">
        <v>2</v>
      </c>
      <c r="J356" s="40">
        <v>0.26</v>
      </c>
      <c r="K356" s="40">
        <v>0.2576</v>
      </c>
      <c r="L356" s="40">
        <v>0.56000000000000005</v>
      </c>
      <c r="M356" s="40">
        <v>0.16420000000000001</v>
      </c>
      <c r="N356" s="40">
        <v>0</v>
      </c>
      <c r="O356" s="40">
        <v>1</v>
      </c>
      <c r="P356" s="40">
        <v>1</v>
      </c>
      <c r="Q356" s="40">
        <v>0.2576</v>
      </c>
    </row>
    <row r="357" spans="1:17" x14ac:dyDescent="0.3">
      <c r="A357" s="40">
        <v>356</v>
      </c>
      <c r="B357" s="42">
        <v>40559</v>
      </c>
      <c r="C357" s="40">
        <v>1</v>
      </c>
      <c r="D357" s="40">
        <v>0</v>
      </c>
      <c r="E357" s="40">
        <v>1</v>
      </c>
      <c r="F357" s="40">
        <v>7</v>
      </c>
      <c r="G357" s="40" t="b">
        <v>0</v>
      </c>
      <c r="H357" s="40">
        <v>7</v>
      </c>
      <c r="I357" s="40">
        <v>2</v>
      </c>
      <c r="J357" s="40">
        <v>0.24</v>
      </c>
      <c r="K357" s="40">
        <v>0.21210000000000001</v>
      </c>
      <c r="L357" s="40">
        <v>0.56000000000000005</v>
      </c>
      <c r="M357" s="40">
        <v>0.29849999999999999</v>
      </c>
      <c r="N357" s="40">
        <v>0</v>
      </c>
      <c r="O357" s="40">
        <v>3</v>
      </c>
      <c r="P357" s="40">
        <v>3</v>
      </c>
      <c r="Q357" s="40">
        <v>0.21210000000000001</v>
      </c>
    </row>
    <row r="358" spans="1:17" x14ac:dyDescent="0.3">
      <c r="A358" s="40">
        <v>357</v>
      </c>
      <c r="B358" s="42">
        <v>40559</v>
      </c>
      <c r="C358" s="40">
        <v>1</v>
      </c>
      <c r="D358" s="40">
        <v>0</v>
      </c>
      <c r="E358" s="40">
        <v>1</v>
      </c>
      <c r="F358" s="40">
        <v>8</v>
      </c>
      <c r="G358" s="40" t="b">
        <v>0</v>
      </c>
      <c r="H358" s="40">
        <v>7</v>
      </c>
      <c r="I358" s="40">
        <v>1</v>
      </c>
      <c r="J358" s="40">
        <v>0.22</v>
      </c>
      <c r="K358" s="40">
        <v>0.21210000000000001</v>
      </c>
      <c r="L358" s="40">
        <v>0.55000000000000004</v>
      </c>
      <c r="M358" s="40">
        <v>0.28360000000000002</v>
      </c>
      <c r="N358" s="40">
        <v>0</v>
      </c>
      <c r="O358" s="40">
        <v>18</v>
      </c>
      <c r="P358" s="40">
        <v>18</v>
      </c>
      <c r="Q358" s="40">
        <v>0.21210000000000001</v>
      </c>
    </row>
    <row r="359" spans="1:17" x14ac:dyDescent="0.3">
      <c r="A359" s="40">
        <v>358</v>
      </c>
      <c r="B359" s="42">
        <v>40559</v>
      </c>
      <c r="C359" s="40">
        <v>1</v>
      </c>
      <c r="D359" s="40">
        <v>0</v>
      </c>
      <c r="E359" s="40">
        <v>1</v>
      </c>
      <c r="F359" s="40">
        <v>9</v>
      </c>
      <c r="G359" s="40" t="b">
        <v>0</v>
      </c>
      <c r="H359" s="40">
        <v>7</v>
      </c>
      <c r="I359" s="40">
        <v>1</v>
      </c>
      <c r="J359" s="40">
        <v>0.22</v>
      </c>
      <c r="K359" s="40">
        <v>0.21210000000000001</v>
      </c>
      <c r="L359" s="40">
        <v>0.51</v>
      </c>
      <c r="M359" s="40">
        <v>0.25369999999999998</v>
      </c>
      <c r="N359" s="40">
        <v>3</v>
      </c>
      <c r="O359" s="40">
        <v>29</v>
      </c>
      <c r="P359" s="40">
        <v>32</v>
      </c>
      <c r="Q359" s="40">
        <v>0.21210000000000001</v>
      </c>
    </row>
    <row r="360" spans="1:17" x14ac:dyDescent="0.3">
      <c r="A360" s="40">
        <v>359</v>
      </c>
      <c r="B360" s="42">
        <v>40559</v>
      </c>
      <c r="C360" s="40">
        <v>1</v>
      </c>
      <c r="D360" s="40">
        <v>0</v>
      </c>
      <c r="E360" s="40">
        <v>1</v>
      </c>
      <c r="F360" s="40">
        <v>10</v>
      </c>
      <c r="G360" s="40" t="b">
        <v>0</v>
      </c>
      <c r="H360" s="40">
        <v>7</v>
      </c>
      <c r="I360" s="40">
        <v>1</v>
      </c>
      <c r="J360" s="40">
        <v>0.22</v>
      </c>
      <c r="K360" s="40">
        <v>0.21210000000000001</v>
      </c>
      <c r="L360" s="40">
        <v>0.51</v>
      </c>
      <c r="M360" s="40">
        <v>0.28360000000000002</v>
      </c>
      <c r="N360" s="40">
        <v>8</v>
      </c>
      <c r="O360" s="40">
        <v>71</v>
      </c>
      <c r="P360" s="40">
        <v>79</v>
      </c>
      <c r="Q360" s="40">
        <v>0.21210000000000001</v>
      </c>
    </row>
    <row r="361" spans="1:17" x14ac:dyDescent="0.3">
      <c r="A361" s="40">
        <v>360</v>
      </c>
      <c r="B361" s="42">
        <v>40559</v>
      </c>
      <c r="C361" s="40">
        <v>1</v>
      </c>
      <c r="D361" s="40">
        <v>0</v>
      </c>
      <c r="E361" s="40">
        <v>1</v>
      </c>
      <c r="F361" s="40">
        <v>11</v>
      </c>
      <c r="G361" s="40" t="b">
        <v>0</v>
      </c>
      <c r="H361" s="40">
        <v>7</v>
      </c>
      <c r="I361" s="40">
        <v>1</v>
      </c>
      <c r="J361" s="40">
        <v>0.24</v>
      </c>
      <c r="K361" s="40">
        <v>0.2273</v>
      </c>
      <c r="L361" s="40">
        <v>0.44</v>
      </c>
      <c r="M361" s="40">
        <v>0.25369999999999998</v>
      </c>
      <c r="N361" s="40">
        <v>23</v>
      </c>
      <c r="O361" s="40">
        <v>70</v>
      </c>
      <c r="P361" s="40">
        <v>93</v>
      </c>
      <c r="Q361" s="40">
        <v>0.2273</v>
      </c>
    </row>
    <row r="362" spans="1:17" x14ac:dyDescent="0.3">
      <c r="A362" s="40">
        <v>361</v>
      </c>
      <c r="B362" s="42">
        <v>40559</v>
      </c>
      <c r="C362" s="40">
        <v>1</v>
      </c>
      <c r="D362" s="40">
        <v>0</v>
      </c>
      <c r="E362" s="40">
        <v>1</v>
      </c>
      <c r="F362" s="40">
        <v>12</v>
      </c>
      <c r="G362" s="40" t="b">
        <v>0</v>
      </c>
      <c r="H362" s="40">
        <v>7</v>
      </c>
      <c r="I362" s="40">
        <v>1</v>
      </c>
      <c r="J362" s="40">
        <v>0.24</v>
      </c>
      <c r="K362" s="40">
        <v>0.21210000000000001</v>
      </c>
      <c r="L362" s="40">
        <v>0.41</v>
      </c>
      <c r="M362" s="40">
        <v>0.28360000000000002</v>
      </c>
      <c r="N362" s="40">
        <v>29</v>
      </c>
      <c r="O362" s="40">
        <v>75</v>
      </c>
      <c r="P362" s="40">
        <v>104</v>
      </c>
      <c r="Q362" s="40">
        <v>0.21210000000000001</v>
      </c>
    </row>
    <row r="363" spans="1:17" x14ac:dyDescent="0.3">
      <c r="A363" s="40">
        <v>362</v>
      </c>
      <c r="B363" s="42">
        <v>40559</v>
      </c>
      <c r="C363" s="40">
        <v>1</v>
      </c>
      <c r="D363" s="40">
        <v>0</v>
      </c>
      <c r="E363" s="40">
        <v>1</v>
      </c>
      <c r="F363" s="40">
        <v>13</v>
      </c>
      <c r="G363" s="40" t="b">
        <v>0</v>
      </c>
      <c r="H363" s="40">
        <v>7</v>
      </c>
      <c r="I363" s="40">
        <v>1</v>
      </c>
      <c r="J363" s="40">
        <v>0.26</v>
      </c>
      <c r="K363" s="40">
        <v>0.2273</v>
      </c>
      <c r="L363" s="40">
        <v>0.35</v>
      </c>
      <c r="M363" s="40">
        <v>0.29849999999999999</v>
      </c>
      <c r="N363" s="40">
        <v>23</v>
      </c>
      <c r="O363" s="40">
        <v>95</v>
      </c>
      <c r="P363" s="40">
        <v>118</v>
      </c>
      <c r="Q363" s="40">
        <v>0.2273</v>
      </c>
    </row>
    <row r="364" spans="1:17" x14ac:dyDescent="0.3">
      <c r="A364" s="40">
        <v>363</v>
      </c>
      <c r="B364" s="42">
        <v>40559</v>
      </c>
      <c r="C364" s="40">
        <v>1</v>
      </c>
      <c r="D364" s="40">
        <v>0</v>
      </c>
      <c r="E364" s="40">
        <v>1</v>
      </c>
      <c r="F364" s="40">
        <v>14</v>
      </c>
      <c r="G364" s="40" t="b">
        <v>0</v>
      </c>
      <c r="H364" s="40">
        <v>7</v>
      </c>
      <c r="I364" s="40">
        <v>1</v>
      </c>
      <c r="J364" s="40">
        <v>0.28000000000000003</v>
      </c>
      <c r="K364" s="40">
        <v>0.2727</v>
      </c>
      <c r="L364" s="40">
        <v>0.36</v>
      </c>
      <c r="M364" s="40">
        <v>0.25369999999999998</v>
      </c>
      <c r="N364" s="40">
        <v>22</v>
      </c>
      <c r="O364" s="40">
        <v>69</v>
      </c>
      <c r="P364" s="40">
        <v>91</v>
      </c>
      <c r="Q364" s="40">
        <v>0.2727</v>
      </c>
    </row>
    <row r="365" spans="1:17" x14ac:dyDescent="0.3">
      <c r="A365" s="40">
        <v>364</v>
      </c>
      <c r="B365" s="42">
        <v>40559</v>
      </c>
      <c r="C365" s="40">
        <v>1</v>
      </c>
      <c r="D365" s="40">
        <v>0</v>
      </c>
      <c r="E365" s="40">
        <v>1</v>
      </c>
      <c r="F365" s="40">
        <v>15</v>
      </c>
      <c r="G365" s="40" t="b">
        <v>0</v>
      </c>
      <c r="H365" s="40">
        <v>7</v>
      </c>
      <c r="I365" s="40">
        <v>1</v>
      </c>
      <c r="J365" s="40">
        <v>0.26</v>
      </c>
      <c r="K365" s="40">
        <v>0.2424</v>
      </c>
      <c r="L365" s="40">
        <v>0.38</v>
      </c>
      <c r="M365" s="40">
        <v>0.25369999999999998</v>
      </c>
      <c r="N365" s="40">
        <v>35</v>
      </c>
      <c r="O365" s="40">
        <v>78</v>
      </c>
      <c r="P365" s="40">
        <v>113</v>
      </c>
      <c r="Q365" s="40">
        <v>0.2424</v>
      </c>
    </row>
    <row r="366" spans="1:17" x14ac:dyDescent="0.3">
      <c r="A366" s="40">
        <v>365</v>
      </c>
      <c r="B366" s="42">
        <v>40559</v>
      </c>
      <c r="C366" s="40">
        <v>1</v>
      </c>
      <c r="D366" s="40">
        <v>0</v>
      </c>
      <c r="E366" s="40">
        <v>1</v>
      </c>
      <c r="F366" s="40">
        <v>16</v>
      </c>
      <c r="G366" s="40" t="b">
        <v>0</v>
      </c>
      <c r="H366" s="40">
        <v>7</v>
      </c>
      <c r="I366" s="40">
        <v>1</v>
      </c>
      <c r="J366" s="40">
        <v>0.24</v>
      </c>
      <c r="K366" s="40">
        <v>0.2273</v>
      </c>
      <c r="L366" s="40">
        <v>0.38</v>
      </c>
      <c r="M366" s="40">
        <v>0.22389999999999999</v>
      </c>
      <c r="N366" s="40">
        <v>22</v>
      </c>
      <c r="O366" s="40">
        <v>77</v>
      </c>
      <c r="P366" s="40">
        <v>99</v>
      </c>
      <c r="Q366" s="40">
        <v>0.2273</v>
      </c>
    </row>
    <row r="367" spans="1:17" x14ac:dyDescent="0.3">
      <c r="A367" s="40">
        <v>366</v>
      </c>
      <c r="B367" s="42">
        <v>40559</v>
      </c>
      <c r="C367" s="40">
        <v>1</v>
      </c>
      <c r="D367" s="40">
        <v>0</v>
      </c>
      <c r="E367" s="40">
        <v>1</v>
      </c>
      <c r="F367" s="40">
        <v>17</v>
      </c>
      <c r="G367" s="40" t="b">
        <v>0</v>
      </c>
      <c r="H367" s="40">
        <v>7</v>
      </c>
      <c r="I367" s="40">
        <v>1</v>
      </c>
      <c r="J367" s="40">
        <v>0.22</v>
      </c>
      <c r="K367" s="40">
        <v>0.21210000000000001</v>
      </c>
      <c r="L367" s="40">
        <v>0.37</v>
      </c>
      <c r="M367" s="40">
        <v>0.25369999999999998</v>
      </c>
      <c r="N367" s="40">
        <v>23</v>
      </c>
      <c r="O367" s="40">
        <v>82</v>
      </c>
      <c r="P367" s="40">
        <v>105</v>
      </c>
      <c r="Q367" s="40">
        <v>0.21210000000000001</v>
      </c>
    </row>
    <row r="368" spans="1:17" x14ac:dyDescent="0.3">
      <c r="A368" s="40">
        <v>367</v>
      </c>
      <c r="B368" s="42">
        <v>40559</v>
      </c>
      <c r="C368" s="40">
        <v>1</v>
      </c>
      <c r="D368" s="40">
        <v>0</v>
      </c>
      <c r="E368" s="40">
        <v>1</v>
      </c>
      <c r="F368" s="40">
        <v>18</v>
      </c>
      <c r="G368" s="40" t="b">
        <v>0</v>
      </c>
      <c r="H368" s="40">
        <v>7</v>
      </c>
      <c r="I368" s="40">
        <v>1</v>
      </c>
      <c r="J368" s="40">
        <v>0.2</v>
      </c>
      <c r="K368" s="40">
        <v>0.21210000000000001</v>
      </c>
      <c r="L368" s="40">
        <v>0.4</v>
      </c>
      <c r="M368" s="40">
        <v>0.16420000000000001</v>
      </c>
      <c r="N368" s="40">
        <v>11</v>
      </c>
      <c r="O368" s="40">
        <v>56</v>
      </c>
      <c r="P368" s="40">
        <v>67</v>
      </c>
      <c r="Q368" s="40">
        <v>0.21210000000000001</v>
      </c>
    </row>
    <row r="369" spans="1:17" x14ac:dyDescent="0.3">
      <c r="A369" s="40">
        <v>368</v>
      </c>
      <c r="B369" s="42">
        <v>40559</v>
      </c>
      <c r="C369" s="40">
        <v>1</v>
      </c>
      <c r="D369" s="40">
        <v>0</v>
      </c>
      <c r="E369" s="40">
        <v>1</v>
      </c>
      <c r="F369" s="40">
        <v>19</v>
      </c>
      <c r="G369" s="40" t="b">
        <v>0</v>
      </c>
      <c r="H369" s="40">
        <v>7</v>
      </c>
      <c r="I369" s="40">
        <v>1</v>
      </c>
      <c r="J369" s="40">
        <v>0.18</v>
      </c>
      <c r="K369" s="40">
        <v>0.19700000000000001</v>
      </c>
      <c r="L369" s="40">
        <v>0.47</v>
      </c>
      <c r="M369" s="40">
        <v>0.1343</v>
      </c>
      <c r="N369" s="40">
        <v>14</v>
      </c>
      <c r="O369" s="40">
        <v>47</v>
      </c>
      <c r="P369" s="40">
        <v>61</v>
      </c>
      <c r="Q369" s="40">
        <v>0.19700000000000001</v>
      </c>
    </row>
    <row r="370" spans="1:17" x14ac:dyDescent="0.3">
      <c r="A370" s="40">
        <v>369</v>
      </c>
      <c r="B370" s="42">
        <v>40559</v>
      </c>
      <c r="C370" s="40">
        <v>1</v>
      </c>
      <c r="D370" s="40">
        <v>0</v>
      </c>
      <c r="E370" s="40">
        <v>1</v>
      </c>
      <c r="F370" s="40">
        <v>20</v>
      </c>
      <c r="G370" s="40" t="b">
        <v>0</v>
      </c>
      <c r="H370" s="40">
        <v>7</v>
      </c>
      <c r="I370" s="40">
        <v>1</v>
      </c>
      <c r="J370" s="40">
        <v>0.18</v>
      </c>
      <c r="K370" s="40">
        <v>0.19700000000000001</v>
      </c>
      <c r="L370" s="40">
        <v>0.47</v>
      </c>
      <c r="M370" s="40">
        <v>0.16420000000000001</v>
      </c>
      <c r="N370" s="40">
        <v>7</v>
      </c>
      <c r="O370" s="40">
        <v>50</v>
      </c>
      <c r="P370" s="40">
        <v>57</v>
      </c>
      <c r="Q370" s="40">
        <v>0.19700000000000001</v>
      </c>
    </row>
    <row r="371" spans="1:17" x14ac:dyDescent="0.3">
      <c r="A371" s="40">
        <v>370</v>
      </c>
      <c r="B371" s="42">
        <v>40559</v>
      </c>
      <c r="C371" s="40">
        <v>1</v>
      </c>
      <c r="D371" s="40">
        <v>0</v>
      </c>
      <c r="E371" s="40">
        <v>1</v>
      </c>
      <c r="F371" s="40">
        <v>21</v>
      </c>
      <c r="G371" s="40" t="b">
        <v>0</v>
      </c>
      <c r="H371" s="40">
        <v>7</v>
      </c>
      <c r="I371" s="40">
        <v>1</v>
      </c>
      <c r="J371" s="40">
        <v>0.18</v>
      </c>
      <c r="K371" s="40">
        <v>0.19700000000000001</v>
      </c>
      <c r="L371" s="40">
        <v>0.51</v>
      </c>
      <c r="M371" s="40">
        <v>0.16420000000000001</v>
      </c>
      <c r="N371" s="40">
        <v>6</v>
      </c>
      <c r="O371" s="40">
        <v>22</v>
      </c>
      <c r="P371" s="40">
        <v>28</v>
      </c>
      <c r="Q371" s="40">
        <v>0.19700000000000001</v>
      </c>
    </row>
    <row r="372" spans="1:17" x14ac:dyDescent="0.3">
      <c r="A372" s="40">
        <v>371</v>
      </c>
      <c r="B372" s="42">
        <v>40559</v>
      </c>
      <c r="C372" s="40">
        <v>1</v>
      </c>
      <c r="D372" s="40">
        <v>0</v>
      </c>
      <c r="E372" s="40">
        <v>1</v>
      </c>
      <c r="F372" s="40">
        <v>22</v>
      </c>
      <c r="G372" s="40" t="b">
        <v>0</v>
      </c>
      <c r="H372" s="40">
        <v>7</v>
      </c>
      <c r="I372" s="40">
        <v>2</v>
      </c>
      <c r="J372" s="40">
        <v>0.2</v>
      </c>
      <c r="K372" s="40">
        <v>0.21210000000000001</v>
      </c>
      <c r="L372" s="40">
        <v>0.49</v>
      </c>
      <c r="M372" s="40">
        <v>0.1343</v>
      </c>
      <c r="N372" s="40">
        <v>2</v>
      </c>
      <c r="O372" s="40">
        <v>19</v>
      </c>
      <c r="P372" s="40">
        <v>21</v>
      </c>
      <c r="Q372" s="40">
        <v>0.21210000000000001</v>
      </c>
    </row>
    <row r="373" spans="1:17" x14ac:dyDescent="0.3">
      <c r="A373" s="40">
        <v>372</v>
      </c>
      <c r="B373" s="42">
        <v>40559</v>
      </c>
      <c r="C373" s="40">
        <v>1</v>
      </c>
      <c r="D373" s="40">
        <v>0</v>
      </c>
      <c r="E373" s="40">
        <v>1</v>
      </c>
      <c r="F373" s="40">
        <v>23</v>
      </c>
      <c r="G373" s="40" t="b">
        <v>0</v>
      </c>
      <c r="H373" s="40">
        <v>7</v>
      </c>
      <c r="I373" s="40">
        <v>2</v>
      </c>
      <c r="J373" s="40">
        <v>0.2</v>
      </c>
      <c r="K373" s="40">
        <v>0.2273</v>
      </c>
      <c r="L373" s="40">
        <v>0.4</v>
      </c>
      <c r="M373" s="40">
        <v>0.1045</v>
      </c>
      <c r="N373" s="40">
        <v>0</v>
      </c>
      <c r="O373" s="40">
        <v>18</v>
      </c>
      <c r="P373" s="40">
        <v>18</v>
      </c>
      <c r="Q373" s="40">
        <v>0.2273</v>
      </c>
    </row>
    <row r="374" spans="1:17" x14ac:dyDescent="0.3">
      <c r="A374" s="40">
        <v>373</v>
      </c>
      <c r="B374" s="42">
        <v>40560</v>
      </c>
      <c r="C374" s="40">
        <v>1</v>
      </c>
      <c r="D374" s="40">
        <v>0</v>
      </c>
      <c r="E374" s="40">
        <v>1</v>
      </c>
      <c r="F374" s="40">
        <v>0</v>
      </c>
      <c r="G374" s="40" t="b">
        <v>1</v>
      </c>
      <c r="H374" s="40">
        <v>1</v>
      </c>
      <c r="I374" s="40">
        <v>2</v>
      </c>
      <c r="J374" s="40">
        <v>0.2</v>
      </c>
      <c r="K374" s="40">
        <v>0.19700000000000001</v>
      </c>
      <c r="L374" s="40">
        <v>0.47</v>
      </c>
      <c r="M374" s="40">
        <v>0.22389999999999999</v>
      </c>
      <c r="N374" s="40">
        <v>1</v>
      </c>
      <c r="O374" s="40">
        <v>16</v>
      </c>
      <c r="P374" s="40">
        <v>17</v>
      </c>
      <c r="Q374" s="40">
        <v>0.19700000000000001</v>
      </c>
    </row>
    <row r="375" spans="1:17" x14ac:dyDescent="0.3">
      <c r="A375" s="40">
        <v>374</v>
      </c>
      <c r="B375" s="42">
        <v>40560</v>
      </c>
      <c r="C375" s="40">
        <v>1</v>
      </c>
      <c r="D375" s="40">
        <v>0</v>
      </c>
      <c r="E375" s="40">
        <v>1</v>
      </c>
      <c r="F375" s="40">
        <v>1</v>
      </c>
      <c r="G375" s="40" t="b">
        <v>1</v>
      </c>
      <c r="H375" s="40">
        <v>1</v>
      </c>
      <c r="I375" s="40">
        <v>2</v>
      </c>
      <c r="J375" s="40">
        <v>0.2</v>
      </c>
      <c r="K375" s="40">
        <v>0.19700000000000001</v>
      </c>
      <c r="L375" s="40">
        <v>0.44</v>
      </c>
      <c r="M375" s="40">
        <v>0.19400000000000001</v>
      </c>
      <c r="N375" s="40">
        <v>1</v>
      </c>
      <c r="O375" s="40">
        <v>15</v>
      </c>
      <c r="P375" s="40">
        <v>16</v>
      </c>
      <c r="Q375" s="40">
        <v>0.19700000000000001</v>
      </c>
    </row>
    <row r="376" spans="1:17" x14ac:dyDescent="0.3">
      <c r="A376" s="40">
        <v>375</v>
      </c>
      <c r="B376" s="42">
        <v>40560</v>
      </c>
      <c r="C376" s="40">
        <v>1</v>
      </c>
      <c r="D376" s="40">
        <v>0</v>
      </c>
      <c r="E376" s="40">
        <v>1</v>
      </c>
      <c r="F376" s="40">
        <v>2</v>
      </c>
      <c r="G376" s="40" t="b">
        <v>1</v>
      </c>
      <c r="H376" s="40">
        <v>1</v>
      </c>
      <c r="I376" s="40">
        <v>2</v>
      </c>
      <c r="J376" s="40">
        <v>0.18</v>
      </c>
      <c r="K376" s="40">
        <v>0.16669999999999999</v>
      </c>
      <c r="L376" s="40">
        <v>0.43</v>
      </c>
      <c r="M376" s="40">
        <v>0.25369999999999998</v>
      </c>
      <c r="N376" s="40">
        <v>0</v>
      </c>
      <c r="O376" s="40">
        <v>8</v>
      </c>
      <c r="P376" s="40">
        <v>8</v>
      </c>
      <c r="Q376" s="40">
        <v>0.16669999999999999</v>
      </c>
    </row>
    <row r="377" spans="1:17" x14ac:dyDescent="0.3">
      <c r="A377" s="40">
        <v>376</v>
      </c>
      <c r="B377" s="42">
        <v>40560</v>
      </c>
      <c r="C377" s="40">
        <v>1</v>
      </c>
      <c r="D377" s="40">
        <v>0</v>
      </c>
      <c r="E377" s="40">
        <v>1</v>
      </c>
      <c r="F377" s="40">
        <v>3</v>
      </c>
      <c r="G377" s="40" t="b">
        <v>1</v>
      </c>
      <c r="H377" s="40">
        <v>1</v>
      </c>
      <c r="I377" s="40">
        <v>2</v>
      </c>
      <c r="J377" s="40">
        <v>0.18</v>
      </c>
      <c r="K377" s="40">
        <v>0.18179999999999999</v>
      </c>
      <c r="L377" s="40">
        <v>0.43</v>
      </c>
      <c r="M377" s="40">
        <v>0.19400000000000001</v>
      </c>
      <c r="N377" s="40">
        <v>0</v>
      </c>
      <c r="O377" s="40">
        <v>2</v>
      </c>
      <c r="P377" s="40">
        <v>2</v>
      </c>
      <c r="Q377" s="40">
        <v>0.18179999999999999</v>
      </c>
    </row>
    <row r="378" spans="1:17" x14ac:dyDescent="0.3">
      <c r="A378" s="40">
        <v>377</v>
      </c>
      <c r="B378" s="42">
        <v>40560</v>
      </c>
      <c r="C378" s="40">
        <v>1</v>
      </c>
      <c r="D378" s="40">
        <v>0</v>
      </c>
      <c r="E378" s="40">
        <v>1</v>
      </c>
      <c r="F378" s="40">
        <v>4</v>
      </c>
      <c r="G378" s="40" t="b">
        <v>1</v>
      </c>
      <c r="H378" s="40">
        <v>1</v>
      </c>
      <c r="I378" s="40">
        <v>2</v>
      </c>
      <c r="J378" s="40">
        <v>0.18</v>
      </c>
      <c r="K378" s="40">
        <v>0.19700000000000001</v>
      </c>
      <c r="L378" s="40">
        <v>0.43</v>
      </c>
      <c r="M378" s="40">
        <v>0.1343</v>
      </c>
      <c r="N378" s="40">
        <v>1</v>
      </c>
      <c r="O378" s="40">
        <v>2</v>
      </c>
      <c r="P378" s="40">
        <v>3</v>
      </c>
      <c r="Q378" s="40">
        <v>0.19700000000000001</v>
      </c>
    </row>
    <row r="379" spans="1:17" x14ac:dyDescent="0.3">
      <c r="A379" s="40">
        <v>378</v>
      </c>
      <c r="B379" s="42">
        <v>40560</v>
      </c>
      <c r="C379" s="40">
        <v>1</v>
      </c>
      <c r="D379" s="40">
        <v>0</v>
      </c>
      <c r="E379" s="40">
        <v>1</v>
      </c>
      <c r="F379" s="40">
        <v>5</v>
      </c>
      <c r="G379" s="40" t="b">
        <v>1</v>
      </c>
      <c r="H379" s="40">
        <v>1</v>
      </c>
      <c r="I379" s="40">
        <v>2</v>
      </c>
      <c r="J379" s="40">
        <v>0.18</v>
      </c>
      <c r="K379" s="40">
        <v>0.19700000000000001</v>
      </c>
      <c r="L379" s="40">
        <v>0.43</v>
      </c>
      <c r="M379" s="40">
        <v>0.16420000000000001</v>
      </c>
      <c r="N379" s="40">
        <v>0</v>
      </c>
      <c r="O379" s="40">
        <v>1</v>
      </c>
      <c r="P379" s="40">
        <v>1</v>
      </c>
      <c r="Q379" s="40">
        <v>0.19700000000000001</v>
      </c>
    </row>
    <row r="380" spans="1:17" x14ac:dyDescent="0.3">
      <c r="A380" s="40">
        <v>379</v>
      </c>
      <c r="B380" s="42">
        <v>40560</v>
      </c>
      <c r="C380" s="40">
        <v>1</v>
      </c>
      <c r="D380" s="40">
        <v>0</v>
      </c>
      <c r="E380" s="40">
        <v>1</v>
      </c>
      <c r="F380" s="40">
        <v>6</v>
      </c>
      <c r="G380" s="40" t="b">
        <v>1</v>
      </c>
      <c r="H380" s="40">
        <v>1</v>
      </c>
      <c r="I380" s="40">
        <v>2</v>
      </c>
      <c r="J380" s="40">
        <v>0.18</v>
      </c>
      <c r="K380" s="40">
        <v>0.18179999999999999</v>
      </c>
      <c r="L380" s="40">
        <v>0.43</v>
      </c>
      <c r="M380" s="40">
        <v>0.19400000000000001</v>
      </c>
      <c r="N380" s="40">
        <v>0</v>
      </c>
      <c r="O380" s="40">
        <v>5</v>
      </c>
      <c r="P380" s="40">
        <v>5</v>
      </c>
      <c r="Q380" s="40">
        <v>0.18179999999999999</v>
      </c>
    </row>
    <row r="381" spans="1:17" x14ac:dyDescent="0.3">
      <c r="A381" s="40">
        <v>380</v>
      </c>
      <c r="B381" s="42">
        <v>40560</v>
      </c>
      <c r="C381" s="40">
        <v>1</v>
      </c>
      <c r="D381" s="40">
        <v>0</v>
      </c>
      <c r="E381" s="40">
        <v>1</v>
      </c>
      <c r="F381" s="40">
        <v>7</v>
      </c>
      <c r="G381" s="40" t="b">
        <v>1</v>
      </c>
      <c r="H381" s="40">
        <v>1</v>
      </c>
      <c r="I381" s="40">
        <v>2</v>
      </c>
      <c r="J381" s="40">
        <v>0.16</v>
      </c>
      <c r="K381" s="40">
        <v>0.18179999999999999</v>
      </c>
      <c r="L381" s="40">
        <v>0.5</v>
      </c>
      <c r="M381" s="40">
        <v>0.1343</v>
      </c>
      <c r="N381" s="40">
        <v>4</v>
      </c>
      <c r="O381" s="40">
        <v>9</v>
      </c>
      <c r="P381" s="40">
        <v>13</v>
      </c>
      <c r="Q381" s="40">
        <v>0.18179999999999999</v>
      </c>
    </row>
    <row r="382" spans="1:17" x14ac:dyDescent="0.3">
      <c r="A382" s="40">
        <v>381</v>
      </c>
      <c r="B382" s="42">
        <v>40560</v>
      </c>
      <c r="C382" s="40">
        <v>1</v>
      </c>
      <c r="D382" s="40">
        <v>0</v>
      </c>
      <c r="E382" s="40">
        <v>1</v>
      </c>
      <c r="F382" s="40">
        <v>8</v>
      </c>
      <c r="G382" s="40" t="b">
        <v>1</v>
      </c>
      <c r="H382" s="40">
        <v>1</v>
      </c>
      <c r="I382" s="40">
        <v>2</v>
      </c>
      <c r="J382" s="40">
        <v>0.16</v>
      </c>
      <c r="K382" s="40">
        <v>0.1515</v>
      </c>
      <c r="L382" s="40">
        <v>0.47</v>
      </c>
      <c r="M382" s="40">
        <v>0.22389999999999999</v>
      </c>
      <c r="N382" s="40">
        <v>3</v>
      </c>
      <c r="O382" s="40">
        <v>30</v>
      </c>
      <c r="P382" s="40">
        <v>33</v>
      </c>
      <c r="Q382" s="40">
        <v>0.1515</v>
      </c>
    </row>
    <row r="383" spans="1:17" x14ac:dyDescent="0.3">
      <c r="A383" s="40">
        <v>382</v>
      </c>
      <c r="B383" s="42">
        <v>40560</v>
      </c>
      <c r="C383" s="40">
        <v>1</v>
      </c>
      <c r="D383" s="40">
        <v>0</v>
      </c>
      <c r="E383" s="40">
        <v>1</v>
      </c>
      <c r="F383" s="40">
        <v>9</v>
      </c>
      <c r="G383" s="40" t="b">
        <v>1</v>
      </c>
      <c r="H383" s="40">
        <v>1</v>
      </c>
      <c r="I383" s="40">
        <v>2</v>
      </c>
      <c r="J383" s="40">
        <v>0.16</v>
      </c>
      <c r="K383" s="40">
        <v>0.1515</v>
      </c>
      <c r="L383" s="40">
        <v>0.47</v>
      </c>
      <c r="M383" s="40">
        <v>0.22389999999999999</v>
      </c>
      <c r="N383" s="40">
        <v>8</v>
      </c>
      <c r="O383" s="40">
        <v>39</v>
      </c>
      <c r="P383" s="40">
        <v>47</v>
      </c>
      <c r="Q383" s="40">
        <v>0.1515</v>
      </c>
    </row>
    <row r="384" spans="1:17" x14ac:dyDescent="0.3">
      <c r="A384" s="40">
        <v>383</v>
      </c>
      <c r="B384" s="42">
        <v>40560</v>
      </c>
      <c r="C384" s="40">
        <v>1</v>
      </c>
      <c r="D384" s="40">
        <v>0</v>
      </c>
      <c r="E384" s="40">
        <v>1</v>
      </c>
      <c r="F384" s="40">
        <v>10</v>
      </c>
      <c r="G384" s="40" t="b">
        <v>1</v>
      </c>
      <c r="H384" s="40">
        <v>1</v>
      </c>
      <c r="I384" s="40">
        <v>2</v>
      </c>
      <c r="J384" s="40">
        <v>0.16</v>
      </c>
      <c r="K384" s="40">
        <v>0.1515</v>
      </c>
      <c r="L384" s="40">
        <v>0.5</v>
      </c>
      <c r="M384" s="40">
        <v>0.25369999999999998</v>
      </c>
      <c r="N384" s="40">
        <v>7</v>
      </c>
      <c r="O384" s="40">
        <v>50</v>
      </c>
      <c r="P384" s="40">
        <v>57</v>
      </c>
      <c r="Q384" s="40">
        <v>0.1515</v>
      </c>
    </row>
    <row r="385" spans="1:17" x14ac:dyDescent="0.3">
      <c r="A385" s="40">
        <v>384</v>
      </c>
      <c r="B385" s="42">
        <v>40560</v>
      </c>
      <c r="C385" s="40">
        <v>1</v>
      </c>
      <c r="D385" s="40">
        <v>0</v>
      </c>
      <c r="E385" s="40">
        <v>1</v>
      </c>
      <c r="F385" s="40">
        <v>11</v>
      </c>
      <c r="G385" s="40" t="b">
        <v>1</v>
      </c>
      <c r="H385" s="40">
        <v>1</v>
      </c>
      <c r="I385" s="40">
        <v>2</v>
      </c>
      <c r="J385" s="40">
        <v>0.16</v>
      </c>
      <c r="K385" s="40">
        <v>0.1515</v>
      </c>
      <c r="L385" s="40">
        <v>0.55000000000000004</v>
      </c>
      <c r="M385" s="40">
        <v>0.19400000000000001</v>
      </c>
      <c r="N385" s="40">
        <v>9</v>
      </c>
      <c r="O385" s="40">
        <v>55</v>
      </c>
      <c r="P385" s="40">
        <v>64</v>
      </c>
      <c r="Q385" s="40">
        <v>0.1515</v>
      </c>
    </row>
    <row r="386" spans="1:17" x14ac:dyDescent="0.3">
      <c r="A386" s="40">
        <v>385</v>
      </c>
      <c r="B386" s="42">
        <v>40560</v>
      </c>
      <c r="C386" s="40">
        <v>1</v>
      </c>
      <c r="D386" s="40">
        <v>0</v>
      </c>
      <c r="E386" s="40">
        <v>1</v>
      </c>
      <c r="F386" s="40">
        <v>12</v>
      </c>
      <c r="G386" s="40" t="b">
        <v>1</v>
      </c>
      <c r="H386" s="40">
        <v>1</v>
      </c>
      <c r="I386" s="40">
        <v>2</v>
      </c>
      <c r="J386" s="40">
        <v>0.18</v>
      </c>
      <c r="K386" s="40">
        <v>0.19700000000000001</v>
      </c>
      <c r="L386" s="40">
        <v>0.47</v>
      </c>
      <c r="M386" s="40">
        <v>0.1343</v>
      </c>
      <c r="N386" s="40">
        <v>10</v>
      </c>
      <c r="O386" s="40">
        <v>70</v>
      </c>
      <c r="P386" s="40">
        <v>80</v>
      </c>
      <c r="Q386" s="40">
        <v>0.19700000000000001</v>
      </c>
    </row>
    <row r="387" spans="1:17" x14ac:dyDescent="0.3">
      <c r="A387" s="40">
        <v>386</v>
      </c>
      <c r="B387" s="42">
        <v>40560</v>
      </c>
      <c r="C387" s="40">
        <v>1</v>
      </c>
      <c r="D387" s="40">
        <v>0</v>
      </c>
      <c r="E387" s="40">
        <v>1</v>
      </c>
      <c r="F387" s="40">
        <v>13</v>
      </c>
      <c r="G387" s="40" t="b">
        <v>1</v>
      </c>
      <c r="H387" s="40">
        <v>1</v>
      </c>
      <c r="I387" s="40">
        <v>2</v>
      </c>
      <c r="J387" s="40">
        <v>0.18</v>
      </c>
      <c r="K387" s="40">
        <v>0.19700000000000001</v>
      </c>
      <c r="L387" s="40">
        <v>0.47</v>
      </c>
      <c r="M387" s="40">
        <v>0.1343</v>
      </c>
      <c r="N387" s="40">
        <v>13</v>
      </c>
      <c r="O387" s="40">
        <v>80</v>
      </c>
      <c r="P387" s="40">
        <v>93</v>
      </c>
      <c r="Q387" s="40">
        <v>0.19700000000000001</v>
      </c>
    </row>
    <row r="388" spans="1:17" x14ac:dyDescent="0.3">
      <c r="A388" s="40">
        <v>387</v>
      </c>
      <c r="B388" s="42">
        <v>40560</v>
      </c>
      <c r="C388" s="40">
        <v>1</v>
      </c>
      <c r="D388" s="40">
        <v>0</v>
      </c>
      <c r="E388" s="40">
        <v>1</v>
      </c>
      <c r="F388" s="40">
        <v>14</v>
      </c>
      <c r="G388" s="40" t="b">
        <v>1</v>
      </c>
      <c r="H388" s="40">
        <v>1</v>
      </c>
      <c r="I388" s="40">
        <v>2</v>
      </c>
      <c r="J388" s="40">
        <v>0.18</v>
      </c>
      <c r="K388" s="40">
        <v>0.21210000000000001</v>
      </c>
      <c r="L388" s="40">
        <v>0.43</v>
      </c>
      <c r="M388" s="40">
        <v>0.1045</v>
      </c>
      <c r="N388" s="40">
        <v>12</v>
      </c>
      <c r="O388" s="40">
        <v>74</v>
      </c>
      <c r="P388" s="40">
        <v>86</v>
      </c>
      <c r="Q388" s="40">
        <v>0.21210000000000001</v>
      </c>
    </row>
    <row r="389" spans="1:17" x14ac:dyDescent="0.3">
      <c r="A389" s="40">
        <v>388</v>
      </c>
      <c r="B389" s="42">
        <v>40560</v>
      </c>
      <c r="C389" s="40">
        <v>1</v>
      </c>
      <c r="D389" s="40">
        <v>0</v>
      </c>
      <c r="E389" s="40">
        <v>1</v>
      </c>
      <c r="F389" s="40">
        <v>15</v>
      </c>
      <c r="G389" s="40" t="b">
        <v>1</v>
      </c>
      <c r="H389" s="40">
        <v>1</v>
      </c>
      <c r="I389" s="40">
        <v>2</v>
      </c>
      <c r="J389" s="40">
        <v>0.2</v>
      </c>
      <c r="K389" s="40">
        <v>0.21210000000000001</v>
      </c>
      <c r="L389" s="40">
        <v>0.47</v>
      </c>
      <c r="M389" s="40">
        <v>0.16420000000000001</v>
      </c>
      <c r="N389" s="40">
        <v>21</v>
      </c>
      <c r="O389" s="40">
        <v>72</v>
      </c>
      <c r="P389" s="40">
        <v>93</v>
      </c>
      <c r="Q389" s="40">
        <v>0.21210000000000001</v>
      </c>
    </row>
    <row r="390" spans="1:17" x14ac:dyDescent="0.3">
      <c r="A390" s="40">
        <v>389</v>
      </c>
      <c r="B390" s="42">
        <v>40560</v>
      </c>
      <c r="C390" s="40">
        <v>1</v>
      </c>
      <c r="D390" s="40">
        <v>0</v>
      </c>
      <c r="E390" s="40">
        <v>1</v>
      </c>
      <c r="F390" s="40">
        <v>16</v>
      </c>
      <c r="G390" s="40" t="b">
        <v>1</v>
      </c>
      <c r="H390" s="40">
        <v>1</v>
      </c>
      <c r="I390" s="40">
        <v>2</v>
      </c>
      <c r="J390" s="40">
        <v>0.2</v>
      </c>
      <c r="K390" s="40">
        <v>0.21210000000000001</v>
      </c>
      <c r="L390" s="40">
        <v>0.47</v>
      </c>
      <c r="M390" s="40">
        <v>0.16420000000000001</v>
      </c>
      <c r="N390" s="40">
        <v>6</v>
      </c>
      <c r="O390" s="40">
        <v>76</v>
      </c>
      <c r="P390" s="40">
        <v>82</v>
      </c>
      <c r="Q390" s="40">
        <v>0.21210000000000001</v>
      </c>
    </row>
    <row r="391" spans="1:17" x14ac:dyDescent="0.3">
      <c r="A391" s="40">
        <v>390</v>
      </c>
      <c r="B391" s="42">
        <v>40560</v>
      </c>
      <c r="C391" s="40">
        <v>1</v>
      </c>
      <c r="D391" s="40">
        <v>0</v>
      </c>
      <c r="E391" s="40">
        <v>1</v>
      </c>
      <c r="F391" s="40">
        <v>17</v>
      </c>
      <c r="G391" s="40" t="b">
        <v>1</v>
      </c>
      <c r="H391" s="40">
        <v>1</v>
      </c>
      <c r="I391" s="40">
        <v>1</v>
      </c>
      <c r="J391" s="40">
        <v>0.2</v>
      </c>
      <c r="K391" s="40">
        <v>0.19700000000000001</v>
      </c>
      <c r="L391" s="40">
        <v>0.51</v>
      </c>
      <c r="M391" s="40">
        <v>0.19400000000000001</v>
      </c>
      <c r="N391" s="40">
        <v>4</v>
      </c>
      <c r="O391" s="40">
        <v>67</v>
      </c>
      <c r="P391" s="40">
        <v>71</v>
      </c>
      <c r="Q391" s="40">
        <v>0.19700000000000001</v>
      </c>
    </row>
    <row r="392" spans="1:17" x14ac:dyDescent="0.3">
      <c r="A392" s="40">
        <v>391</v>
      </c>
      <c r="B392" s="42">
        <v>40560</v>
      </c>
      <c r="C392" s="40">
        <v>1</v>
      </c>
      <c r="D392" s="40">
        <v>0</v>
      </c>
      <c r="E392" s="40">
        <v>1</v>
      </c>
      <c r="F392" s="40">
        <v>18</v>
      </c>
      <c r="G392" s="40" t="b">
        <v>1</v>
      </c>
      <c r="H392" s="40">
        <v>1</v>
      </c>
      <c r="I392" s="40">
        <v>2</v>
      </c>
      <c r="J392" s="40">
        <v>0.18</v>
      </c>
      <c r="K392" s="40">
        <v>0.16669999999999999</v>
      </c>
      <c r="L392" s="40">
        <v>0.55000000000000004</v>
      </c>
      <c r="M392" s="40">
        <v>0.25369999999999998</v>
      </c>
      <c r="N392" s="40">
        <v>7</v>
      </c>
      <c r="O392" s="40">
        <v>85</v>
      </c>
      <c r="P392" s="40">
        <v>92</v>
      </c>
      <c r="Q392" s="40">
        <v>0.16669999999999999</v>
      </c>
    </row>
    <row r="393" spans="1:17" x14ac:dyDescent="0.3">
      <c r="A393" s="40">
        <v>392</v>
      </c>
      <c r="B393" s="42">
        <v>40560</v>
      </c>
      <c r="C393" s="40">
        <v>1</v>
      </c>
      <c r="D393" s="40">
        <v>0</v>
      </c>
      <c r="E393" s="40">
        <v>1</v>
      </c>
      <c r="F393" s="40">
        <v>19</v>
      </c>
      <c r="G393" s="40" t="b">
        <v>1</v>
      </c>
      <c r="H393" s="40">
        <v>1</v>
      </c>
      <c r="I393" s="40">
        <v>3</v>
      </c>
      <c r="J393" s="40">
        <v>0.18</v>
      </c>
      <c r="K393" s="40">
        <v>0.18179999999999999</v>
      </c>
      <c r="L393" s="40">
        <v>0.59</v>
      </c>
      <c r="M393" s="40">
        <v>0.19400000000000001</v>
      </c>
      <c r="N393" s="40">
        <v>2</v>
      </c>
      <c r="O393" s="40">
        <v>58</v>
      </c>
      <c r="P393" s="40">
        <v>60</v>
      </c>
      <c r="Q393" s="40">
        <v>0.18179999999999999</v>
      </c>
    </row>
    <row r="394" spans="1:17" x14ac:dyDescent="0.3">
      <c r="A394" s="40">
        <v>393</v>
      </c>
      <c r="B394" s="42">
        <v>40560</v>
      </c>
      <c r="C394" s="40">
        <v>1</v>
      </c>
      <c r="D394" s="40">
        <v>0</v>
      </c>
      <c r="E394" s="40">
        <v>1</v>
      </c>
      <c r="F394" s="40">
        <v>20</v>
      </c>
      <c r="G394" s="40" t="b">
        <v>1</v>
      </c>
      <c r="H394" s="40">
        <v>1</v>
      </c>
      <c r="I394" s="40">
        <v>3</v>
      </c>
      <c r="J394" s="40">
        <v>0.16</v>
      </c>
      <c r="K394" s="40">
        <v>0.1515</v>
      </c>
      <c r="L394" s="40">
        <v>0.8</v>
      </c>
      <c r="M394" s="40">
        <v>0.19400000000000001</v>
      </c>
      <c r="N394" s="40">
        <v>4</v>
      </c>
      <c r="O394" s="40">
        <v>29</v>
      </c>
      <c r="P394" s="40">
        <v>33</v>
      </c>
      <c r="Q394" s="40">
        <v>0.1515</v>
      </c>
    </row>
    <row r="395" spans="1:17" x14ac:dyDescent="0.3">
      <c r="A395" s="40">
        <v>394</v>
      </c>
      <c r="B395" s="42">
        <v>40560</v>
      </c>
      <c r="C395" s="40">
        <v>1</v>
      </c>
      <c r="D395" s="40">
        <v>0</v>
      </c>
      <c r="E395" s="40">
        <v>1</v>
      </c>
      <c r="F395" s="40">
        <v>21</v>
      </c>
      <c r="G395" s="40" t="b">
        <v>1</v>
      </c>
      <c r="H395" s="40">
        <v>1</v>
      </c>
      <c r="I395" s="40">
        <v>3</v>
      </c>
      <c r="J395" s="40">
        <v>0.16</v>
      </c>
      <c r="K395" s="40">
        <v>0.1515</v>
      </c>
      <c r="L395" s="40">
        <v>0.8</v>
      </c>
      <c r="M395" s="40">
        <v>0.19400000000000001</v>
      </c>
      <c r="N395" s="40">
        <v>3</v>
      </c>
      <c r="O395" s="40">
        <v>24</v>
      </c>
      <c r="P395" s="40">
        <v>27</v>
      </c>
      <c r="Q395" s="40">
        <v>0.1515</v>
      </c>
    </row>
    <row r="396" spans="1:17" x14ac:dyDescent="0.3">
      <c r="A396" s="40">
        <v>395</v>
      </c>
      <c r="B396" s="42">
        <v>40560</v>
      </c>
      <c r="C396" s="40">
        <v>1</v>
      </c>
      <c r="D396" s="40">
        <v>0</v>
      </c>
      <c r="E396" s="40">
        <v>1</v>
      </c>
      <c r="F396" s="40">
        <v>22</v>
      </c>
      <c r="G396" s="40" t="b">
        <v>1</v>
      </c>
      <c r="H396" s="40">
        <v>1</v>
      </c>
      <c r="I396" s="40">
        <v>3</v>
      </c>
      <c r="J396" s="40">
        <v>0.14000000000000001</v>
      </c>
      <c r="K396" s="40">
        <v>0.1212</v>
      </c>
      <c r="L396" s="40">
        <v>0.93</v>
      </c>
      <c r="M396" s="40">
        <v>0.25369999999999998</v>
      </c>
      <c r="N396" s="40">
        <v>0</v>
      </c>
      <c r="O396" s="40">
        <v>13</v>
      </c>
      <c r="P396" s="40">
        <v>13</v>
      </c>
      <c r="Q396" s="40">
        <v>0.1212</v>
      </c>
    </row>
    <row r="397" spans="1:17" x14ac:dyDescent="0.3">
      <c r="A397" s="40">
        <v>396</v>
      </c>
      <c r="B397" s="42">
        <v>40560</v>
      </c>
      <c r="C397" s="40">
        <v>1</v>
      </c>
      <c r="D397" s="40">
        <v>0</v>
      </c>
      <c r="E397" s="40">
        <v>1</v>
      </c>
      <c r="F397" s="40">
        <v>23</v>
      </c>
      <c r="G397" s="40" t="b">
        <v>1</v>
      </c>
      <c r="H397" s="40">
        <v>1</v>
      </c>
      <c r="I397" s="40">
        <v>3</v>
      </c>
      <c r="J397" s="40">
        <v>0.16</v>
      </c>
      <c r="K397" s="40">
        <v>0.13639999999999999</v>
      </c>
      <c r="L397" s="40">
        <v>0.86</v>
      </c>
      <c r="M397" s="40">
        <v>0.28360000000000002</v>
      </c>
      <c r="N397" s="40">
        <v>1</v>
      </c>
      <c r="O397" s="40">
        <v>3</v>
      </c>
      <c r="P397" s="40">
        <v>4</v>
      </c>
      <c r="Q397" s="40">
        <v>0.13639999999999999</v>
      </c>
    </row>
    <row r="398" spans="1:17" x14ac:dyDescent="0.3">
      <c r="A398" s="40">
        <v>397</v>
      </c>
      <c r="B398" s="42">
        <v>40561</v>
      </c>
      <c r="C398" s="40">
        <v>1</v>
      </c>
      <c r="D398" s="40">
        <v>0</v>
      </c>
      <c r="E398" s="40">
        <v>1</v>
      </c>
      <c r="F398" s="40">
        <v>12</v>
      </c>
      <c r="G398" s="40" t="b">
        <v>0</v>
      </c>
      <c r="H398" s="40">
        <v>2</v>
      </c>
      <c r="I398" s="40">
        <v>2</v>
      </c>
      <c r="J398" s="40">
        <v>0.2</v>
      </c>
      <c r="K398" s="40">
        <v>0.18179999999999999</v>
      </c>
      <c r="L398" s="40">
        <v>0.86</v>
      </c>
      <c r="M398" s="40">
        <v>0.32840000000000003</v>
      </c>
      <c r="N398" s="40">
        <v>0</v>
      </c>
      <c r="O398" s="40">
        <v>3</v>
      </c>
      <c r="P398" s="40">
        <v>3</v>
      </c>
      <c r="Q398" s="40">
        <v>0.18179999999999999</v>
      </c>
    </row>
    <row r="399" spans="1:17" x14ac:dyDescent="0.3">
      <c r="A399" s="40">
        <v>398</v>
      </c>
      <c r="B399" s="42">
        <v>40561</v>
      </c>
      <c r="C399" s="40">
        <v>1</v>
      </c>
      <c r="D399" s="40">
        <v>0</v>
      </c>
      <c r="E399" s="40">
        <v>1</v>
      </c>
      <c r="F399" s="40">
        <v>13</v>
      </c>
      <c r="G399" s="40" t="b">
        <v>0</v>
      </c>
      <c r="H399" s="40">
        <v>2</v>
      </c>
      <c r="I399" s="40">
        <v>2</v>
      </c>
      <c r="J399" s="40">
        <v>0.2</v>
      </c>
      <c r="K399" s="40">
        <v>0.19700000000000001</v>
      </c>
      <c r="L399" s="40">
        <v>0.86</v>
      </c>
      <c r="M399" s="40">
        <v>0.22389999999999999</v>
      </c>
      <c r="N399" s="40">
        <v>0</v>
      </c>
      <c r="O399" s="40">
        <v>22</v>
      </c>
      <c r="P399" s="40">
        <v>22</v>
      </c>
      <c r="Q399" s="40">
        <v>0.19700000000000001</v>
      </c>
    </row>
    <row r="400" spans="1:17" x14ac:dyDescent="0.3">
      <c r="A400" s="40">
        <v>399</v>
      </c>
      <c r="B400" s="42">
        <v>40561</v>
      </c>
      <c r="C400" s="40">
        <v>1</v>
      </c>
      <c r="D400" s="40">
        <v>0</v>
      </c>
      <c r="E400" s="40">
        <v>1</v>
      </c>
      <c r="F400" s="40">
        <v>14</v>
      </c>
      <c r="G400" s="40" t="b">
        <v>0</v>
      </c>
      <c r="H400" s="40">
        <v>2</v>
      </c>
      <c r="I400" s="40">
        <v>2</v>
      </c>
      <c r="J400" s="40">
        <v>0.22</v>
      </c>
      <c r="K400" s="40">
        <v>0.2273</v>
      </c>
      <c r="L400" s="40">
        <v>0.8</v>
      </c>
      <c r="M400" s="40">
        <v>0.16420000000000001</v>
      </c>
      <c r="N400" s="40">
        <v>2</v>
      </c>
      <c r="O400" s="40">
        <v>26</v>
      </c>
      <c r="P400" s="40">
        <v>28</v>
      </c>
      <c r="Q400" s="40">
        <v>0.2273</v>
      </c>
    </row>
    <row r="401" spans="1:17" x14ac:dyDescent="0.3">
      <c r="A401" s="40">
        <v>400</v>
      </c>
      <c r="B401" s="42">
        <v>40561</v>
      </c>
      <c r="C401" s="40">
        <v>1</v>
      </c>
      <c r="D401" s="40">
        <v>0</v>
      </c>
      <c r="E401" s="40">
        <v>1</v>
      </c>
      <c r="F401" s="40">
        <v>15</v>
      </c>
      <c r="G401" s="40" t="b">
        <v>0</v>
      </c>
      <c r="H401" s="40">
        <v>2</v>
      </c>
      <c r="I401" s="40">
        <v>2</v>
      </c>
      <c r="J401" s="40">
        <v>0.22</v>
      </c>
      <c r="K401" s="40">
        <v>0.2273</v>
      </c>
      <c r="L401" s="40">
        <v>0.87</v>
      </c>
      <c r="M401" s="40">
        <v>0.16420000000000001</v>
      </c>
      <c r="N401" s="40">
        <v>3</v>
      </c>
      <c r="O401" s="40">
        <v>32</v>
      </c>
      <c r="P401" s="40">
        <v>35</v>
      </c>
      <c r="Q401" s="40">
        <v>0.2273</v>
      </c>
    </row>
    <row r="402" spans="1:17" x14ac:dyDescent="0.3">
      <c r="A402" s="40">
        <v>401</v>
      </c>
      <c r="B402" s="42">
        <v>40561</v>
      </c>
      <c r="C402" s="40">
        <v>1</v>
      </c>
      <c r="D402" s="40">
        <v>0</v>
      </c>
      <c r="E402" s="40">
        <v>1</v>
      </c>
      <c r="F402" s="40">
        <v>16</v>
      </c>
      <c r="G402" s="40" t="b">
        <v>0</v>
      </c>
      <c r="H402" s="40">
        <v>2</v>
      </c>
      <c r="I402" s="40">
        <v>2</v>
      </c>
      <c r="J402" s="40">
        <v>0.22</v>
      </c>
      <c r="K402" s="40">
        <v>0.2273</v>
      </c>
      <c r="L402" s="40">
        <v>0.87</v>
      </c>
      <c r="M402" s="40">
        <v>0.19400000000000001</v>
      </c>
      <c r="N402" s="40">
        <v>0</v>
      </c>
      <c r="O402" s="40">
        <v>61</v>
      </c>
      <c r="P402" s="40">
        <v>61</v>
      </c>
      <c r="Q402" s="40">
        <v>0.2273</v>
      </c>
    </row>
    <row r="403" spans="1:17" x14ac:dyDescent="0.3">
      <c r="A403" s="40">
        <v>402</v>
      </c>
      <c r="B403" s="42">
        <v>40561</v>
      </c>
      <c r="C403" s="40">
        <v>1</v>
      </c>
      <c r="D403" s="40">
        <v>0</v>
      </c>
      <c r="E403" s="40">
        <v>1</v>
      </c>
      <c r="F403" s="40">
        <v>17</v>
      </c>
      <c r="G403" s="40" t="b">
        <v>0</v>
      </c>
      <c r="H403" s="40">
        <v>2</v>
      </c>
      <c r="I403" s="40">
        <v>2</v>
      </c>
      <c r="J403" s="40">
        <v>0.22</v>
      </c>
      <c r="K403" s="40">
        <v>0.2273</v>
      </c>
      <c r="L403" s="40">
        <v>0.82</v>
      </c>
      <c r="M403" s="40">
        <v>0.19400000000000001</v>
      </c>
      <c r="N403" s="40">
        <v>1</v>
      </c>
      <c r="O403" s="40">
        <v>124</v>
      </c>
      <c r="P403" s="40">
        <v>125</v>
      </c>
      <c r="Q403" s="40">
        <v>0.2273</v>
      </c>
    </row>
    <row r="404" spans="1:17" x14ac:dyDescent="0.3">
      <c r="A404" s="40">
        <v>403</v>
      </c>
      <c r="B404" s="42">
        <v>40561</v>
      </c>
      <c r="C404" s="40">
        <v>1</v>
      </c>
      <c r="D404" s="40">
        <v>0</v>
      </c>
      <c r="E404" s="40">
        <v>1</v>
      </c>
      <c r="F404" s="40">
        <v>18</v>
      </c>
      <c r="G404" s="40" t="b">
        <v>0</v>
      </c>
      <c r="H404" s="40">
        <v>2</v>
      </c>
      <c r="I404" s="40">
        <v>2</v>
      </c>
      <c r="J404" s="40">
        <v>0.22</v>
      </c>
      <c r="K404" s="40">
        <v>0.2273</v>
      </c>
      <c r="L404" s="40">
        <v>0.8</v>
      </c>
      <c r="M404" s="40">
        <v>0.16420000000000001</v>
      </c>
      <c r="N404" s="40">
        <v>1</v>
      </c>
      <c r="O404" s="40">
        <v>132</v>
      </c>
      <c r="P404" s="40">
        <v>133</v>
      </c>
      <c r="Q404" s="40">
        <v>0.2273</v>
      </c>
    </row>
    <row r="405" spans="1:17" x14ac:dyDescent="0.3">
      <c r="A405" s="40">
        <v>404</v>
      </c>
      <c r="B405" s="42">
        <v>40561</v>
      </c>
      <c r="C405" s="40">
        <v>1</v>
      </c>
      <c r="D405" s="40">
        <v>0</v>
      </c>
      <c r="E405" s="40">
        <v>1</v>
      </c>
      <c r="F405" s="40">
        <v>19</v>
      </c>
      <c r="G405" s="40" t="b">
        <v>0</v>
      </c>
      <c r="H405" s="40">
        <v>2</v>
      </c>
      <c r="I405" s="40">
        <v>2</v>
      </c>
      <c r="J405" s="40">
        <v>0.22</v>
      </c>
      <c r="K405" s="40">
        <v>0.2273</v>
      </c>
      <c r="L405" s="40">
        <v>0.8</v>
      </c>
      <c r="M405" s="40">
        <v>0.1343</v>
      </c>
      <c r="N405" s="40">
        <v>1</v>
      </c>
      <c r="O405" s="40">
        <v>98</v>
      </c>
      <c r="P405" s="40">
        <v>99</v>
      </c>
      <c r="Q405" s="40">
        <v>0.2273</v>
      </c>
    </row>
    <row r="406" spans="1:17" x14ac:dyDescent="0.3">
      <c r="A406" s="40">
        <v>405</v>
      </c>
      <c r="B406" s="42">
        <v>40561</v>
      </c>
      <c r="C406" s="40">
        <v>1</v>
      </c>
      <c r="D406" s="40">
        <v>0</v>
      </c>
      <c r="E406" s="40">
        <v>1</v>
      </c>
      <c r="F406" s="40">
        <v>20</v>
      </c>
      <c r="G406" s="40" t="b">
        <v>0</v>
      </c>
      <c r="H406" s="40">
        <v>2</v>
      </c>
      <c r="I406" s="40">
        <v>2</v>
      </c>
      <c r="J406" s="40">
        <v>0.22</v>
      </c>
      <c r="K406" s="40">
        <v>0.2727</v>
      </c>
      <c r="L406" s="40">
        <v>0.87</v>
      </c>
      <c r="M406" s="40">
        <v>0.20485098360655737</v>
      </c>
      <c r="N406" s="40">
        <v>0</v>
      </c>
      <c r="O406" s="40">
        <v>83</v>
      </c>
      <c r="P406" s="40">
        <v>83</v>
      </c>
      <c r="Q406" s="40">
        <v>0.2727</v>
      </c>
    </row>
    <row r="407" spans="1:17" x14ac:dyDescent="0.3">
      <c r="A407" s="40">
        <v>406</v>
      </c>
      <c r="B407" s="42">
        <v>40561</v>
      </c>
      <c r="C407" s="40">
        <v>1</v>
      </c>
      <c r="D407" s="40">
        <v>0</v>
      </c>
      <c r="E407" s="40">
        <v>1</v>
      </c>
      <c r="F407" s="40">
        <v>21</v>
      </c>
      <c r="G407" s="40" t="b">
        <v>0</v>
      </c>
      <c r="H407" s="40">
        <v>2</v>
      </c>
      <c r="I407" s="40">
        <v>2</v>
      </c>
      <c r="J407" s="40">
        <v>0.22</v>
      </c>
      <c r="K407" s="40">
        <v>0.2424</v>
      </c>
      <c r="L407" s="40">
        <v>0.93</v>
      </c>
      <c r="M407" s="40">
        <v>0.1045</v>
      </c>
      <c r="N407" s="40">
        <v>0</v>
      </c>
      <c r="O407" s="40">
        <v>41</v>
      </c>
      <c r="P407" s="40">
        <v>41</v>
      </c>
      <c r="Q407" s="40">
        <v>0.2424</v>
      </c>
    </row>
    <row r="408" spans="1:17" x14ac:dyDescent="0.3">
      <c r="A408" s="40">
        <v>407</v>
      </c>
      <c r="B408" s="42">
        <v>40561</v>
      </c>
      <c r="C408" s="40">
        <v>1</v>
      </c>
      <c r="D408" s="40">
        <v>0</v>
      </c>
      <c r="E408" s="40">
        <v>1</v>
      </c>
      <c r="F408" s="40">
        <v>22</v>
      </c>
      <c r="G408" s="40" t="b">
        <v>0</v>
      </c>
      <c r="H408" s="40">
        <v>2</v>
      </c>
      <c r="I408" s="40">
        <v>2</v>
      </c>
      <c r="J408" s="40">
        <v>0.22</v>
      </c>
      <c r="K408" s="40">
        <v>0.2576</v>
      </c>
      <c r="L408" s="40">
        <v>0.93</v>
      </c>
      <c r="M408" s="40">
        <v>8.9599999999999999E-2</v>
      </c>
      <c r="N408" s="40">
        <v>0</v>
      </c>
      <c r="O408" s="40">
        <v>33</v>
      </c>
      <c r="P408" s="40">
        <v>33</v>
      </c>
      <c r="Q408" s="40">
        <v>0.2576</v>
      </c>
    </row>
    <row r="409" spans="1:17" x14ac:dyDescent="0.3">
      <c r="A409" s="40">
        <v>408</v>
      </c>
      <c r="B409" s="42">
        <v>40561</v>
      </c>
      <c r="C409" s="40">
        <v>1</v>
      </c>
      <c r="D409" s="40">
        <v>0</v>
      </c>
      <c r="E409" s="40">
        <v>1</v>
      </c>
      <c r="F409" s="40">
        <v>23</v>
      </c>
      <c r="G409" s="40" t="b">
        <v>0</v>
      </c>
      <c r="H409" s="40">
        <v>2</v>
      </c>
      <c r="I409" s="40">
        <v>2</v>
      </c>
      <c r="J409" s="40">
        <v>0.22</v>
      </c>
      <c r="K409" s="40">
        <v>0.2727</v>
      </c>
      <c r="L409" s="40">
        <v>0.93</v>
      </c>
      <c r="M409" s="40">
        <v>0.20485098360655737</v>
      </c>
      <c r="N409" s="40">
        <v>1</v>
      </c>
      <c r="O409" s="40">
        <v>19</v>
      </c>
      <c r="P409" s="40">
        <v>20</v>
      </c>
      <c r="Q409" s="40">
        <v>0.2727</v>
      </c>
    </row>
    <row r="410" spans="1:17" x14ac:dyDescent="0.3">
      <c r="A410" s="40">
        <v>409</v>
      </c>
      <c r="B410" s="42">
        <v>40562</v>
      </c>
      <c r="C410" s="40">
        <v>1</v>
      </c>
      <c r="D410" s="40">
        <v>0</v>
      </c>
      <c r="E410" s="40">
        <v>1</v>
      </c>
      <c r="F410" s="40">
        <v>0</v>
      </c>
      <c r="G410" s="40" t="b">
        <v>0</v>
      </c>
      <c r="H410" s="40">
        <v>3</v>
      </c>
      <c r="I410" s="40">
        <v>2</v>
      </c>
      <c r="J410" s="40">
        <v>0.22</v>
      </c>
      <c r="K410" s="40">
        <v>0.2727</v>
      </c>
      <c r="L410" s="40">
        <v>0.93</v>
      </c>
      <c r="M410" s="40">
        <v>0.20485098360655737</v>
      </c>
      <c r="N410" s="40">
        <v>0</v>
      </c>
      <c r="O410" s="40">
        <v>3</v>
      </c>
      <c r="P410" s="40">
        <v>3</v>
      </c>
      <c r="Q410" s="40">
        <v>0.2727</v>
      </c>
    </row>
    <row r="411" spans="1:17" x14ac:dyDescent="0.3">
      <c r="A411" s="40">
        <v>410</v>
      </c>
      <c r="B411" s="42">
        <v>40562</v>
      </c>
      <c r="C411" s="40">
        <v>1</v>
      </c>
      <c r="D411" s="40">
        <v>0</v>
      </c>
      <c r="E411" s="40">
        <v>1</v>
      </c>
      <c r="F411" s="40">
        <v>1</v>
      </c>
      <c r="G411" s="40" t="b">
        <v>0</v>
      </c>
      <c r="H411" s="40">
        <v>3</v>
      </c>
      <c r="I411" s="40">
        <v>3</v>
      </c>
      <c r="J411" s="40">
        <v>0.22</v>
      </c>
      <c r="K411" s="40">
        <v>0.2273</v>
      </c>
      <c r="L411" s="40">
        <v>0.93</v>
      </c>
      <c r="M411" s="40">
        <v>0.1343</v>
      </c>
      <c r="N411" s="40">
        <v>1</v>
      </c>
      <c r="O411" s="40">
        <v>6</v>
      </c>
      <c r="P411" s="40">
        <v>7</v>
      </c>
      <c r="Q411" s="40">
        <v>0.2273</v>
      </c>
    </row>
    <row r="412" spans="1:17" x14ac:dyDescent="0.3">
      <c r="A412" s="40">
        <v>411</v>
      </c>
      <c r="B412" s="42">
        <v>40562</v>
      </c>
      <c r="C412" s="40">
        <v>1</v>
      </c>
      <c r="D412" s="40">
        <v>0</v>
      </c>
      <c r="E412" s="40">
        <v>1</v>
      </c>
      <c r="F412" s="40">
        <v>2</v>
      </c>
      <c r="G412" s="40" t="b">
        <v>0</v>
      </c>
      <c r="H412" s="40">
        <v>3</v>
      </c>
      <c r="I412" s="40">
        <v>3</v>
      </c>
      <c r="J412" s="40">
        <v>0.22</v>
      </c>
      <c r="K412" s="40">
        <v>0.2273</v>
      </c>
      <c r="L412" s="40">
        <v>0.93</v>
      </c>
      <c r="M412" s="40">
        <v>0.1343</v>
      </c>
      <c r="N412" s="40">
        <v>0</v>
      </c>
      <c r="O412" s="40">
        <v>3</v>
      </c>
      <c r="P412" s="40">
        <v>3</v>
      </c>
      <c r="Q412" s="40">
        <v>0.2273</v>
      </c>
    </row>
    <row r="413" spans="1:17" x14ac:dyDescent="0.3">
      <c r="A413" s="40">
        <v>412</v>
      </c>
      <c r="B413" s="42">
        <v>40562</v>
      </c>
      <c r="C413" s="40">
        <v>1</v>
      </c>
      <c r="D413" s="40">
        <v>0</v>
      </c>
      <c r="E413" s="40">
        <v>1</v>
      </c>
      <c r="F413" s="40">
        <v>4</v>
      </c>
      <c r="G413" s="40" t="b">
        <v>0</v>
      </c>
      <c r="H413" s="40">
        <v>3</v>
      </c>
      <c r="I413" s="40">
        <v>3</v>
      </c>
      <c r="J413" s="40">
        <v>0.22</v>
      </c>
      <c r="K413" s="40">
        <v>0.2273</v>
      </c>
      <c r="L413" s="40">
        <v>0.93</v>
      </c>
      <c r="M413" s="40">
        <v>0.1343</v>
      </c>
      <c r="N413" s="40">
        <v>1</v>
      </c>
      <c r="O413" s="40">
        <v>1</v>
      </c>
      <c r="P413" s="40">
        <v>2</v>
      </c>
      <c r="Q413" s="40">
        <v>0.2273</v>
      </c>
    </row>
    <row r="414" spans="1:17" x14ac:dyDescent="0.3">
      <c r="A414" s="40">
        <v>413</v>
      </c>
      <c r="B414" s="42">
        <v>40562</v>
      </c>
      <c r="C414" s="40">
        <v>1</v>
      </c>
      <c r="D414" s="40">
        <v>0</v>
      </c>
      <c r="E414" s="40">
        <v>1</v>
      </c>
      <c r="F414" s="40">
        <v>5</v>
      </c>
      <c r="G414" s="40" t="b">
        <v>0</v>
      </c>
      <c r="H414" s="40">
        <v>3</v>
      </c>
      <c r="I414" s="40">
        <v>2</v>
      </c>
      <c r="J414" s="40">
        <v>0.22</v>
      </c>
      <c r="K414" s="40">
        <v>0.2576</v>
      </c>
      <c r="L414" s="40">
        <v>0.93</v>
      </c>
      <c r="M414" s="40">
        <v>8.9599999999999999E-2</v>
      </c>
      <c r="N414" s="40">
        <v>0</v>
      </c>
      <c r="O414" s="40">
        <v>7</v>
      </c>
      <c r="P414" s="40">
        <v>7</v>
      </c>
      <c r="Q414" s="40">
        <v>0.2576</v>
      </c>
    </row>
    <row r="415" spans="1:17" x14ac:dyDescent="0.3">
      <c r="A415" s="40">
        <v>414</v>
      </c>
      <c r="B415" s="42">
        <v>40562</v>
      </c>
      <c r="C415" s="40">
        <v>1</v>
      </c>
      <c r="D415" s="40">
        <v>0</v>
      </c>
      <c r="E415" s="40">
        <v>1</v>
      </c>
      <c r="F415" s="40">
        <v>6</v>
      </c>
      <c r="G415" s="40" t="b">
        <v>0</v>
      </c>
      <c r="H415" s="40">
        <v>3</v>
      </c>
      <c r="I415" s="40">
        <v>2</v>
      </c>
      <c r="J415" s="40">
        <v>0.22</v>
      </c>
      <c r="K415" s="40">
        <v>0.2576</v>
      </c>
      <c r="L415" s="40">
        <v>0.93</v>
      </c>
      <c r="M415" s="40">
        <v>8.9599999999999999E-2</v>
      </c>
      <c r="N415" s="40">
        <v>0</v>
      </c>
      <c r="O415" s="40">
        <v>32</v>
      </c>
      <c r="P415" s="40">
        <v>32</v>
      </c>
      <c r="Q415" s="40">
        <v>0.2576</v>
      </c>
    </row>
    <row r="416" spans="1:17" x14ac:dyDescent="0.3">
      <c r="A416" s="40">
        <v>415</v>
      </c>
      <c r="B416" s="42">
        <v>40562</v>
      </c>
      <c r="C416" s="40">
        <v>1</v>
      </c>
      <c r="D416" s="40">
        <v>0</v>
      </c>
      <c r="E416" s="40">
        <v>1</v>
      </c>
      <c r="F416" s="40">
        <v>7</v>
      </c>
      <c r="G416" s="40" t="b">
        <v>0</v>
      </c>
      <c r="H416" s="40">
        <v>3</v>
      </c>
      <c r="I416" s="40">
        <v>2</v>
      </c>
      <c r="J416" s="40">
        <v>0.24</v>
      </c>
      <c r="K416" s="40">
        <v>0.2576</v>
      </c>
      <c r="L416" s="40">
        <v>0.92</v>
      </c>
      <c r="M416" s="40">
        <v>0.1045</v>
      </c>
      <c r="N416" s="40">
        <v>1</v>
      </c>
      <c r="O416" s="40">
        <v>89</v>
      </c>
      <c r="P416" s="40">
        <v>90</v>
      </c>
      <c r="Q416" s="40">
        <v>0.2576</v>
      </c>
    </row>
    <row r="417" spans="1:17" x14ac:dyDescent="0.3">
      <c r="A417" s="40">
        <v>416</v>
      </c>
      <c r="B417" s="42">
        <v>40562</v>
      </c>
      <c r="C417" s="40">
        <v>1</v>
      </c>
      <c r="D417" s="40">
        <v>0</v>
      </c>
      <c r="E417" s="40">
        <v>1</v>
      </c>
      <c r="F417" s="40">
        <v>8</v>
      </c>
      <c r="G417" s="40" t="b">
        <v>0</v>
      </c>
      <c r="H417" s="40">
        <v>3</v>
      </c>
      <c r="I417" s="40">
        <v>2</v>
      </c>
      <c r="J417" s="40">
        <v>0.24</v>
      </c>
      <c r="K417" s="40">
        <v>0.2576</v>
      </c>
      <c r="L417" s="40">
        <v>0.93</v>
      </c>
      <c r="M417" s="40">
        <v>0.1045</v>
      </c>
      <c r="N417" s="40">
        <v>1</v>
      </c>
      <c r="O417" s="40">
        <v>196</v>
      </c>
      <c r="P417" s="40">
        <v>197</v>
      </c>
      <c r="Q417" s="40">
        <v>0.2576</v>
      </c>
    </row>
    <row r="418" spans="1:17" x14ac:dyDescent="0.3">
      <c r="A418" s="40">
        <v>417</v>
      </c>
      <c r="B418" s="42">
        <v>40562</v>
      </c>
      <c r="C418" s="40">
        <v>1</v>
      </c>
      <c r="D418" s="40">
        <v>0</v>
      </c>
      <c r="E418" s="40">
        <v>1</v>
      </c>
      <c r="F418" s="40">
        <v>9</v>
      </c>
      <c r="G418" s="40" t="b">
        <v>0</v>
      </c>
      <c r="H418" s="40">
        <v>3</v>
      </c>
      <c r="I418" s="40">
        <v>2</v>
      </c>
      <c r="J418" s="40">
        <v>0.24</v>
      </c>
      <c r="K418" s="40">
        <v>0.2576</v>
      </c>
      <c r="L418" s="40">
        <v>0.93</v>
      </c>
      <c r="M418" s="40">
        <v>0.1045</v>
      </c>
      <c r="N418" s="40">
        <v>2</v>
      </c>
      <c r="O418" s="40">
        <v>107</v>
      </c>
      <c r="P418" s="40">
        <v>109</v>
      </c>
      <c r="Q418" s="40">
        <v>0.2576</v>
      </c>
    </row>
    <row r="419" spans="1:17" x14ac:dyDescent="0.3">
      <c r="A419" s="40">
        <v>418</v>
      </c>
      <c r="B419" s="42">
        <v>40562</v>
      </c>
      <c r="C419" s="40">
        <v>1</v>
      </c>
      <c r="D419" s="40">
        <v>0</v>
      </c>
      <c r="E419" s="40">
        <v>1</v>
      </c>
      <c r="F419" s="40">
        <v>10</v>
      </c>
      <c r="G419" s="40" t="b">
        <v>0</v>
      </c>
      <c r="H419" s="40">
        <v>3</v>
      </c>
      <c r="I419" s="40">
        <v>2</v>
      </c>
      <c r="J419" s="40">
        <v>0.26</v>
      </c>
      <c r="K419" s="40">
        <v>0.2727</v>
      </c>
      <c r="L419" s="40">
        <v>0.93</v>
      </c>
      <c r="M419" s="40">
        <v>0.1343</v>
      </c>
      <c r="N419" s="40">
        <v>1</v>
      </c>
      <c r="O419" s="40">
        <v>46</v>
      </c>
      <c r="P419" s="40">
        <v>47</v>
      </c>
      <c r="Q419" s="40">
        <v>0.2727</v>
      </c>
    </row>
    <row r="420" spans="1:17" x14ac:dyDescent="0.3">
      <c r="A420" s="40">
        <v>419</v>
      </c>
      <c r="B420" s="42">
        <v>40562</v>
      </c>
      <c r="C420" s="40">
        <v>1</v>
      </c>
      <c r="D420" s="40">
        <v>0</v>
      </c>
      <c r="E420" s="40">
        <v>1</v>
      </c>
      <c r="F420" s="40">
        <v>11</v>
      </c>
      <c r="G420" s="40" t="b">
        <v>0</v>
      </c>
      <c r="H420" s="40">
        <v>3</v>
      </c>
      <c r="I420" s="40">
        <v>2</v>
      </c>
      <c r="J420" s="40">
        <v>0.28000000000000003</v>
      </c>
      <c r="K420" s="40">
        <v>0.30299999999999999</v>
      </c>
      <c r="L420" s="40">
        <v>0.87</v>
      </c>
      <c r="M420" s="40">
        <v>8.9599999999999999E-2</v>
      </c>
      <c r="N420" s="40">
        <v>5</v>
      </c>
      <c r="O420" s="40">
        <v>47</v>
      </c>
      <c r="P420" s="40">
        <v>52</v>
      </c>
      <c r="Q420" s="40">
        <v>0.30299999999999999</v>
      </c>
    </row>
    <row r="421" spans="1:17" x14ac:dyDescent="0.3">
      <c r="A421" s="40">
        <v>420</v>
      </c>
      <c r="B421" s="42">
        <v>40562</v>
      </c>
      <c r="C421" s="40">
        <v>1</v>
      </c>
      <c r="D421" s="40">
        <v>0</v>
      </c>
      <c r="E421" s="40">
        <v>1</v>
      </c>
      <c r="F421" s="40">
        <v>12</v>
      </c>
      <c r="G421" s="40" t="b">
        <v>0</v>
      </c>
      <c r="H421" s="40">
        <v>3</v>
      </c>
      <c r="I421" s="40">
        <v>2</v>
      </c>
      <c r="J421" s="40">
        <v>0.3</v>
      </c>
      <c r="K421" s="40">
        <v>0.31819999999999998</v>
      </c>
      <c r="L421" s="40">
        <v>0.81</v>
      </c>
      <c r="M421" s="40">
        <v>8.9599999999999999E-2</v>
      </c>
      <c r="N421" s="40">
        <v>5</v>
      </c>
      <c r="O421" s="40">
        <v>65</v>
      </c>
      <c r="P421" s="40">
        <v>70</v>
      </c>
      <c r="Q421" s="40">
        <v>0.31819999999999998</v>
      </c>
    </row>
    <row r="422" spans="1:17" x14ac:dyDescent="0.3">
      <c r="A422" s="40">
        <v>421</v>
      </c>
      <c r="B422" s="42">
        <v>40562</v>
      </c>
      <c r="C422" s="40">
        <v>1</v>
      </c>
      <c r="D422" s="40">
        <v>0</v>
      </c>
      <c r="E422" s="40">
        <v>1</v>
      </c>
      <c r="F422" s="40">
        <v>13</v>
      </c>
      <c r="G422" s="40" t="b">
        <v>0</v>
      </c>
      <c r="H422" s="40">
        <v>3</v>
      </c>
      <c r="I422" s="40">
        <v>1</v>
      </c>
      <c r="J422" s="40">
        <v>0.4</v>
      </c>
      <c r="K422" s="40">
        <v>0.40910000000000002</v>
      </c>
      <c r="L422" s="40">
        <v>0.62</v>
      </c>
      <c r="M422" s="40">
        <v>0.28360000000000002</v>
      </c>
      <c r="N422" s="40">
        <v>11</v>
      </c>
      <c r="O422" s="40">
        <v>67</v>
      </c>
      <c r="P422" s="40">
        <v>78</v>
      </c>
      <c r="Q422" s="40">
        <v>0.40910000000000002</v>
      </c>
    </row>
    <row r="423" spans="1:17" x14ac:dyDescent="0.3">
      <c r="A423" s="40">
        <v>422</v>
      </c>
      <c r="B423" s="42">
        <v>40562</v>
      </c>
      <c r="C423" s="40">
        <v>1</v>
      </c>
      <c r="D423" s="40">
        <v>0</v>
      </c>
      <c r="E423" s="40">
        <v>1</v>
      </c>
      <c r="F423" s="40">
        <v>14</v>
      </c>
      <c r="G423" s="40" t="b">
        <v>0</v>
      </c>
      <c r="H423" s="40">
        <v>3</v>
      </c>
      <c r="I423" s="40">
        <v>1</v>
      </c>
      <c r="J423" s="40">
        <v>0.4</v>
      </c>
      <c r="K423" s="40">
        <v>0.40910000000000002</v>
      </c>
      <c r="L423" s="40">
        <v>0.57999999999999996</v>
      </c>
      <c r="M423" s="40">
        <v>0.25369999999999998</v>
      </c>
      <c r="N423" s="40">
        <v>7</v>
      </c>
      <c r="O423" s="40">
        <v>68</v>
      </c>
      <c r="P423" s="40">
        <v>75</v>
      </c>
      <c r="Q423" s="40">
        <v>0.40910000000000002</v>
      </c>
    </row>
    <row r="424" spans="1:17" x14ac:dyDescent="0.3">
      <c r="A424" s="40">
        <v>423</v>
      </c>
      <c r="B424" s="42">
        <v>40562</v>
      </c>
      <c r="C424" s="40">
        <v>1</v>
      </c>
      <c r="D424" s="40">
        <v>0</v>
      </c>
      <c r="E424" s="40">
        <v>1</v>
      </c>
      <c r="F424" s="40">
        <v>15</v>
      </c>
      <c r="G424" s="40" t="b">
        <v>0</v>
      </c>
      <c r="H424" s="40">
        <v>3</v>
      </c>
      <c r="I424" s="40">
        <v>1</v>
      </c>
      <c r="J424" s="40">
        <v>0.4</v>
      </c>
      <c r="K424" s="40">
        <v>0.40910000000000002</v>
      </c>
      <c r="L424" s="40">
        <v>0.54</v>
      </c>
      <c r="M424" s="40">
        <v>0.28360000000000002</v>
      </c>
      <c r="N424" s="40">
        <v>4</v>
      </c>
      <c r="O424" s="40">
        <v>78</v>
      </c>
      <c r="P424" s="40">
        <v>82</v>
      </c>
      <c r="Q424" s="40">
        <v>0.40910000000000002</v>
      </c>
    </row>
    <row r="425" spans="1:17" x14ac:dyDescent="0.3">
      <c r="A425" s="40">
        <v>424</v>
      </c>
      <c r="B425" s="42">
        <v>40562</v>
      </c>
      <c r="C425" s="40">
        <v>1</v>
      </c>
      <c r="D425" s="40">
        <v>0</v>
      </c>
      <c r="E425" s="40">
        <v>1</v>
      </c>
      <c r="F425" s="40">
        <v>16</v>
      </c>
      <c r="G425" s="40" t="b">
        <v>0</v>
      </c>
      <c r="H425" s="40">
        <v>3</v>
      </c>
      <c r="I425" s="40">
        <v>1</v>
      </c>
      <c r="J425" s="40">
        <v>0.38</v>
      </c>
      <c r="K425" s="40">
        <v>0.39389999999999997</v>
      </c>
      <c r="L425" s="40">
        <v>0.57999999999999996</v>
      </c>
      <c r="M425" s="40">
        <v>0.3881</v>
      </c>
      <c r="N425" s="40">
        <v>10</v>
      </c>
      <c r="O425" s="40">
        <v>94</v>
      </c>
      <c r="P425" s="40">
        <v>104</v>
      </c>
      <c r="Q425" s="40">
        <v>0.39389999999999997</v>
      </c>
    </row>
    <row r="426" spans="1:17" x14ac:dyDescent="0.3">
      <c r="A426" s="40">
        <v>425</v>
      </c>
      <c r="B426" s="42">
        <v>40562</v>
      </c>
      <c r="C426" s="40">
        <v>1</v>
      </c>
      <c r="D426" s="40">
        <v>0</v>
      </c>
      <c r="E426" s="40">
        <v>1</v>
      </c>
      <c r="F426" s="40">
        <v>17</v>
      </c>
      <c r="G426" s="40" t="b">
        <v>0</v>
      </c>
      <c r="H426" s="40">
        <v>3</v>
      </c>
      <c r="I426" s="40">
        <v>1</v>
      </c>
      <c r="J426" s="40">
        <v>0.36</v>
      </c>
      <c r="K426" s="40">
        <v>0.33329999999999999</v>
      </c>
      <c r="L426" s="40">
        <v>0.56999999999999995</v>
      </c>
      <c r="M426" s="40">
        <v>0.32840000000000003</v>
      </c>
      <c r="N426" s="40">
        <v>7</v>
      </c>
      <c r="O426" s="40">
        <v>190</v>
      </c>
      <c r="P426" s="40">
        <v>197</v>
      </c>
      <c r="Q426" s="40">
        <v>0.33329999999999999</v>
      </c>
    </row>
    <row r="427" spans="1:17" x14ac:dyDescent="0.3">
      <c r="A427" s="40">
        <v>426</v>
      </c>
      <c r="B427" s="42">
        <v>40562</v>
      </c>
      <c r="C427" s="40">
        <v>1</v>
      </c>
      <c r="D427" s="40">
        <v>0</v>
      </c>
      <c r="E427" s="40">
        <v>1</v>
      </c>
      <c r="F427" s="40">
        <v>18</v>
      </c>
      <c r="G427" s="40" t="b">
        <v>0</v>
      </c>
      <c r="H427" s="40">
        <v>3</v>
      </c>
      <c r="I427" s="40">
        <v>1</v>
      </c>
      <c r="J427" s="40">
        <v>0.34</v>
      </c>
      <c r="K427" s="40">
        <v>0.31819999999999998</v>
      </c>
      <c r="L427" s="40">
        <v>0.61</v>
      </c>
      <c r="M427" s="40">
        <v>0.28360000000000002</v>
      </c>
      <c r="N427" s="40">
        <v>5</v>
      </c>
      <c r="O427" s="40">
        <v>156</v>
      </c>
      <c r="P427" s="40">
        <v>161</v>
      </c>
      <c r="Q427" s="40">
        <v>0.31819999999999998</v>
      </c>
    </row>
    <row r="428" spans="1:17" x14ac:dyDescent="0.3">
      <c r="A428" s="40">
        <v>427</v>
      </c>
      <c r="B428" s="42">
        <v>40562</v>
      </c>
      <c r="C428" s="40">
        <v>1</v>
      </c>
      <c r="D428" s="40">
        <v>0</v>
      </c>
      <c r="E428" s="40">
        <v>1</v>
      </c>
      <c r="F428" s="40">
        <v>19</v>
      </c>
      <c r="G428" s="40" t="b">
        <v>0</v>
      </c>
      <c r="H428" s="40">
        <v>3</v>
      </c>
      <c r="I428" s="40">
        <v>1</v>
      </c>
      <c r="J428" s="40">
        <v>0.32</v>
      </c>
      <c r="K428" s="40">
        <v>0.28789999999999999</v>
      </c>
      <c r="L428" s="40">
        <v>0.56999999999999995</v>
      </c>
      <c r="M428" s="40">
        <v>0.41789999999999999</v>
      </c>
      <c r="N428" s="40">
        <v>4</v>
      </c>
      <c r="O428" s="40">
        <v>108</v>
      </c>
      <c r="P428" s="40">
        <v>112</v>
      </c>
      <c r="Q428" s="40">
        <v>0.28789999999999999</v>
      </c>
    </row>
    <row r="429" spans="1:17" x14ac:dyDescent="0.3">
      <c r="A429" s="40">
        <v>428</v>
      </c>
      <c r="B429" s="42">
        <v>40562</v>
      </c>
      <c r="C429" s="40">
        <v>1</v>
      </c>
      <c r="D429" s="40">
        <v>0</v>
      </c>
      <c r="E429" s="40">
        <v>1</v>
      </c>
      <c r="F429" s="40">
        <v>20</v>
      </c>
      <c r="G429" s="40" t="b">
        <v>0</v>
      </c>
      <c r="H429" s="40">
        <v>3</v>
      </c>
      <c r="I429" s="40">
        <v>1</v>
      </c>
      <c r="J429" s="40">
        <v>0.32</v>
      </c>
      <c r="K429" s="40">
        <v>0.30299999999999999</v>
      </c>
      <c r="L429" s="40">
        <v>0.49</v>
      </c>
      <c r="M429" s="40">
        <v>0.29849999999999999</v>
      </c>
      <c r="N429" s="40">
        <v>2</v>
      </c>
      <c r="O429" s="40">
        <v>74</v>
      </c>
      <c r="P429" s="40">
        <v>76</v>
      </c>
      <c r="Q429" s="40">
        <v>0.30299999999999999</v>
      </c>
    </row>
    <row r="430" spans="1:17" x14ac:dyDescent="0.3">
      <c r="A430" s="40">
        <v>429</v>
      </c>
      <c r="B430" s="42">
        <v>40562</v>
      </c>
      <c r="C430" s="40">
        <v>1</v>
      </c>
      <c r="D430" s="40">
        <v>0</v>
      </c>
      <c r="E430" s="40">
        <v>1</v>
      </c>
      <c r="F430" s="40">
        <v>21</v>
      </c>
      <c r="G430" s="40" t="b">
        <v>0</v>
      </c>
      <c r="H430" s="40">
        <v>3</v>
      </c>
      <c r="I430" s="40">
        <v>1</v>
      </c>
      <c r="J430" s="40">
        <v>0.32</v>
      </c>
      <c r="K430" s="40">
        <v>0.28789999999999999</v>
      </c>
      <c r="L430" s="40">
        <v>0.49</v>
      </c>
      <c r="M430" s="40">
        <v>0.41789999999999999</v>
      </c>
      <c r="N430" s="40">
        <v>4</v>
      </c>
      <c r="O430" s="40">
        <v>55</v>
      </c>
      <c r="P430" s="40">
        <v>59</v>
      </c>
      <c r="Q430" s="40">
        <v>0.28789999999999999</v>
      </c>
    </row>
    <row r="431" spans="1:17" x14ac:dyDescent="0.3">
      <c r="A431" s="40">
        <v>430</v>
      </c>
      <c r="B431" s="42">
        <v>40562</v>
      </c>
      <c r="C431" s="40">
        <v>1</v>
      </c>
      <c r="D431" s="40">
        <v>0</v>
      </c>
      <c r="E431" s="40">
        <v>1</v>
      </c>
      <c r="F431" s="40">
        <v>22</v>
      </c>
      <c r="G431" s="40" t="b">
        <v>0</v>
      </c>
      <c r="H431" s="40">
        <v>3</v>
      </c>
      <c r="I431" s="40">
        <v>1</v>
      </c>
      <c r="J431" s="40">
        <v>0.3</v>
      </c>
      <c r="K431" s="40">
        <v>0.30299999999999999</v>
      </c>
      <c r="L431" s="40">
        <v>0.52</v>
      </c>
      <c r="M431" s="40">
        <v>0.16420000000000001</v>
      </c>
      <c r="N431" s="40">
        <v>6</v>
      </c>
      <c r="O431" s="40">
        <v>53</v>
      </c>
      <c r="P431" s="40">
        <v>59</v>
      </c>
      <c r="Q431" s="40">
        <v>0.30299999999999999</v>
      </c>
    </row>
    <row r="432" spans="1:17" x14ac:dyDescent="0.3">
      <c r="A432" s="40">
        <v>431</v>
      </c>
      <c r="B432" s="42">
        <v>40562</v>
      </c>
      <c r="C432" s="40">
        <v>1</v>
      </c>
      <c r="D432" s="40">
        <v>0</v>
      </c>
      <c r="E432" s="40">
        <v>1</v>
      </c>
      <c r="F432" s="40">
        <v>23</v>
      </c>
      <c r="G432" s="40" t="b">
        <v>0</v>
      </c>
      <c r="H432" s="40">
        <v>3</v>
      </c>
      <c r="I432" s="40">
        <v>1</v>
      </c>
      <c r="J432" s="40">
        <v>0.3</v>
      </c>
      <c r="K432" s="40">
        <v>0.2727</v>
      </c>
      <c r="L432" s="40">
        <v>0.52</v>
      </c>
      <c r="M432" s="40">
        <v>0.4627</v>
      </c>
      <c r="N432" s="40">
        <v>1</v>
      </c>
      <c r="O432" s="40">
        <v>27</v>
      </c>
      <c r="P432" s="40">
        <v>28</v>
      </c>
      <c r="Q432" s="40">
        <v>0.2727</v>
      </c>
    </row>
    <row r="433" spans="1:17" x14ac:dyDescent="0.3">
      <c r="A433" s="40">
        <v>432</v>
      </c>
      <c r="B433" s="42">
        <v>40563</v>
      </c>
      <c r="C433" s="40">
        <v>1</v>
      </c>
      <c r="D433" s="40">
        <v>0</v>
      </c>
      <c r="E433" s="40">
        <v>1</v>
      </c>
      <c r="F433" s="40">
        <v>0</v>
      </c>
      <c r="G433" s="40" t="b">
        <v>0</v>
      </c>
      <c r="H433" s="40">
        <v>4</v>
      </c>
      <c r="I433" s="40">
        <v>1</v>
      </c>
      <c r="J433" s="40">
        <v>0.26</v>
      </c>
      <c r="K433" s="40">
        <v>0.2273</v>
      </c>
      <c r="L433" s="40">
        <v>0.56000000000000005</v>
      </c>
      <c r="M433" s="40">
        <v>0.3881</v>
      </c>
      <c r="N433" s="40">
        <v>5</v>
      </c>
      <c r="O433" s="40">
        <v>8</v>
      </c>
      <c r="P433" s="40">
        <v>13</v>
      </c>
      <c r="Q433" s="40">
        <v>0.2273</v>
      </c>
    </row>
    <row r="434" spans="1:17" x14ac:dyDescent="0.3">
      <c r="A434" s="40">
        <v>433</v>
      </c>
      <c r="B434" s="42">
        <v>40563</v>
      </c>
      <c r="C434" s="40">
        <v>1</v>
      </c>
      <c r="D434" s="40">
        <v>0</v>
      </c>
      <c r="E434" s="40">
        <v>1</v>
      </c>
      <c r="F434" s="40">
        <v>1</v>
      </c>
      <c r="G434" s="40" t="b">
        <v>0</v>
      </c>
      <c r="H434" s="40">
        <v>4</v>
      </c>
      <c r="I434" s="40">
        <v>1</v>
      </c>
      <c r="J434" s="40">
        <v>0.26</v>
      </c>
      <c r="K434" s="40">
        <v>0.2727</v>
      </c>
      <c r="L434" s="40">
        <v>0.56000000000000005</v>
      </c>
      <c r="M434" s="40">
        <v>0.20485098360655737</v>
      </c>
      <c r="N434" s="40">
        <v>2</v>
      </c>
      <c r="O434" s="40">
        <v>3</v>
      </c>
      <c r="P434" s="40">
        <v>5</v>
      </c>
      <c r="Q434" s="40">
        <v>0.2727</v>
      </c>
    </row>
    <row r="435" spans="1:17" x14ac:dyDescent="0.3">
      <c r="A435" s="40">
        <v>434</v>
      </c>
      <c r="B435" s="42">
        <v>40563</v>
      </c>
      <c r="C435" s="40">
        <v>1</v>
      </c>
      <c r="D435" s="40">
        <v>0</v>
      </c>
      <c r="E435" s="40">
        <v>1</v>
      </c>
      <c r="F435" s="40">
        <v>2</v>
      </c>
      <c r="G435" s="40" t="b">
        <v>0</v>
      </c>
      <c r="H435" s="40">
        <v>4</v>
      </c>
      <c r="I435" s="40">
        <v>1</v>
      </c>
      <c r="J435" s="40">
        <v>0.26</v>
      </c>
      <c r="K435" s="40">
        <v>0.2727</v>
      </c>
      <c r="L435" s="40">
        <v>0.56000000000000005</v>
      </c>
      <c r="M435" s="40">
        <v>0.20485098360655737</v>
      </c>
      <c r="N435" s="40">
        <v>0</v>
      </c>
      <c r="O435" s="40">
        <v>2</v>
      </c>
      <c r="P435" s="40">
        <v>2</v>
      </c>
      <c r="Q435" s="40">
        <v>0.2727</v>
      </c>
    </row>
    <row r="436" spans="1:17" x14ac:dyDescent="0.3">
      <c r="A436" s="40">
        <v>435</v>
      </c>
      <c r="B436" s="42">
        <v>40563</v>
      </c>
      <c r="C436" s="40">
        <v>1</v>
      </c>
      <c r="D436" s="40">
        <v>0</v>
      </c>
      <c r="E436" s="40">
        <v>1</v>
      </c>
      <c r="F436" s="40">
        <v>3</v>
      </c>
      <c r="G436" s="40" t="b">
        <v>0</v>
      </c>
      <c r="H436" s="40">
        <v>4</v>
      </c>
      <c r="I436" s="40">
        <v>1</v>
      </c>
      <c r="J436" s="40">
        <v>0.26</v>
      </c>
      <c r="K436" s="40">
        <v>0.2576</v>
      </c>
      <c r="L436" s="40">
        <v>0.56000000000000005</v>
      </c>
      <c r="M436" s="40">
        <v>0.16420000000000001</v>
      </c>
      <c r="N436" s="40">
        <v>0</v>
      </c>
      <c r="O436" s="40">
        <v>1</v>
      </c>
      <c r="P436" s="40">
        <v>1</v>
      </c>
      <c r="Q436" s="40">
        <v>0.2576</v>
      </c>
    </row>
    <row r="437" spans="1:17" x14ac:dyDescent="0.3">
      <c r="A437" s="40">
        <v>436</v>
      </c>
      <c r="B437" s="42">
        <v>40563</v>
      </c>
      <c r="C437" s="40">
        <v>1</v>
      </c>
      <c r="D437" s="40">
        <v>0</v>
      </c>
      <c r="E437" s="40">
        <v>1</v>
      </c>
      <c r="F437" s="40">
        <v>4</v>
      </c>
      <c r="G437" s="40" t="b">
        <v>0</v>
      </c>
      <c r="H437" s="40">
        <v>4</v>
      </c>
      <c r="I437" s="40">
        <v>1</v>
      </c>
      <c r="J437" s="40">
        <v>0.26</v>
      </c>
      <c r="K437" s="40">
        <v>0.2576</v>
      </c>
      <c r="L437" s="40">
        <v>0.56000000000000005</v>
      </c>
      <c r="M437" s="40">
        <v>0.16420000000000001</v>
      </c>
      <c r="N437" s="40">
        <v>0</v>
      </c>
      <c r="O437" s="40">
        <v>1</v>
      </c>
      <c r="P437" s="40">
        <v>1</v>
      </c>
      <c r="Q437" s="40">
        <v>0.2576</v>
      </c>
    </row>
    <row r="438" spans="1:17" x14ac:dyDescent="0.3">
      <c r="A438" s="40">
        <v>437</v>
      </c>
      <c r="B438" s="42">
        <v>40563</v>
      </c>
      <c r="C438" s="40">
        <v>1</v>
      </c>
      <c r="D438" s="40">
        <v>0</v>
      </c>
      <c r="E438" s="40">
        <v>1</v>
      </c>
      <c r="F438" s="40">
        <v>5</v>
      </c>
      <c r="G438" s="40" t="b">
        <v>0</v>
      </c>
      <c r="H438" s="40">
        <v>4</v>
      </c>
      <c r="I438" s="40">
        <v>1</v>
      </c>
      <c r="J438" s="40">
        <v>0.24</v>
      </c>
      <c r="K438" s="40">
        <v>0.2273</v>
      </c>
      <c r="L438" s="40">
        <v>0.6</v>
      </c>
      <c r="M438" s="40">
        <v>0.22389999999999999</v>
      </c>
      <c r="N438" s="40">
        <v>0</v>
      </c>
      <c r="O438" s="40">
        <v>6</v>
      </c>
      <c r="P438" s="40">
        <v>6</v>
      </c>
      <c r="Q438" s="40">
        <v>0.2273</v>
      </c>
    </row>
    <row r="439" spans="1:17" x14ac:dyDescent="0.3">
      <c r="A439" s="40">
        <v>438</v>
      </c>
      <c r="B439" s="42">
        <v>40563</v>
      </c>
      <c r="C439" s="40">
        <v>1</v>
      </c>
      <c r="D439" s="40">
        <v>0</v>
      </c>
      <c r="E439" s="40">
        <v>1</v>
      </c>
      <c r="F439" s="40">
        <v>6</v>
      </c>
      <c r="G439" s="40" t="b">
        <v>0</v>
      </c>
      <c r="H439" s="40">
        <v>4</v>
      </c>
      <c r="I439" s="40">
        <v>1</v>
      </c>
      <c r="J439" s="40">
        <v>0.22</v>
      </c>
      <c r="K439" s="40">
        <v>0.21210000000000001</v>
      </c>
      <c r="L439" s="40">
        <v>0.6</v>
      </c>
      <c r="M439" s="40">
        <v>0.22389999999999999</v>
      </c>
      <c r="N439" s="40">
        <v>0</v>
      </c>
      <c r="O439" s="40">
        <v>35</v>
      </c>
      <c r="P439" s="40">
        <v>35</v>
      </c>
      <c r="Q439" s="40">
        <v>0.21210000000000001</v>
      </c>
    </row>
    <row r="440" spans="1:17" x14ac:dyDescent="0.3">
      <c r="A440" s="40">
        <v>439</v>
      </c>
      <c r="B440" s="42">
        <v>40563</v>
      </c>
      <c r="C440" s="40">
        <v>1</v>
      </c>
      <c r="D440" s="40">
        <v>0</v>
      </c>
      <c r="E440" s="40">
        <v>1</v>
      </c>
      <c r="F440" s="40">
        <v>7</v>
      </c>
      <c r="G440" s="40" t="b">
        <v>0</v>
      </c>
      <c r="H440" s="40">
        <v>4</v>
      </c>
      <c r="I440" s="40">
        <v>1</v>
      </c>
      <c r="J440" s="40">
        <v>0.22</v>
      </c>
      <c r="K440" s="40">
        <v>0.21210000000000001</v>
      </c>
      <c r="L440" s="40">
        <v>0.55000000000000004</v>
      </c>
      <c r="M440" s="40">
        <v>0.22389999999999999</v>
      </c>
      <c r="N440" s="40">
        <v>1</v>
      </c>
      <c r="O440" s="40">
        <v>100</v>
      </c>
      <c r="P440" s="40">
        <v>101</v>
      </c>
      <c r="Q440" s="40">
        <v>0.21210000000000001</v>
      </c>
    </row>
    <row r="441" spans="1:17" x14ac:dyDescent="0.3">
      <c r="A441" s="40">
        <v>440</v>
      </c>
      <c r="B441" s="42">
        <v>40563</v>
      </c>
      <c r="C441" s="40">
        <v>1</v>
      </c>
      <c r="D441" s="40">
        <v>0</v>
      </c>
      <c r="E441" s="40">
        <v>1</v>
      </c>
      <c r="F441" s="40">
        <v>8</v>
      </c>
      <c r="G441" s="40" t="b">
        <v>0</v>
      </c>
      <c r="H441" s="40">
        <v>4</v>
      </c>
      <c r="I441" s="40">
        <v>1</v>
      </c>
      <c r="J441" s="40">
        <v>0.22</v>
      </c>
      <c r="K441" s="40">
        <v>0.21210000000000001</v>
      </c>
      <c r="L441" s="40">
        <v>0.55000000000000004</v>
      </c>
      <c r="M441" s="40">
        <v>0.28360000000000002</v>
      </c>
      <c r="N441" s="40">
        <v>2</v>
      </c>
      <c r="O441" s="40">
        <v>247</v>
      </c>
      <c r="P441" s="40">
        <v>249</v>
      </c>
      <c r="Q441" s="40">
        <v>0.21210000000000001</v>
      </c>
    </row>
    <row r="442" spans="1:17" x14ac:dyDescent="0.3">
      <c r="A442" s="40">
        <v>441</v>
      </c>
      <c r="B442" s="42">
        <v>40563</v>
      </c>
      <c r="C442" s="40">
        <v>1</v>
      </c>
      <c r="D442" s="40">
        <v>0</v>
      </c>
      <c r="E442" s="40">
        <v>1</v>
      </c>
      <c r="F442" s="40">
        <v>9</v>
      </c>
      <c r="G442" s="40" t="b">
        <v>0</v>
      </c>
      <c r="H442" s="40">
        <v>4</v>
      </c>
      <c r="I442" s="40">
        <v>2</v>
      </c>
      <c r="J442" s="40">
        <v>0.24</v>
      </c>
      <c r="K442" s="40">
        <v>0.2273</v>
      </c>
      <c r="L442" s="40">
        <v>0.52</v>
      </c>
      <c r="M442" s="40">
        <v>0.22389999999999999</v>
      </c>
      <c r="N442" s="40">
        <v>3</v>
      </c>
      <c r="O442" s="40">
        <v>140</v>
      </c>
      <c r="P442" s="40">
        <v>143</v>
      </c>
      <c r="Q442" s="40">
        <v>0.2273</v>
      </c>
    </row>
    <row r="443" spans="1:17" x14ac:dyDescent="0.3">
      <c r="A443" s="40">
        <v>442</v>
      </c>
      <c r="B443" s="42">
        <v>40563</v>
      </c>
      <c r="C443" s="40">
        <v>1</v>
      </c>
      <c r="D443" s="40">
        <v>0</v>
      </c>
      <c r="E443" s="40">
        <v>1</v>
      </c>
      <c r="F443" s="40">
        <v>10</v>
      </c>
      <c r="G443" s="40" t="b">
        <v>0</v>
      </c>
      <c r="H443" s="40">
        <v>4</v>
      </c>
      <c r="I443" s="40">
        <v>1</v>
      </c>
      <c r="J443" s="40">
        <v>0.26</v>
      </c>
      <c r="K443" s="40">
        <v>0.2273</v>
      </c>
      <c r="L443" s="40">
        <v>0.48</v>
      </c>
      <c r="M443" s="40">
        <v>0.29849999999999999</v>
      </c>
      <c r="N443" s="40">
        <v>1</v>
      </c>
      <c r="O443" s="40">
        <v>56</v>
      </c>
      <c r="P443" s="40">
        <v>57</v>
      </c>
      <c r="Q443" s="40">
        <v>0.2273</v>
      </c>
    </row>
    <row r="444" spans="1:17" x14ac:dyDescent="0.3">
      <c r="A444" s="40">
        <v>443</v>
      </c>
      <c r="B444" s="42">
        <v>40563</v>
      </c>
      <c r="C444" s="40">
        <v>1</v>
      </c>
      <c r="D444" s="40">
        <v>0</v>
      </c>
      <c r="E444" s="40">
        <v>1</v>
      </c>
      <c r="F444" s="40">
        <v>11</v>
      </c>
      <c r="G444" s="40" t="b">
        <v>0</v>
      </c>
      <c r="H444" s="40">
        <v>4</v>
      </c>
      <c r="I444" s="40">
        <v>2</v>
      </c>
      <c r="J444" s="40">
        <v>0.28000000000000003</v>
      </c>
      <c r="K444" s="40">
        <v>0.2727</v>
      </c>
      <c r="L444" s="40">
        <v>0.45</v>
      </c>
      <c r="M444" s="40">
        <v>0.16420000000000001</v>
      </c>
      <c r="N444" s="40">
        <v>5</v>
      </c>
      <c r="O444" s="40">
        <v>63</v>
      </c>
      <c r="P444" s="40">
        <v>68</v>
      </c>
      <c r="Q444" s="40">
        <v>0.2727</v>
      </c>
    </row>
    <row r="445" spans="1:17" x14ac:dyDescent="0.3">
      <c r="A445" s="40">
        <v>444</v>
      </c>
      <c r="B445" s="42">
        <v>40563</v>
      </c>
      <c r="C445" s="40">
        <v>1</v>
      </c>
      <c r="D445" s="40">
        <v>0</v>
      </c>
      <c r="E445" s="40">
        <v>1</v>
      </c>
      <c r="F445" s="40">
        <v>12</v>
      </c>
      <c r="G445" s="40" t="b">
        <v>0</v>
      </c>
      <c r="H445" s="40">
        <v>4</v>
      </c>
      <c r="I445" s="40">
        <v>2</v>
      </c>
      <c r="J445" s="40">
        <v>0.3</v>
      </c>
      <c r="K445" s="40">
        <v>0.33329999999999999</v>
      </c>
      <c r="L445" s="40">
        <v>0.42</v>
      </c>
      <c r="M445" s="40">
        <v>0.20485098360655737</v>
      </c>
      <c r="N445" s="40">
        <v>7</v>
      </c>
      <c r="O445" s="40">
        <v>77</v>
      </c>
      <c r="P445" s="40">
        <v>84</v>
      </c>
      <c r="Q445" s="40">
        <v>0.33329999999999999</v>
      </c>
    </row>
    <row r="446" spans="1:17" x14ac:dyDescent="0.3">
      <c r="A446" s="40">
        <v>445</v>
      </c>
      <c r="B446" s="42">
        <v>40563</v>
      </c>
      <c r="C446" s="40">
        <v>1</v>
      </c>
      <c r="D446" s="40">
        <v>0</v>
      </c>
      <c r="E446" s="40">
        <v>1</v>
      </c>
      <c r="F446" s="40">
        <v>13</v>
      </c>
      <c r="G446" s="40" t="b">
        <v>0</v>
      </c>
      <c r="H446" s="40">
        <v>4</v>
      </c>
      <c r="I446" s="40">
        <v>2</v>
      </c>
      <c r="J446" s="40">
        <v>0.28000000000000003</v>
      </c>
      <c r="K446" s="40">
        <v>0.28789999999999999</v>
      </c>
      <c r="L446" s="40">
        <v>0.45</v>
      </c>
      <c r="M446" s="40">
        <v>0.1045</v>
      </c>
      <c r="N446" s="40">
        <v>12</v>
      </c>
      <c r="O446" s="40">
        <v>86</v>
      </c>
      <c r="P446" s="40">
        <v>98</v>
      </c>
      <c r="Q446" s="40">
        <v>0.28789999999999999</v>
      </c>
    </row>
    <row r="447" spans="1:17" x14ac:dyDescent="0.3">
      <c r="A447" s="40">
        <v>446</v>
      </c>
      <c r="B447" s="42">
        <v>40563</v>
      </c>
      <c r="C447" s="40">
        <v>1</v>
      </c>
      <c r="D447" s="40">
        <v>0</v>
      </c>
      <c r="E447" s="40">
        <v>1</v>
      </c>
      <c r="F447" s="40">
        <v>14</v>
      </c>
      <c r="G447" s="40" t="b">
        <v>0</v>
      </c>
      <c r="H447" s="40">
        <v>4</v>
      </c>
      <c r="I447" s="40">
        <v>2</v>
      </c>
      <c r="J447" s="40">
        <v>0.3</v>
      </c>
      <c r="K447" s="40">
        <v>0.30299999999999999</v>
      </c>
      <c r="L447" s="40">
        <v>0.45</v>
      </c>
      <c r="M447" s="40">
        <v>0.1343</v>
      </c>
      <c r="N447" s="40">
        <v>6</v>
      </c>
      <c r="O447" s="40">
        <v>75</v>
      </c>
      <c r="P447" s="40">
        <v>81</v>
      </c>
      <c r="Q447" s="40">
        <v>0.30299999999999999</v>
      </c>
    </row>
    <row r="448" spans="1:17" x14ac:dyDescent="0.3">
      <c r="A448" s="40">
        <v>447</v>
      </c>
      <c r="B448" s="42">
        <v>40563</v>
      </c>
      <c r="C448" s="40">
        <v>1</v>
      </c>
      <c r="D448" s="40">
        <v>0</v>
      </c>
      <c r="E448" s="40">
        <v>1</v>
      </c>
      <c r="F448" s="40">
        <v>15</v>
      </c>
      <c r="G448" s="40" t="b">
        <v>0</v>
      </c>
      <c r="H448" s="40">
        <v>4</v>
      </c>
      <c r="I448" s="40">
        <v>2</v>
      </c>
      <c r="J448" s="40">
        <v>0.32</v>
      </c>
      <c r="K448" s="40">
        <v>0.31819999999999998</v>
      </c>
      <c r="L448" s="40">
        <v>0.45</v>
      </c>
      <c r="M448" s="40">
        <v>0.19400000000000001</v>
      </c>
      <c r="N448" s="40">
        <v>8</v>
      </c>
      <c r="O448" s="40">
        <v>62</v>
      </c>
      <c r="P448" s="40">
        <v>70</v>
      </c>
      <c r="Q448" s="40">
        <v>0.31819999999999998</v>
      </c>
    </row>
    <row r="449" spans="1:17" x14ac:dyDescent="0.3">
      <c r="A449" s="40">
        <v>448</v>
      </c>
      <c r="B449" s="42">
        <v>40563</v>
      </c>
      <c r="C449" s="40">
        <v>1</v>
      </c>
      <c r="D449" s="40">
        <v>0</v>
      </c>
      <c r="E449" s="40">
        <v>1</v>
      </c>
      <c r="F449" s="40">
        <v>16</v>
      </c>
      <c r="G449" s="40" t="b">
        <v>0</v>
      </c>
      <c r="H449" s="40">
        <v>4</v>
      </c>
      <c r="I449" s="40">
        <v>2</v>
      </c>
      <c r="J449" s="40">
        <v>0.3</v>
      </c>
      <c r="K449" s="40">
        <v>0.30299999999999999</v>
      </c>
      <c r="L449" s="40">
        <v>0.49</v>
      </c>
      <c r="M449" s="40">
        <v>0.1343</v>
      </c>
      <c r="N449" s="40">
        <v>8</v>
      </c>
      <c r="O449" s="40">
        <v>83</v>
      </c>
      <c r="P449" s="40">
        <v>91</v>
      </c>
      <c r="Q449" s="40">
        <v>0.30299999999999999</v>
      </c>
    </row>
    <row r="450" spans="1:17" x14ac:dyDescent="0.3">
      <c r="A450" s="40">
        <v>449</v>
      </c>
      <c r="B450" s="42">
        <v>40563</v>
      </c>
      <c r="C450" s="40">
        <v>1</v>
      </c>
      <c r="D450" s="40">
        <v>0</v>
      </c>
      <c r="E450" s="40">
        <v>1</v>
      </c>
      <c r="F450" s="40">
        <v>17</v>
      </c>
      <c r="G450" s="40" t="b">
        <v>0</v>
      </c>
      <c r="H450" s="40">
        <v>4</v>
      </c>
      <c r="I450" s="40">
        <v>2</v>
      </c>
      <c r="J450" s="40">
        <v>0.3</v>
      </c>
      <c r="K450" s="40">
        <v>0.31819999999999998</v>
      </c>
      <c r="L450" s="40">
        <v>0.49</v>
      </c>
      <c r="M450" s="40">
        <v>0.1045</v>
      </c>
      <c r="N450" s="40">
        <v>8</v>
      </c>
      <c r="O450" s="40">
        <v>207</v>
      </c>
      <c r="P450" s="40">
        <v>215</v>
      </c>
      <c r="Q450" s="40">
        <v>0.31819999999999998</v>
      </c>
    </row>
    <row r="451" spans="1:17" x14ac:dyDescent="0.3">
      <c r="A451" s="40">
        <v>450</v>
      </c>
      <c r="B451" s="42">
        <v>40563</v>
      </c>
      <c r="C451" s="40">
        <v>1</v>
      </c>
      <c r="D451" s="40">
        <v>0</v>
      </c>
      <c r="E451" s="40">
        <v>1</v>
      </c>
      <c r="F451" s="40">
        <v>18</v>
      </c>
      <c r="G451" s="40" t="b">
        <v>0</v>
      </c>
      <c r="H451" s="40">
        <v>4</v>
      </c>
      <c r="I451" s="40">
        <v>2</v>
      </c>
      <c r="J451" s="40">
        <v>0.26</v>
      </c>
      <c r="K451" s="40">
        <v>0.2576</v>
      </c>
      <c r="L451" s="40">
        <v>0.56000000000000005</v>
      </c>
      <c r="M451" s="40">
        <v>0.19400000000000001</v>
      </c>
      <c r="N451" s="40">
        <v>1</v>
      </c>
      <c r="O451" s="40">
        <v>184</v>
      </c>
      <c r="P451" s="40">
        <v>185</v>
      </c>
      <c r="Q451" s="40">
        <v>0.2576</v>
      </c>
    </row>
    <row r="452" spans="1:17" x14ac:dyDescent="0.3">
      <c r="A452" s="40">
        <v>451</v>
      </c>
      <c r="B452" s="42">
        <v>40563</v>
      </c>
      <c r="C452" s="40">
        <v>1</v>
      </c>
      <c r="D452" s="40">
        <v>0</v>
      </c>
      <c r="E452" s="40">
        <v>1</v>
      </c>
      <c r="F452" s="40">
        <v>19</v>
      </c>
      <c r="G452" s="40" t="b">
        <v>0</v>
      </c>
      <c r="H452" s="40">
        <v>4</v>
      </c>
      <c r="I452" s="40">
        <v>1</v>
      </c>
      <c r="J452" s="40">
        <v>0.26</v>
      </c>
      <c r="K452" s="40">
        <v>0.2273</v>
      </c>
      <c r="L452" s="40">
        <v>0.56000000000000005</v>
      </c>
      <c r="M452" s="40">
        <v>0.32840000000000003</v>
      </c>
      <c r="N452" s="40">
        <v>6</v>
      </c>
      <c r="O452" s="40">
        <v>146</v>
      </c>
      <c r="P452" s="40">
        <v>152</v>
      </c>
      <c r="Q452" s="40">
        <v>0.2273</v>
      </c>
    </row>
    <row r="453" spans="1:17" x14ac:dyDescent="0.3">
      <c r="A453" s="40">
        <v>452</v>
      </c>
      <c r="B453" s="42">
        <v>40563</v>
      </c>
      <c r="C453" s="40">
        <v>1</v>
      </c>
      <c r="D453" s="40">
        <v>0</v>
      </c>
      <c r="E453" s="40">
        <v>1</v>
      </c>
      <c r="F453" s="40">
        <v>20</v>
      </c>
      <c r="G453" s="40" t="b">
        <v>0</v>
      </c>
      <c r="H453" s="40">
        <v>4</v>
      </c>
      <c r="I453" s="40">
        <v>2</v>
      </c>
      <c r="J453" s="40">
        <v>0.26</v>
      </c>
      <c r="K453" s="40">
        <v>0.2424</v>
      </c>
      <c r="L453" s="40">
        <v>0.6</v>
      </c>
      <c r="M453" s="40">
        <v>0.28360000000000002</v>
      </c>
      <c r="N453" s="40">
        <v>2</v>
      </c>
      <c r="O453" s="40">
        <v>124</v>
      </c>
      <c r="P453" s="40">
        <v>126</v>
      </c>
      <c r="Q453" s="40">
        <v>0.2424</v>
      </c>
    </row>
    <row r="454" spans="1:17" x14ac:dyDescent="0.3">
      <c r="A454" s="40">
        <v>453</v>
      </c>
      <c r="B454" s="42">
        <v>40563</v>
      </c>
      <c r="C454" s="40">
        <v>1</v>
      </c>
      <c r="D454" s="40">
        <v>0</v>
      </c>
      <c r="E454" s="40">
        <v>1</v>
      </c>
      <c r="F454" s="40">
        <v>21</v>
      </c>
      <c r="G454" s="40" t="b">
        <v>0</v>
      </c>
      <c r="H454" s="40">
        <v>4</v>
      </c>
      <c r="I454" s="40">
        <v>2</v>
      </c>
      <c r="J454" s="40">
        <v>0.24</v>
      </c>
      <c r="K454" s="40">
        <v>0.2273</v>
      </c>
      <c r="L454" s="40">
        <v>0.6</v>
      </c>
      <c r="M454" s="40">
        <v>0.25369999999999998</v>
      </c>
      <c r="N454" s="40">
        <v>3</v>
      </c>
      <c r="O454" s="40">
        <v>54</v>
      </c>
      <c r="P454" s="40">
        <v>57</v>
      </c>
      <c r="Q454" s="40">
        <v>0.2273</v>
      </c>
    </row>
    <row r="455" spans="1:17" x14ac:dyDescent="0.3">
      <c r="A455" s="40">
        <v>454</v>
      </c>
      <c r="B455" s="42">
        <v>40563</v>
      </c>
      <c r="C455" s="40">
        <v>1</v>
      </c>
      <c r="D455" s="40">
        <v>0</v>
      </c>
      <c r="E455" s="40">
        <v>1</v>
      </c>
      <c r="F455" s="40">
        <v>22</v>
      </c>
      <c r="G455" s="40" t="b">
        <v>0</v>
      </c>
      <c r="H455" s="40">
        <v>4</v>
      </c>
      <c r="I455" s="40">
        <v>2</v>
      </c>
      <c r="J455" s="40">
        <v>0.24</v>
      </c>
      <c r="K455" s="40">
        <v>0.21210000000000001</v>
      </c>
      <c r="L455" s="40">
        <v>0.65</v>
      </c>
      <c r="M455" s="40">
        <v>0.28360000000000002</v>
      </c>
      <c r="N455" s="40">
        <v>0</v>
      </c>
      <c r="O455" s="40">
        <v>56</v>
      </c>
      <c r="P455" s="40">
        <v>56</v>
      </c>
      <c r="Q455" s="40">
        <v>0.21210000000000001</v>
      </c>
    </row>
    <row r="456" spans="1:17" x14ac:dyDescent="0.3">
      <c r="A456" s="40">
        <v>455</v>
      </c>
      <c r="B456" s="42">
        <v>40564</v>
      </c>
      <c r="C456" s="40">
        <v>1</v>
      </c>
      <c r="D456" s="40">
        <v>0</v>
      </c>
      <c r="E456" s="40">
        <v>1</v>
      </c>
      <c r="F456" s="40">
        <v>23</v>
      </c>
      <c r="G456" s="40" t="b">
        <v>0</v>
      </c>
      <c r="H456" s="40">
        <v>5</v>
      </c>
      <c r="I456" s="40">
        <v>2</v>
      </c>
      <c r="J456" s="40">
        <v>0.24</v>
      </c>
      <c r="K456" s="40">
        <v>0.21210000000000001</v>
      </c>
      <c r="L456" s="40">
        <v>0.65</v>
      </c>
      <c r="M456" s="40">
        <v>0.32840000000000003</v>
      </c>
      <c r="N456" s="40">
        <v>3</v>
      </c>
      <c r="O456" s="40">
        <v>28</v>
      </c>
      <c r="P456" s="40">
        <v>31</v>
      </c>
      <c r="Q456" s="40">
        <v>0.21210000000000001</v>
      </c>
    </row>
    <row r="457" spans="1:17" x14ac:dyDescent="0.3">
      <c r="A457" s="40">
        <v>456</v>
      </c>
      <c r="B457" s="42">
        <v>40564</v>
      </c>
      <c r="C457" s="40">
        <v>1</v>
      </c>
      <c r="D457" s="40">
        <v>0</v>
      </c>
      <c r="E457" s="40">
        <v>1</v>
      </c>
      <c r="F457" s="40">
        <v>0</v>
      </c>
      <c r="G457" s="40" t="b">
        <v>0</v>
      </c>
      <c r="H457" s="40">
        <v>5</v>
      </c>
      <c r="I457" s="40">
        <v>2</v>
      </c>
      <c r="J457" s="40">
        <v>0.24</v>
      </c>
      <c r="K457" s="40">
        <v>0.2273</v>
      </c>
      <c r="L457" s="40">
        <v>0.7</v>
      </c>
      <c r="M457" s="40">
        <v>0.25369999999999998</v>
      </c>
      <c r="N457" s="40">
        <v>1</v>
      </c>
      <c r="O457" s="40">
        <v>20</v>
      </c>
      <c r="P457" s="40">
        <v>21</v>
      </c>
      <c r="Q457" s="40">
        <v>0.2273</v>
      </c>
    </row>
    <row r="458" spans="1:17" x14ac:dyDescent="0.3">
      <c r="A458" s="40">
        <v>457</v>
      </c>
      <c r="B458" s="42">
        <v>40564</v>
      </c>
      <c r="C458" s="40">
        <v>1</v>
      </c>
      <c r="D458" s="40">
        <v>0</v>
      </c>
      <c r="E458" s="40">
        <v>1</v>
      </c>
      <c r="F458" s="40">
        <v>1</v>
      </c>
      <c r="G458" s="40" t="b">
        <v>0</v>
      </c>
      <c r="H458" s="40">
        <v>5</v>
      </c>
      <c r="I458" s="40">
        <v>2</v>
      </c>
      <c r="J458" s="40">
        <v>0.24</v>
      </c>
      <c r="K458" s="40">
        <v>0.2273</v>
      </c>
      <c r="L458" s="40">
        <v>0.7</v>
      </c>
      <c r="M458" s="40">
        <v>0.25369999999999998</v>
      </c>
      <c r="N458" s="40">
        <v>0</v>
      </c>
      <c r="O458" s="40">
        <v>6</v>
      </c>
      <c r="P458" s="40">
        <v>6</v>
      </c>
      <c r="Q458" s="40">
        <v>0.2273</v>
      </c>
    </row>
    <row r="459" spans="1:17" x14ac:dyDescent="0.3">
      <c r="A459" s="40">
        <v>458</v>
      </c>
      <c r="B459" s="42">
        <v>40564</v>
      </c>
      <c r="C459" s="40">
        <v>1</v>
      </c>
      <c r="D459" s="40">
        <v>0</v>
      </c>
      <c r="E459" s="40">
        <v>1</v>
      </c>
      <c r="F459" s="40">
        <v>2</v>
      </c>
      <c r="G459" s="40" t="b">
        <v>0</v>
      </c>
      <c r="H459" s="40">
        <v>5</v>
      </c>
      <c r="I459" s="40">
        <v>3</v>
      </c>
      <c r="J459" s="40">
        <v>0.24</v>
      </c>
      <c r="K459" s="40">
        <v>0.2424</v>
      </c>
      <c r="L459" s="40">
        <v>0.75</v>
      </c>
      <c r="M459" s="40">
        <v>0.16420000000000001</v>
      </c>
      <c r="N459" s="40">
        <v>0</v>
      </c>
      <c r="O459" s="40">
        <v>2</v>
      </c>
      <c r="P459" s="40">
        <v>2</v>
      </c>
      <c r="Q459" s="40">
        <v>0.2424</v>
      </c>
    </row>
    <row r="460" spans="1:17" x14ac:dyDescent="0.3">
      <c r="A460" s="40">
        <v>459</v>
      </c>
      <c r="B460" s="42">
        <v>40564</v>
      </c>
      <c r="C460" s="40">
        <v>1</v>
      </c>
      <c r="D460" s="40">
        <v>0</v>
      </c>
      <c r="E460" s="40">
        <v>1</v>
      </c>
      <c r="F460" s="40">
        <v>3</v>
      </c>
      <c r="G460" s="40" t="b">
        <v>0</v>
      </c>
      <c r="H460" s="40">
        <v>5</v>
      </c>
      <c r="I460" s="40">
        <v>3</v>
      </c>
      <c r="J460" s="40">
        <v>0.22</v>
      </c>
      <c r="K460" s="40">
        <v>0.21210000000000001</v>
      </c>
      <c r="L460" s="40">
        <v>0.8</v>
      </c>
      <c r="M460" s="40">
        <v>0.29849999999999999</v>
      </c>
      <c r="N460" s="40">
        <v>0</v>
      </c>
      <c r="O460" s="40">
        <v>1</v>
      </c>
      <c r="P460" s="40">
        <v>1</v>
      </c>
      <c r="Q460" s="40">
        <v>0.21210000000000001</v>
      </c>
    </row>
    <row r="461" spans="1:17" x14ac:dyDescent="0.3">
      <c r="A461" s="40">
        <v>460</v>
      </c>
      <c r="B461" s="42">
        <v>40564</v>
      </c>
      <c r="C461" s="40">
        <v>1</v>
      </c>
      <c r="D461" s="40">
        <v>0</v>
      </c>
      <c r="E461" s="40">
        <v>1</v>
      </c>
      <c r="F461" s="40">
        <v>4</v>
      </c>
      <c r="G461" s="40" t="b">
        <v>0</v>
      </c>
      <c r="H461" s="40">
        <v>5</v>
      </c>
      <c r="I461" s="40">
        <v>2</v>
      </c>
      <c r="J461" s="40">
        <v>0.22</v>
      </c>
      <c r="K461" s="40">
        <v>0.2576</v>
      </c>
      <c r="L461" s="40">
        <v>0.87</v>
      </c>
      <c r="M461" s="40">
        <v>8.9599999999999999E-2</v>
      </c>
      <c r="N461" s="40">
        <v>0</v>
      </c>
      <c r="O461" s="40">
        <v>1</v>
      </c>
      <c r="P461" s="40">
        <v>1</v>
      </c>
      <c r="Q461" s="40">
        <v>0.2576</v>
      </c>
    </row>
    <row r="462" spans="1:17" x14ac:dyDescent="0.3">
      <c r="A462" s="40">
        <v>461</v>
      </c>
      <c r="B462" s="42">
        <v>40564</v>
      </c>
      <c r="C462" s="40">
        <v>1</v>
      </c>
      <c r="D462" s="40">
        <v>0</v>
      </c>
      <c r="E462" s="40">
        <v>1</v>
      </c>
      <c r="F462" s="40">
        <v>5</v>
      </c>
      <c r="G462" s="40" t="b">
        <v>0</v>
      </c>
      <c r="H462" s="40">
        <v>5</v>
      </c>
      <c r="I462" s="40">
        <v>1</v>
      </c>
      <c r="J462" s="40">
        <v>0.24</v>
      </c>
      <c r="K462" s="40">
        <v>0.19700000000000001</v>
      </c>
      <c r="L462" s="40">
        <v>0.6</v>
      </c>
      <c r="M462" s="40">
        <v>0.41789999999999999</v>
      </c>
      <c r="N462" s="40">
        <v>1</v>
      </c>
      <c r="O462" s="40">
        <v>4</v>
      </c>
      <c r="P462" s="40">
        <v>5</v>
      </c>
      <c r="Q462" s="40">
        <v>0.19700000000000001</v>
      </c>
    </row>
    <row r="463" spans="1:17" x14ac:dyDescent="0.3">
      <c r="A463" s="40">
        <v>462</v>
      </c>
      <c r="B463" s="42">
        <v>40564</v>
      </c>
      <c r="C463" s="40">
        <v>1</v>
      </c>
      <c r="D463" s="40">
        <v>0</v>
      </c>
      <c r="E463" s="40">
        <v>1</v>
      </c>
      <c r="F463" s="40">
        <v>6</v>
      </c>
      <c r="G463" s="40" t="b">
        <v>0</v>
      </c>
      <c r="H463" s="40">
        <v>5</v>
      </c>
      <c r="I463" s="40">
        <v>1</v>
      </c>
      <c r="J463" s="40">
        <v>0.22</v>
      </c>
      <c r="K463" s="40">
        <v>0.21210000000000001</v>
      </c>
      <c r="L463" s="40">
        <v>0.55000000000000004</v>
      </c>
      <c r="M463" s="40">
        <v>0.25369999999999998</v>
      </c>
      <c r="N463" s="40">
        <v>0</v>
      </c>
      <c r="O463" s="40">
        <v>27</v>
      </c>
      <c r="P463" s="40">
        <v>27</v>
      </c>
      <c r="Q463" s="40">
        <v>0.21210000000000001</v>
      </c>
    </row>
    <row r="464" spans="1:17" x14ac:dyDescent="0.3">
      <c r="A464" s="40">
        <v>463</v>
      </c>
      <c r="B464" s="42">
        <v>40564</v>
      </c>
      <c r="C464" s="40">
        <v>1</v>
      </c>
      <c r="D464" s="40">
        <v>0</v>
      </c>
      <c r="E464" s="40">
        <v>1</v>
      </c>
      <c r="F464" s="40">
        <v>7</v>
      </c>
      <c r="G464" s="40" t="b">
        <v>0</v>
      </c>
      <c r="H464" s="40">
        <v>5</v>
      </c>
      <c r="I464" s="40">
        <v>1</v>
      </c>
      <c r="J464" s="40">
        <v>0.2</v>
      </c>
      <c r="K464" s="40">
        <v>0.18179999999999999</v>
      </c>
      <c r="L464" s="40">
        <v>0.51</v>
      </c>
      <c r="M464" s="40">
        <v>0.28360000000000002</v>
      </c>
      <c r="N464" s="40">
        <v>2</v>
      </c>
      <c r="O464" s="40">
        <v>66</v>
      </c>
      <c r="P464" s="40">
        <v>68</v>
      </c>
      <c r="Q464" s="40">
        <v>0.18179999999999999</v>
      </c>
    </row>
    <row r="465" spans="1:17" x14ac:dyDescent="0.3">
      <c r="A465" s="40">
        <v>464</v>
      </c>
      <c r="B465" s="42">
        <v>40564</v>
      </c>
      <c r="C465" s="40">
        <v>1</v>
      </c>
      <c r="D465" s="40">
        <v>0</v>
      </c>
      <c r="E465" s="40">
        <v>1</v>
      </c>
      <c r="F465" s="40">
        <v>8</v>
      </c>
      <c r="G465" s="40" t="b">
        <v>0</v>
      </c>
      <c r="H465" s="40">
        <v>5</v>
      </c>
      <c r="I465" s="40">
        <v>1</v>
      </c>
      <c r="J465" s="40">
        <v>0.2</v>
      </c>
      <c r="K465" s="40">
        <v>0.18179999999999999</v>
      </c>
      <c r="L465" s="40">
        <v>0.47</v>
      </c>
      <c r="M465" s="40">
        <v>0.32840000000000003</v>
      </c>
      <c r="N465" s="40">
        <v>7</v>
      </c>
      <c r="O465" s="40">
        <v>210</v>
      </c>
      <c r="P465" s="40">
        <v>217</v>
      </c>
      <c r="Q465" s="40">
        <v>0.18179999999999999</v>
      </c>
    </row>
    <row r="466" spans="1:17" x14ac:dyDescent="0.3">
      <c r="A466" s="40">
        <v>465</v>
      </c>
      <c r="B466" s="42">
        <v>40564</v>
      </c>
      <c r="C466" s="40">
        <v>1</v>
      </c>
      <c r="D466" s="40">
        <v>0</v>
      </c>
      <c r="E466" s="40">
        <v>1</v>
      </c>
      <c r="F466" s="40">
        <v>9</v>
      </c>
      <c r="G466" s="40" t="b">
        <v>0</v>
      </c>
      <c r="H466" s="40">
        <v>5</v>
      </c>
      <c r="I466" s="40">
        <v>1</v>
      </c>
      <c r="J466" s="40">
        <v>0.2</v>
      </c>
      <c r="K466" s="40">
        <v>0.18179999999999999</v>
      </c>
      <c r="L466" s="40">
        <v>0.51</v>
      </c>
      <c r="M466" s="40">
        <v>0.35820000000000002</v>
      </c>
      <c r="N466" s="40">
        <v>7</v>
      </c>
      <c r="O466" s="40">
        <v>159</v>
      </c>
      <c r="P466" s="40">
        <v>166</v>
      </c>
      <c r="Q466" s="40">
        <v>0.18179999999999999</v>
      </c>
    </row>
    <row r="467" spans="1:17" x14ac:dyDescent="0.3">
      <c r="A467" s="40">
        <v>466</v>
      </c>
      <c r="B467" s="42">
        <v>40564</v>
      </c>
      <c r="C467" s="40">
        <v>1</v>
      </c>
      <c r="D467" s="40">
        <v>0</v>
      </c>
      <c r="E467" s="40">
        <v>1</v>
      </c>
      <c r="F467" s="40">
        <v>10</v>
      </c>
      <c r="G467" s="40" t="b">
        <v>0</v>
      </c>
      <c r="H467" s="40">
        <v>5</v>
      </c>
      <c r="I467" s="40">
        <v>1</v>
      </c>
      <c r="J467" s="40">
        <v>0.2</v>
      </c>
      <c r="K467" s="40">
        <v>0.16669999999999999</v>
      </c>
      <c r="L467" s="40">
        <v>0.47</v>
      </c>
      <c r="M467" s="40">
        <v>0.4627</v>
      </c>
      <c r="N467" s="40">
        <v>6</v>
      </c>
      <c r="O467" s="40">
        <v>57</v>
      </c>
      <c r="P467" s="40">
        <v>63</v>
      </c>
      <c r="Q467" s="40">
        <v>0.16669999999999999</v>
      </c>
    </row>
    <row r="468" spans="1:17" x14ac:dyDescent="0.3">
      <c r="A468" s="40">
        <v>467</v>
      </c>
      <c r="B468" s="42">
        <v>40564</v>
      </c>
      <c r="C468" s="40">
        <v>1</v>
      </c>
      <c r="D468" s="40">
        <v>0</v>
      </c>
      <c r="E468" s="40">
        <v>1</v>
      </c>
      <c r="F468" s="40">
        <v>11</v>
      </c>
      <c r="G468" s="40" t="b">
        <v>0</v>
      </c>
      <c r="H468" s="40">
        <v>5</v>
      </c>
      <c r="I468" s="40">
        <v>1</v>
      </c>
      <c r="J468" s="40">
        <v>0.22</v>
      </c>
      <c r="K468" s="40">
        <v>0.18179999999999999</v>
      </c>
      <c r="L468" s="40">
        <v>0.41</v>
      </c>
      <c r="M468" s="40">
        <v>0.4627</v>
      </c>
      <c r="N468" s="40">
        <v>6</v>
      </c>
      <c r="O468" s="40">
        <v>53</v>
      </c>
      <c r="P468" s="40">
        <v>59</v>
      </c>
      <c r="Q468" s="40">
        <v>0.18179999999999999</v>
      </c>
    </row>
    <row r="469" spans="1:17" x14ac:dyDescent="0.3">
      <c r="A469" s="40">
        <v>468</v>
      </c>
      <c r="B469" s="42">
        <v>40564</v>
      </c>
      <c r="C469" s="40">
        <v>1</v>
      </c>
      <c r="D469" s="40">
        <v>0</v>
      </c>
      <c r="E469" s="40">
        <v>1</v>
      </c>
      <c r="F469" s="40">
        <v>12</v>
      </c>
      <c r="G469" s="40" t="b">
        <v>0</v>
      </c>
      <c r="H469" s="40">
        <v>5</v>
      </c>
      <c r="I469" s="40">
        <v>1</v>
      </c>
      <c r="J469" s="40">
        <v>0.22</v>
      </c>
      <c r="K469" s="40">
        <v>0.18179999999999999</v>
      </c>
      <c r="L469" s="40">
        <v>0.27</v>
      </c>
      <c r="M469" s="40">
        <v>0.58209999999999995</v>
      </c>
      <c r="N469" s="40">
        <v>11</v>
      </c>
      <c r="O469" s="40">
        <v>67</v>
      </c>
      <c r="P469" s="40">
        <v>78</v>
      </c>
      <c r="Q469" s="40">
        <v>0.18179999999999999</v>
      </c>
    </row>
    <row r="470" spans="1:17" x14ac:dyDescent="0.3">
      <c r="A470" s="40">
        <v>469</v>
      </c>
      <c r="B470" s="42">
        <v>40564</v>
      </c>
      <c r="C470" s="40">
        <v>1</v>
      </c>
      <c r="D470" s="40">
        <v>0</v>
      </c>
      <c r="E470" s="40">
        <v>1</v>
      </c>
      <c r="F470" s="40">
        <v>13</v>
      </c>
      <c r="G470" s="40" t="b">
        <v>0</v>
      </c>
      <c r="H470" s="40">
        <v>5</v>
      </c>
      <c r="I470" s="40">
        <v>1</v>
      </c>
      <c r="J470" s="40">
        <v>0.2</v>
      </c>
      <c r="K470" s="40">
        <v>0.1515</v>
      </c>
      <c r="L470" s="40">
        <v>0.21</v>
      </c>
      <c r="M470" s="40">
        <v>0.58209999999999995</v>
      </c>
      <c r="N470" s="40">
        <v>8</v>
      </c>
      <c r="O470" s="40">
        <v>65</v>
      </c>
      <c r="P470" s="40">
        <v>73</v>
      </c>
      <c r="Q470" s="40">
        <v>0.1515</v>
      </c>
    </row>
    <row r="471" spans="1:17" x14ac:dyDescent="0.3">
      <c r="A471" s="40">
        <v>470</v>
      </c>
      <c r="B471" s="42">
        <v>40564</v>
      </c>
      <c r="C471" s="40">
        <v>1</v>
      </c>
      <c r="D471" s="40">
        <v>0</v>
      </c>
      <c r="E471" s="40">
        <v>1</v>
      </c>
      <c r="F471" s="40">
        <v>14</v>
      </c>
      <c r="G471" s="40" t="b">
        <v>0</v>
      </c>
      <c r="H471" s="40">
        <v>5</v>
      </c>
      <c r="I471" s="40">
        <v>1</v>
      </c>
      <c r="J471" s="40">
        <v>0.2</v>
      </c>
      <c r="K471" s="40">
        <v>0.1515</v>
      </c>
      <c r="L471" s="40">
        <v>0.25</v>
      </c>
      <c r="M471" s="40">
        <v>0.52239999999999998</v>
      </c>
      <c r="N471" s="40">
        <v>6</v>
      </c>
      <c r="O471" s="40">
        <v>56</v>
      </c>
      <c r="P471" s="40">
        <v>62</v>
      </c>
      <c r="Q471" s="40">
        <v>0.1515</v>
      </c>
    </row>
    <row r="472" spans="1:17" x14ac:dyDescent="0.3">
      <c r="A472" s="40">
        <v>471</v>
      </c>
      <c r="B472" s="42">
        <v>40564</v>
      </c>
      <c r="C472" s="40">
        <v>1</v>
      </c>
      <c r="D472" s="40">
        <v>0</v>
      </c>
      <c r="E472" s="40">
        <v>1</v>
      </c>
      <c r="F472" s="40">
        <v>15</v>
      </c>
      <c r="G472" s="40" t="b">
        <v>0</v>
      </c>
      <c r="H472" s="40">
        <v>5</v>
      </c>
      <c r="I472" s="40">
        <v>1</v>
      </c>
      <c r="J472" s="40">
        <v>0.16</v>
      </c>
      <c r="K472" s="40">
        <v>0.1212</v>
      </c>
      <c r="L472" s="40">
        <v>0.26</v>
      </c>
      <c r="M472" s="40">
        <v>0.44779999999999998</v>
      </c>
      <c r="N472" s="40">
        <v>4</v>
      </c>
      <c r="O472" s="40">
        <v>61</v>
      </c>
      <c r="P472" s="40">
        <v>65</v>
      </c>
      <c r="Q472" s="40">
        <v>0.1212</v>
      </c>
    </row>
    <row r="473" spans="1:17" x14ac:dyDescent="0.3">
      <c r="A473" s="40">
        <v>472</v>
      </c>
      <c r="B473" s="42">
        <v>40564</v>
      </c>
      <c r="C473" s="40">
        <v>1</v>
      </c>
      <c r="D473" s="40">
        <v>0</v>
      </c>
      <c r="E473" s="40">
        <v>1</v>
      </c>
      <c r="F473" s="40">
        <v>16</v>
      </c>
      <c r="G473" s="40" t="b">
        <v>0</v>
      </c>
      <c r="H473" s="40">
        <v>5</v>
      </c>
      <c r="I473" s="40">
        <v>1</v>
      </c>
      <c r="J473" s="40">
        <v>0.16</v>
      </c>
      <c r="K473" s="40">
        <v>0.13639999999999999</v>
      </c>
      <c r="L473" s="40">
        <v>0.26</v>
      </c>
      <c r="M473" s="40">
        <v>0.35820000000000002</v>
      </c>
      <c r="N473" s="40">
        <v>0</v>
      </c>
      <c r="O473" s="40">
        <v>97</v>
      </c>
      <c r="P473" s="40">
        <v>97</v>
      </c>
      <c r="Q473" s="40">
        <v>0.13639999999999999</v>
      </c>
    </row>
    <row r="474" spans="1:17" x14ac:dyDescent="0.3">
      <c r="A474" s="40">
        <v>473</v>
      </c>
      <c r="B474" s="42">
        <v>40564</v>
      </c>
      <c r="C474" s="40">
        <v>1</v>
      </c>
      <c r="D474" s="40">
        <v>0</v>
      </c>
      <c r="E474" s="40">
        <v>1</v>
      </c>
      <c r="F474" s="40">
        <v>17</v>
      </c>
      <c r="G474" s="40" t="b">
        <v>0</v>
      </c>
      <c r="H474" s="40">
        <v>5</v>
      </c>
      <c r="I474" s="40">
        <v>1</v>
      </c>
      <c r="J474" s="40">
        <v>0.14000000000000001</v>
      </c>
      <c r="K474" s="40">
        <v>0.1212</v>
      </c>
      <c r="L474" s="40">
        <v>0.28000000000000003</v>
      </c>
      <c r="M474" s="40">
        <v>0.35820000000000002</v>
      </c>
      <c r="N474" s="40">
        <v>10</v>
      </c>
      <c r="O474" s="40">
        <v>151</v>
      </c>
      <c r="P474" s="40">
        <v>161</v>
      </c>
      <c r="Q474" s="40">
        <v>0.1212</v>
      </c>
    </row>
    <row r="475" spans="1:17" x14ac:dyDescent="0.3">
      <c r="A475" s="40">
        <v>474</v>
      </c>
      <c r="B475" s="42">
        <v>40564</v>
      </c>
      <c r="C475" s="40">
        <v>1</v>
      </c>
      <c r="D475" s="40">
        <v>0</v>
      </c>
      <c r="E475" s="40">
        <v>1</v>
      </c>
      <c r="F475" s="40">
        <v>18</v>
      </c>
      <c r="G475" s="40" t="b">
        <v>0</v>
      </c>
      <c r="H475" s="40">
        <v>5</v>
      </c>
      <c r="I475" s="40">
        <v>1</v>
      </c>
      <c r="J475" s="40">
        <v>0.12</v>
      </c>
      <c r="K475" s="40">
        <v>0.1212</v>
      </c>
      <c r="L475" s="40">
        <v>0.3</v>
      </c>
      <c r="M475" s="40">
        <v>0.25369999999999998</v>
      </c>
      <c r="N475" s="40">
        <v>1</v>
      </c>
      <c r="O475" s="40">
        <v>119</v>
      </c>
      <c r="P475" s="40">
        <v>120</v>
      </c>
      <c r="Q475" s="40">
        <v>0.1212</v>
      </c>
    </row>
    <row r="476" spans="1:17" x14ac:dyDescent="0.3">
      <c r="A476" s="40">
        <v>475</v>
      </c>
      <c r="B476" s="42">
        <v>40564</v>
      </c>
      <c r="C476" s="40">
        <v>1</v>
      </c>
      <c r="D476" s="40">
        <v>0</v>
      </c>
      <c r="E476" s="40">
        <v>1</v>
      </c>
      <c r="F476" s="40">
        <v>19</v>
      </c>
      <c r="G476" s="40" t="b">
        <v>0</v>
      </c>
      <c r="H476" s="40">
        <v>5</v>
      </c>
      <c r="I476" s="40">
        <v>1</v>
      </c>
      <c r="J476" s="40">
        <v>0.12</v>
      </c>
      <c r="K476" s="40">
        <v>0.1061</v>
      </c>
      <c r="L476" s="40">
        <v>0.3</v>
      </c>
      <c r="M476" s="40">
        <v>0.32840000000000003</v>
      </c>
      <c r="N476" s="40">
        <v>3</v>
      </c>
      <c r="O476" s="40">
        <v>93</v>
      </c>
      <c r="P476" s="40">
        <v>96</v>
      </c>
      <c r="Q476" s="40">
        <v>0.1061</v>
      </c>
    </row>
    <row r="477" spans="1:17" x14ac:dyDescent="0.3">
      <c r="A477" s="40">
        <v>476</v>
      </c>
      <c r="B477" s="42">
        <v>40564</v>
      </c>
      <c r="C477" s="40">
        <v>1</v>
      </c>
      <c r="D477" s="40">
        <v>0</v>
      </c>
      <c r="E477" s="40">
        <v>1</v>
      </c>
      <c r="F477" s="40">
        <v>20</v>
      </c>
      <c r="G477" s="40" t="b">
        <v>0</v>
      </c>
      <c r="H477" s="40">
        <v>5</v>
      </c>
      <c r="I477" s="40">
        <v>1</v>
      </c>
      <c r="J477" s="40">
        <v>0.1</v>
      </c>
      <c r="K477" s="40">
        <v>7.5800000000000006E-2</v>
      </c>
      <c r="L477" s="40">
        <v>0.33</v>
      </c>
      <c r="M477" s="40">
        <v>0.41789999999999999</v>
      </c>
      <c r="N477" s="40">
        <v>1</v>
      </c>
      <c r="O477" s="40">
        <v>52</v>
      </c>
      <c r="P477" s="40">
        <v>53</v>
      </c>
      <c r="Q477" s="40">
        <v>7.5800000000000006E-2</v>
      </c>
    </row>
    <row r="478" spans="1:17" x14ac:dyDescent="0.3">
      <c r="A478" s="40">
        <v>477</v>
      </c>
      <c r="B478" s="42">
        <v>40564</v>
      </c>
      <c r="C478" s="40">
        <v>1</v>
      </c>
      <c r="D478" s="40">
        <v>0</v>
      </c>
      <c r="E478" s="40">
        <v>1</v>
      </c>
      <c r="F478" s="40">
        <v>21</v>
      </c>
      <c r="G478" s="40" t="b">
        <v>0</v>
      </c>
      <c r="H478" s="40">
        <v>5</v>
      </c>
      <c r="I478" s="40">
        <v>1</v>
      </c>
      <c r="J478" s="40">
        <v>0.08</v>
      </c>
      <c r="K478" s="40">
        <v>7.5800000000000006E-2</v>
      </c>
      <c r="L478" s="40">
        <v>0.38</v>
      </c>
      <c r="M478" s="40">
        <v>0.28360000000000002</v>
      </c>
      <c r="N478" s="40">
        <v>0</v>
      </c>
      <c r="O478" s="40">
        <v>41</v>
      </c>
      <c r="P478" s="40">
        <v>41</v>
      </c>
      <c r="Q478" s="40">
        <v>7.5800000000000006E-2</v>
      </c>
    </row>
    <row r="479" spans="1:17" x14ac:dyDescent="0.3">
      <c r="A479" s="40">
        <v>478</v>
      </c>
      <c r="B479" s="42">
        <v>40564</v>
      </c>
      <c r="C479" s="40">
        <v>1</v>
      </c>
      <c r="D479" s="40">
        <v>0</v>
      </c>
      <c r="E479" s="40">
        <v>1</v>
      </c>
      <c r="F479" s="40">
        <v>22</v>
      </c>
      <c r="G479" s="40" t="b">
        <v>0</v>
      </c>
      <c r="H479" s="40">
        <v>5</v>
      </c>
      <c r="I479" s="40">
        <v>1</v>
      </c>
      <c r="J479" s="40">
        <v>0.06</v>
      </c>
      <c r="K479" s="40">
        <v>3.0300000000000001E-2</v>
      </c>
      <c r="L479" s="40">
        <v>0.41</v>
      </c>
      <c r="M479" s="40">
        <v>0.3881</v>
      </c>
      <c r="N479" s="40">
        <v>1</v>
      </c>
      <c r="O479" s="40">
        <v>33</v>
      </c>
      <c r="P479" s="40">
        <v>34</v>
      </c>
      <c r="Q479" s="40">
        <v>3.0300000000000001E-2</v>
      </c>
    </row>
    <row r="480" spans="1:17" x14ac:dyDescent="0.3">
      <c r="A480" s="40">
        <v>479</v>
      </c>
      <c r="B480" s="42">
        <v>40564</v>
      </c>
      <c r="C480" s="40">
        <v>1</v>
      </c>
      <c r="D480" s="40">
        <v>0</v>
      </c>
      <c r="E480" s="40">
        <v>1</v>
      </c>
      <c r="F480" s="40">
        <v>23</v>
      </c>
      <c r="G480" s="40" t="b">
        <v>0</v>
      </c>
      <c r="H480" s="40">
        <v>5</v>
      </c>
      <c r="I480" s="40">
        <v>1</v>
      </c>
      <c r="J480" s="40">
        <v>0.06</v>
      </c>
      <c r="K480" s="40">
        <v>4.5499999999999999E-2</v>
      </c>
      <c r="L480" s="40">
        <v>0.38</v>
      </c>
      <c r="M480" s="40">
        <v>0.32840000000000003</v>
      </c>
      <c r="N480" s="40">
        <v>0</v>
      </c>
      <c r="O480" s="40">
        <v>27</v>
      </c>
      <c r="P480" s="40">
        <v>27</v>
      </c>
      <c r="Q480" s="40">
        <v>4.5499999999999999E-2</v>
      </c>
    </row>
    <row r="481" spans="1:17" x14ac:dyDescent="0.3">
      <c r="A481" s="40">
        <v>480</v>
      </c>
      <c r="B481" s="42">
        <v>40565</v>
      </c>
      <c r="C481" s="40">
        <v>1</v>
      </c>
      <c r="D481" s="40">
        <v>0</v>
      </c>
      <c r="E481" s="40">
        <v>1</v>
      </c>
      <c r="F481" s="40">
        <v>0</v>
      </c>
      <c r="G481" s="40" t="b">
        <v>0</v>
      </c>
      <c r="H481" s="40">
        <v>6</v>
      </c>
      <c r="I481" s="40">
        <v>1</v>
      </c>
      <c r="J481" s="40">
        <v>0.04</v>
      </c>
      <c r="K481" s="40">
        <v>3.0300000000000001E-2</v>
      </c>
      <c r="L481" s="40">
        <v>0.45</v>
      </c>
      <c r="M481" s="40">
        <v>0.25369999999999998</v>
      </c>
      <c r="N481" s="40">
        <v>0</v>
      </c>
      <c r="O481" s="40">
        <v>13</v>
      </c>
      <c r="P481" s="40">
        <v>13</v>
      </c>
      <c r="Q481" s="40">
        <v>3.0300000000000001E-2</v>
      </c>
    </row>
    <row r="482" spans="1:17" x14ac:dyDescent="0.3">
      <c r="A482" s="40">
        <v>481</v>
      </c>
      <c r="B482" s="42">
        <v>40565</v>
      </c>
      <c r="C482" s="40">
        <v>1</v>
      </c>
      <c r="D482" s="40">
        <v>0</v>
      </c>
      <c r="E482" s="40">
        <v>1</v>
      </c>
      <c r="F482" s="40">
        <v>1</v>
      </c>
      <c r="G482" s="40" t="b">
        <v>0</v>
      </c>
      <c r="H482" s="40">
        <v>6</v>
      </c>
      <c r="I482" s="40">
        <v>2</v>
      </c>
      <c r="J482" s="40">
        <v>0.04</v>
      </c>
      <c r="K482" s="40">
        <v>0</v>
      </c>
      <c r="L482" s="40">
        <v>0.41</v>
      </c>
      <c r="M482" s="40">
        <v>0.3881</v>
      </c>
      <c r="N482" s="40">
        <v>3</v>
      </c>
      <c r="O482" s="40">
        <v>9</v>
      </c>
      <c r="P482" s="40">
        <v>12</v>
      </c>
      <c r="Q482" s="40">
        <v>0</v>
      </c>
    </row>
    <row r="483" spans="1:17" x14ac:dyDescent="0.3">
      <c r="A483" s="40">
        <v>482</v>
      </c>
      <c r="B483" s="42">
        <v>40565</v>
      </c>
      <c r="C483" s="40">
        <v>1</v>
      </c>
      <c r="D483" s="40">
        <v>0</v>
      </c>
      <c r="E483" s="40">
        <v>1</v>
      </c>
      <c r="F483" s="40">
        <v>2</v>
      </c>
      <c r="G483" s="40" t="b">
        <v>0</v>
      </c>
      <c r="H483" s="40">
        <v>6</v>
      </c>
      <c r="I483" s="40">
        <v>2</v>
      </c>
      <c r="J483" s="40">
        <v>0.04</v>
      </c>
      <c r="K483" s="40">
        <v>3.0300000000000001E-2</v>
      </c>
      <c r="L483" s="40">
        <v>0.41</v>
      </c>
      <c r="M483" s="40">
        <v>0.25369999999999998</v>
      </c>
      <c r="N483" s="40">
        <v>0</v>
      </c>
      <c r="O483" s="40">
        <v>11</v>
      </c>
      <c r="P483" s="40">
        <v>11</v>
      </c>
      <c r="Q483" s="40">
        <v>3.0300000000000001E-2</v>
      </c>
    </row>
    <row r="484" spans="1:17" x14ac:dyDescent="0.3">
      <c r="A484" s="40">
        <v>483</v>
      </c>
      <c r="B484" s="42">
        <v>40565</v>
      </c>
      <c r="C484" s="40">
        <v>1</v>
      </c>
      <c r="D484" s="40">
        <v>0</v>
      </c>
      <c r="E484" s="40">
        <v>1</v>
      </c>
      <c r="F484" s="40">
        <v>3</v>
      </c>
      <c r="G484" s="40" t="b">
        <v>0</v>
      </c>
      <c r="H484" s="40">
        <v>6</v>
      </c>
      <c r="I484" s="40">
        <v>2</v>
      </c>
      <c r="J484" s="40">
        <v>0.04</v>
      </c>
      <c r="K484" s="40">
        <v>3.0300000000000001E-2</v>
      </c>
      <c r="L484" s="40">
        <v>0.41</v>
      </c>
      <c r="M484" s="40">
        <v>0.28360000000000002</v>
      </c>
      <c r="N484" s="40">
        <v>1</v>
      </c>
      <c r="O484" s="40">
        <v>6</v>
      </c>
      <c r="P484" s="40">
        <v>7</v>
      </c>
      <c r="Q484" s="40">
        <v>3.0300000000000001E-2</v>
      </c>
    </row>
    <row r="485" spans="1:17" x14ac:dyDescent="0.3">
      <c r="A485" s="40">
        <v>484</v>
      </c>
      <c r="B485" s="42">
        <v>40565</v>
      </c>
      <c r="C485" s="40">
        <v>1</v>
      </c>
      <c r="D485" s="40">
        <v>0</v>
      </c>
      <c r="E485" s="40">
        <v>1</v>
      </c>
      <c r="F485" s="40">
        <v>4</v>
      </c>
      <c r="G485" s="40" t="b">
        <v>0</v>
      </c>
      <c r="H485" s="40">
        <v>6</v>
      </c>
      <c r="I485" s="40">
        <v>2</v>
      </c>
      <c r="J485" s="40">
        <v>0.02</v>
      </c>
      <c r="K485" s="40">
        <v>1.52E-2</v>
      </c>
      <c r="L485" s="40">
        <v>0.48</v>
      </c>
      <c r="M485" s="40">
        <v>0.29849999999999999</v>
      </c>
      <c r="N485" s="40">
        <v>0</v>
      </c>
      <c r="O485" s="40">
        <v>3</v>
      </c>
      <c r="P485" s="40">
        <v>3</v>
      </c>
      <c r="Q485" s="40">
        <v>1.52E-2</v>
      </c>
    </row>
    <row r="486" spans="1:17" x14ac:dyDescent="0.3">
      <c r="A486" s="40">
        <v>485</v>
      </c>
      <c r="B486" s="42">
        <v>40565</v>
      </c>
      <c r="C486" s="40">
        <v>1</v>
      </c>
      <c r="D486" s="40">
        <v>0</v>
      </c>
      <c r="E486" s="40">
        <v>1</v>
      </c>
      <c r="F486" s="40">
        <v>6</v>
      </c>
      <c r="G486" s="40" t="b">
        <v>0</v>
      </c>
      <c r="H486" s="40">
        <v>6</v>
      </c>
      <c r="I486" s="40">
        <v>2</v>
      </c>
      <c r="J486" s="40">
        <v>0.02</v>
      </c>
      <c r="K486" s="40">
        <v>3.0300000000000001E-2</v>
      </c>
      <c r="L486" s="40">
        <v>0.44</v>
      </c>
      <c r="M486" s="40">
        <v>0.22389999999999999</v>
      </c>
      <c r="N486" s="40">
        <v>0</v>
      </c>
      <c r="O486" s="40">
        <v>2</v>
      </c>
      <c r="P486" s="40">
        <v>2</v>
      </c>
      <c r="Q486" s="40">
        <v>3.0300000000000001E-2</v>
      </c>
    </row>
    <row r="487" spans="1:17" x14ac:dyDescent="0.3">
      <c r="A487" s="40">
        <v>486</v>
      </c>
      <c r="B487" s="42">
        <v>40565</v>
      </c>
      <c r="C487" s="40">
        <v>1</v>
      </c>
      <c r="D487" s="40">
        <v>0</v>
      </c>
      <c r="E487" s="40">
        <v>1</v>
      </c>
      <c r="F487" s="40">
        <v>7</v>
      </c>
      <c r="G487" s="40" t="b">
        <v>0</v>
      </c>
      <c r="H487" s="40">
        <v>6</v>
      </c>
      <c r="I487" s="40">
        <v>1</v>
      </c>
      <c r="J487" s="40">
        <v>0.02</v>
      </c>
      <c r="K487" s="40">
        <v>1.52E-2</v>
      </c>
      <c r="L487" s="40">
        <v>0.44</v>
      </c>
      <c r="M487" s="40">
        <v>0.28360000000000002</v>
      </c>
      <c r="N487" s="40">
        <v>0</v>
      </c>
      <c r="O487" s="40">
        <v>8</v>
      </c>
      <c r="P487" s="40">
        <v>8</v>
      </c>
      <c r="Q487" s="40">
        <v>1.52E-2</v>
      </c>
    </row>
    <row r="488" spans="1:17" x14ac:dyDescent="0.3">
      <c r="A488" s="40">
        <v>487</v>
      </c>
      <c r="B488" s="42">
        <v>40565</v>
      </c>
      <c r="C488" s="40">
        <v>1</v>
      </c>
      <c r="D488" s="40">
        <v>0</v>
      </c>
      <c r="E488" s="40">
        <v>1</v>
      </c>
      <c r="F488" s="40">
        <v>8</v>
      </c>
      <c r="G488" s="40" t="b">
        <v>0</v>
      </c>
      <c r="H488" s="40">
        <v>6</v>
      </c>
      <c r="I488" s="40">
        <v>1</v>
      </c>
      <c r="J488" s="40">
        <v>0.02</v>
      </c>
      <c r="K488" s="40">
        <v>0</v>
      </c>
      <c r="L488" s="40">
        <v>0.44</v>
      </c>
      <c r="M488" s="40">
        <v>0.32840000000000003</v>
      </c>
      <c r="N488" s="40">
        <v>1</v>
      </c>
      <c r="O488" s="40">
        <v>26</v>
      </c>
      <c r="P488" s="40">
        <v>27</v>
      </c>
      <c r="Q488" s="40">
        <v>0</v>
      </c>
    </row>
    <row r="489" spans="1:17" x14ac:dyDescent="0.3">
      <c r="A489" s="40">
        <v>488</v>
      </c>
      <c r="B489" s="42">
        <v>40565</v>
      </c>
      <c r="C489" s="40">
        <v>1</v>
      </c>
      <c r="D489" s="40">
        <v>0</v>
      </c>
      <c r="E489" s="40">
        <v>1</v>
      </c>
      <c r="F489" s="40">
        <v>9</v>
      </c>
      <c r="G489" s="40" t="b">
        <v>0</v>
      </c>
      <c r="H489" s="40">
        <v>6</v>
      </c>
      <c r="I489" s="40">
        <v>1</v>
      </c>
      <c r="J489" s="40">
        <v>0.04</v>
      </c>
      <c r="K489" s="40">
        <v>3.0300000000000001E-2</v>
      </c>
      <c r="L489" s="40">
        <v>0.41</v>
      </c>
      <c r="M489" s="40">
        <v>0.25369999999999998</v>
      </c>
      <c r="N489" s="40">
        <v>3</v>
      </c>
      <c r="O489" s="40">
        <v>37</v>
      </c>
      <c r="P489" s="40">
        <v>40</v>
      </c>
      <c r="Q489" s="40">
        <v>3.0300000000000001E-2</v>
      </c>
    </row>
    <row r="490" spans="1:17" x14ac:dyDescent="0.3">
      <c r="A490" s="40">
        <v>489</v>
      </c>
      <c r="B490" s="42">
        <v>40565</v>
      </c>
      <c r="C490" s="40">
        <v>1</v>
      </c>
      <c r="D490" s="40">
        <v>0</v>
      </c>
      <c r="E490" s="40">
        <v>1</v>
      </c>
      <c r="F490" s="40">
        <v>10</v>
      </c>
      <c r="G490" s="40" t="b">
        <v>0</v>
      </c>
      <c r="H490" s="40">
        <v>6</v>
      </c>
      <c r="I490" s="40">
        <v>2</v>
      </c>
      <c r="J490" s="40">
        <v>0.04</v>
      </c>
      <c r="K490" s="40">
        <v>6.0600000000000001E-2</v>
      </c>
      <c r="L490" s="40">
        <v>0.41</v>
      </c>
      <c r="M490" s="40">
        <v>0.16420000000000001</v>
      </c>
      <c r="N490" s="40">
        <v>3</v>
      </c>
      <c r="O490" s="40">
        <v>50</v>
      </c>
      <c r="P490" s="40">
        <v>53</v>
      </c>
      <c r="Q490" s="40">
        <v>6.0600000000000001E-2</v>
      </c>
    </row>
    <row r="491" spans="1:17" x14ac:dyDescent="0.3">
      <c r="A491" s="40">
        <v>490</v>
      </c>
      <c r="B491" s="42">
        <v>40565</v>
      </c>
      <c r="C491" s="40">
        <v>1</v>
      </c>
      <c r="D491" s="40">
        <v>0</v>
      </c>
      <c r="E491" s="40">
        <v>1</v>
      </c>
      <c r="F491" s="40">
        <v>11</v>
      </c>
      <c r="G491" s="40" t="b">
        <v>0</v>
      </c>
      <c r="H491" s="40">
        <v>6</v>
      </c>
      <c r="I491" s="40">
        <v>2</v>
      </c>
      <c r="J491" s="40">
        <v>0.06</v>
      </c>
      <c r="K491" s="40">
        <v>7.5800000000000006E-2</v>
      </c>
      <c r="L491" s="40">
        <v>0.38</v>
      </c>
      <c r="M491" s="40">
        <v>0.1343</v>
      </c>
      <c r="N491" s="40">
        <v>4</v>
      </c>
      <c r="O491" s="40">
        <v>59</v>
      </c>
      <c r="P491" s="40">
        <v>63</v>
      </c>
      <c r="Q491" s="40">
        <v>7.5800000000000006E-2</v>
      </c>
    </row>
    <row r="492" spans="1:17" x14ac:dyDescent="0.3">
      <c r="A492" s="40">
        <v>491</v>
      </c>
      <c r="B492" s="42">
        <v>40565</v>
      </c>
      <c r="C492" s="40">
        <v>1</v>
      </c>
      <c r="D492" s="40">
        <v>0</v>
      </c>
      <c r="E492" s="40">
        <v>1</v>
      </c>
      <c r="F492" s="40">
        <v>12</v>
      </c>
      <c r="G492" s="40" t="b">
        <v>0</v>
      </c>
      <c r="H492" s="40">
        <v>6</v>
      </c>
      <c r="I492" s="40">
        <v>2</v>
      </c>
      <c r="J492" s="40">
        <v>0.06</v>
      </c>
      <c r="K492" s="40">
        <v>0.1061</v>
      </c>
      <c r="L492" s="40">
        <v>0.38</v>
      </c>
      <c r="M492" s="40">
        <v>0.1045</v>
      </c>
      <c r="N492" s="40">
        <v>10</v>
      </c>
      <c r="O492" s="40">
        <v>60</v>
      </c>
      <c r="P492" s="40">
        <v>70</v>
      </c>
      <c r="Q492" s="40">
        <v>0.1061</v>
      </c>
    </row>
    <row r="493" spans="1:17" x14ac:dyDescent="0.3">
      <c r="A493" s="40">
        <v>492</v>
      </c>
      <c r="B493" s="42">
        <v>40565</v>
      </c>
      <c r="C493" s="40">
        <v>1</v>
      </c>
      <c r="D493" s="40">
        <v>0</v>
      </c>
      <c r="E493" s="40">
        <v>1</v>
      </c>
      <c r="F493" s="40">
        <v>13</v>
      </c>
      <c r="G493" s="40" t="b">
        <v>0</v>
      </c>
      <c r="H493" s="40">
        <v>6</v>
      </c>
      <c r="I493" s="40">
        <v>1</v>
      </c>
      <c r="J493" s="40">
        <v>0.08</v>
      </c>
      <c r="K493" s="40">
        <v>0.16669999999999999</v>
      </c>
      <c r="L493" s="40">
        <v>0.35</v>
      </c>
      <c r="M493" s="40">
        <v>0.20485098360655737</v>
      </c>
      <c r="N493" s="40">
        <v>12</v>
      </c>
      <c r="O493" s="40">
        <v>72</v>
      </c>
      <c r="P493" s="40">
        <v>84</v>
      </c>
      <c r="Q493" s="40">
        <v>0.16669999999999999</v>
      </c>
    </row>
    <row r="494" spans="1:17" x14ac:dyDescent="0.3">
      <c r="A494" s="40">
        <v>493</v>
      </c>
      <c r="B494" s="42">
        <v>40565</v>
      </c>
      <c r="C494" s="40">
        <v>1</v>
      </c>
      <c r="D494" s="40">
        <v>0</v>
      </c>
      <c r="E494" s="40">
        <v>1</v>
      </c>
      <c r="F494" s="40">
        <v>14</v>
      </c>
      <c r="G494" s="40" t="b">
        <v>0</v>
      </c>
      <c r="H494" s="40">
        <v>6</v>
      </c>
      <c r="I494" s="40">
        <v>1</v>
      </c>
      <c r="J494" s="40">
        <v>0.1</v>
      </c>
      <c r="K494" s="40">
        <v>0.13639999999999999</v>
      </c>
      <c r="L494" s="40">
        <v>0.33</v>
      </c>
      <c r="M494" s="40">
        <v>0.1045</v>
      </c>
      <c r="N494" s="40">
        <v>11</v>
      </c>
      <c r="O494" s="40">
        <v>64</v>
      </c>
      <c r="P494" s="40">
        <v>75</v>
      </c>
      <c r="Q494" s="40">
        <v>0.13639999999999999</v>
      </c>
    </row>
    <row r="495" spans="1:17" x14ac:dyDescent="0.3">
      <c r="A495" s="40">
        <v>494</v>
      </c>
      <c r="B495" s="42">
        <v>40565</v>
      </c>
      <c r="C495" s="40">
        <v>1</v>
      </c>
      <c r="D495" s="40">
        <v>0</v>
      </c>
      <c r="E495" s="40">
        <v>1</v>
      </c>
      <c r="F495" s="40">
        <v>15</v>
      </c>
      <c r="G495" s="40" t="b">
        <v>0</v>
      </c>
      <c r="H495" s="40">
        <v>6</v>
      </c>
      <c r="I495" s="40">
        <v>1</v>
      </c>
      <c r="J495" s="40">
        <v>0.12</v>
      </c>
      <c r="K495" s="40">
        <v>0.1515</v>
      </c>
      <c r="L495" s="40">
        <v>0.28000000000000003</v>
      </c>
      <c r="M495" s="40">
        <v>0.20485098360655737</v>
      </c>
      <c r="N495" s="40">
        <v>10</v>
      </c>
      <c r="O495" s="40">
        <v>93</v>
      </c>
      <c r="P495" s="40">
        <v>103</v>
      </c>
      <c r="Q495" s="40">
        <v>0.1515</v>
      </c>
    </row>
    <row r="496" spans="1:17" x14ac:dyDescent="0.3">
      <c r="A496" s="40">
        <v>495</v>
      </c>
      <c r="B496" s="42">
        <v>40565</v>
      </c>
      <c r="C496" s="40">
        <v>1</v>
      </c>
      <c r="D496" s="40">
        <v>0</v>
      </c>
      <c r="E496" s="40">
        <v>1</v>
      </c>
      <c r="F496" s="40">
        <v>16</v>
      </c>
      <c r="G496" s="40" t="b">
        <v>0</v>
      </c>
      <c r="H496" s="40">
        <v>6</v>
      </c>
      <c r="I496" s="40">
        <v>1</v>
      </c>
      <c r="J496" s="40">
        <v>0.12</v>
      </c>
      <c r="K496" s="40">
        <v>0.13639999999999999</v>
      </c>
      <c r="L496" s="40">
        <v>0.28000000000000003</v>
      </c>
      <c r="M496" s="40">
        <v>0.19400000000000001</v>
      </c>
      <c r="N496" s="40">
        <v>11</v>
      </c>
      <c r="O496" s="40">
        <v>72</v>
      </c>
      <c r="P496" s="40">
        <v>83</v>
      </c>
      <c r="Q496" s="40">
        <v>0.13639999999999999</v>
      </c>
    </row>
    <row r="497" spans="1:17" x14ac:dyDescent="0.3">
      <c r="A497" s="40">
        <v>496</v>
      </c>
      <c r="B497" s="42">
        <v>40565</v>
      </c>
      <c r="C497" s="40">
        <v>1</v>
      </c>
      <c r="D497" s="40">
        <v>0</v>
      </c>
      <c r="E497" s="40">
        <v>1</v>
      </c>
      <c r="F497" s="40">
        <v>17</v>
      </c>
      <c r="G497" s="40" t="b">
        <v>0</v>
      </c>
      <c r="H497" s="40">
        <v>6</v>
      </c>
      <c r="I497" s="40">
        <v>1</v>
      </c>
      <c r="J497" s="40">
        <v>0.12</v>
      </c>
      <c r="K497" s="40">
        <v>0.19700000000000001</v>
      </c>
      <c r="L497" s="40">
        <v>0.28000000000000003</v>
      </c>
      <c r="M497" s="40">
        <v>0.20485098360655737</v>
      </c>
      <c r="N497" s="40">
        <v>8</v>
      </c>
      <c r="O497" s="40">
        <v>59</v>
      </c>
      <c r="P497" s="40">
        <v>67</v>
      </c>
      <c r="Q497" s="40">
        <v>0.19700000000000001</v>
      </c>
    </row>
    <row r="498" spans="1:17" x14ac:dyDescent="0.3">
      <c r="A498" s="40">
        <v>497</v>
      </c>
      <c r="B498" s="42">
        <v>40565</v>
      </c>
      <c r="C498" s="40">
        <v>1</v>
      </c>
      <c r="D498" s="40">
        <v>0</v>
      </c>
      <c r="E498" s="40">
        <v>1</v>
      </c>
      <c r="F498" s="40">
        <v>18</v>
      </c>
      <c r="G498" s="40" t="b">
        <v>0</v>
      </c>
      <c r="H498" s="40">
        <v>6</v>
      </c>
      <c r="I498" s="40">
        <v>1</v>
      </c>
      <c r="J498" s="40">
        <v>0.08</v>
      </c>
      <c r="K498" s="40">
        <v>9.0899999999999995E-2</v>
      </c>
      <c r="L498" s="40">
        <v>0.35</v>
      </c>
      <c r="M498" s="40">
        <v>0.19400000000000001</v>
      </c>
      <c r="N498" s="40">
        <v>0</v>
      </c>
      <c r="O498" s="40">
        <v>54</v>
      </c>
      <c r="P498" s="40">
        <v>54</v>
      </c>
      <c r="Q498" s="40">
        <v>9.0899999999999995E-2</v>
      </c>
    </row>
    <row r="499" spans="1:17" x14ac:dyDescent="0.3">
      <c r="A499" s="40">
        <v>498</v>
      </c>
      <c r="B499" s="42">
        <v>40565</v>
      </c>
      <c r="C499" s="40">
        <v>1</v>
      </c>
      <c r="D499" s="40">
        <v>0</v>
      </c>
      <c r="E499" s="40">
        <v>1</v>
      </c>
      <c r="F499" s="40">
        <v>19</v>
      </c>
      <c r="G499" s="40" t="b">
        <v>0</v>
      </c>
      <c r="H499" s="40">
        <v>6</v>
      </c>
      <c r="I499" s="40">
        <v>1</v>
      </c>
      <c r="J499" s="40">
        <v>0.08</v>
      </c>
      <c r="K499" s="40">
        <v>0.1061</v>
      </c>
      <c r="L499" s="40">
        <v>0.35</v>
      </c>
      <c r="M499" s="40">
        <v>0.1343</v>
      </c>
      <c r="N499" s="40">
        <v>6</v>
      </c>
      <c r="O499" s="40">
        <v>53</v>
      </c>
      <c r="P499" s="40">
        <v>59</v>
      </c>
      <c r="Q499" s="40">
        <v>0.1061</v>
      </c>
    </row>
    <row r="500" spans="1:17" x14ac:dyDescent="0.3">
      <c r="A500" s="40">
        <v>499</v>
      </c>
      <c r="B500" s="42">
        <v>40565</v>
      </c>
      <c r="C500" s="40">
        <v>1</v>
      </c>
      <c r="D500" s="40">
        <v>0</v>
      </c>
      <c r="E500" s="40">
        <v>1</v>
      </c>
      <c r="F500" s="40">
        <v>20</v>
      </c>
      <c r="G500" s="40" t="b">
        <v>0</v>
      </c>
      <c r="H500" s="40">
        <v>6</v>
      </c>
      <c r="I500" s="40">
        <v>1</v>
      </c>
      <c r="J500" s="40">
        <v>0.06</v>
      </c>
      <c r="K500" s="40">
        <v>7.5800000000000006E-2</v>
      </c>
      <c r="L500" s="40">
        <v>0.45</v>
      </c>
      <c r="M500" s="40">
        <v>0.16420000000000001</v>
      </c>
      <c r="N500" s="40">
        <v>1</v>
      </c>
      <c r="O500" s="40">
        <v>44</v>
      </c>
      <c r="P500" s="40">
        <v>45</v>
      </c>
      <c r="Q500" s="40">
        <v>7.5800000000000006E-2</v>
      </c>
    </row>
    <row r="501" spans="1:17" x14ac:dyDescent="0.3">
      <c r="A501" s="40">
        <v>500</v>
      </c>
      <c r="B501" s="42">
        <v>40565</v>
      </c>
      <c r="C501" s="40">
        <v>1</v>
      </c>
      <c r="D501" s="40">
        <v>0</v>
      </c>
      <c r="E501" s="40">
        <v>1</v>
      </c>
      <c r="F501" s="40">
        <v>21</v>
      </c>
      <c r="G501" s="40" t="b">
        <v>0</v>
      </c>
      <c r="H501" s="40">
        <v>6</v>
      </c>
      <c r="I501" s="40">
        <v>1</v>
      </c>
      <c r="J501" s="40">
        <v>0.06</v>
      </c>
      <c r="K501" s="40">
        <v>0.1061</v>
      </c>
      <c r="L501" s="40">
        <v>0.41</v>
      </c>
      <c r="M501" s="40">
        <v>8.9599999999999999E-2</v>
      </c>
      <c r="N501" s="40">
        <v>0</v>
      </c>
      <c r="O501" s="40">
        <v>39</v>
      </c>
      <c r="P501" s="40">
        <v>39</v>
      </c>
      <c r="Q501" s="40">
        <v>0.1061</v>
      </c>
    </row>
    <row r="502" spans="1:17" x14ac:dyDescent="0.3">
      <c r="A502" s="40">
        <v>501</v>
      </c>
      <c r="B502" s="42">
        <v>40565</v>
      </c>
      <c r="C502" s="40">
        <v>1</v>
      </c>
      <c r="D502" s="40">
        <v>0</v>
      </c>
      <c r="E502" s="40">
        <v>1</v>
      </c>
      <c r="F502" s="40">
        <v>22</v>
      </c>
      <c r="G502" s="40" t="b">
        <v>0</v>
      </c>
      <c r="H502" s="40">
        <v>6</v>
      </c>
      <c r="I502" s="40">
        <v>1</v>
      </c>
      <c r="J502" s="40">
        <v>0.06</v>
      </c>
      <c r="K502" s="40">
        <v>0.1515</v>
      </c>
      <c r="L502" s="40">
        <v>0.49</v>
      </c>
      <c r="M502" s="40">
        <v>0.20485098360655737</v>
      </c>
      <c r="N502" s="40">
        <v>7</v>
      </c>
      <c r="O502" s="40">
        <v>23</v>
      </c>
      <c r="P502" s="40">
        <v>30</v>
      </c>
      <c r="Q502" s="40">
        <v>0.1515</v>
      </c>
    </row>
    <row r="503" spans="1:17" x14ac:dyDescent="0.3">
      <c r="A503" s="40">
        <v>502</v>
      </c>
      <c r="B503" s="42">
        <v>40565</v>
      </c>
      <c r="C503" s="40">
        <v>1</v>
      </c>
      <c r="D503" s="40">
        <v>0</v>
      </c>
      <c r="E503" s="40">
        <v>1</v>
      </c>
      <c r="F503" s="40">
        <v>23</v>
      </c>
      <c r="G503" s="40" t="b">
        <v>0</v>
      </c>
      <c r="H503" s="40">
        <v>6</v>
      </c>
      <c r="I503" s="40">
        <v>1</v>
      </c>
      <c r="J503" s="40">
        <v>0.04</v>
      </c>
      <c r="K503" s="40">
        <v>7.5800000000000006E-2</v>
      </c>
      <c r="L503" s="40">
        <v>0.56999999999999995</v>
      </c>
      <c r="M503" s="40">
        <v>0.1045</v>
      </c>
      <c r="N503" s="40">
        <v>2</v>
      </c>
      <c r="O503" s="40">
        <v>31</v>
      </c>
      <c r="P503" s="40">
        <v>33</v>
      </c>
      <c r="Q503" s="40">
        <v>7.5800000000000006E-2</v>
      </c>
    </row>
    <row r="504" spans="1:17" x14ac:dyDescent="0.3">
      <c r="A504" s="40">
        <v>503</v>
      </c>
      <c r="B504" s="42">
        <v>40566</v>
      </c>
      <c r="C504" s="40">
        <v>1</v>
      </c>
      <c r="D504" s="40">
        <v>0</v>
      </c>
      <c r="E504" s="40">
        <v>1</v>
      </c>
      <c r="F504" s="40">
        <v>0</v>
      </c>
      <c r="G504" s="40" t="b">
        <v>0</v>
      </c>
      <c r="H504" s="40">
        <v>7</v>
      </c>
      <c r="I504" s="40">
        <v>1</v>
      </c>
      <c r="J504" s="40">
        <v>0.04</v>
      </c>
      <c r="K504" s="40">
        <v>7.5800000000000006E-2</v>
      </c>
      <c r="L504" s="40">
        <v>0.56999999999999995</v>
      </c>
      <c r="M504" s="40">
        <v>0.1045</v>
      </c>
      <c r="N504" s="40">
        <v>2</v>
      </c>
      <c r="O504" s="40">
        <v>20</v>
      </c>
      <c r="P504" s="40">
        <v>22</v>
      </c>
      <c r="Q504" s="40">
        <v>7.5800000000000006E-2</v>
      </c>
    </row>
    <row r="505" spans="1:17" x14ac:dyDescent="0.3">
      <c r="A505" s="40">
        <v>504</v>
      </c>
      <c r="B505" s="42">
        <v>40566</v>
      </c>
      <c r="C505" s="40">
        <v>1</v>
      </c>
      <c r="D505" s="40">
        <v>0</v>
      </c>
      <c r="E505" s="40">
        <v>1</v>
      </c>
      <c r="F505" s="40">
        <v>1</v>
      </c>
      <c r="G505" s="40" t="b">
        <v>0</v>
      </c>
      <c r="H505" s="40">
        <v>7</v>
      </c>
      <c r="I505" s="40">
        <v>1</v>
      </c>
      <c r="J505" s="40">
        <v>0.04</v>
      </c>
      <c r="K505" s="40">
        <v>7.5800000000000006E-2</v>
      </c>
      <c r="L505" s="40">
        <v>0.56999999999999995</v>
      </c>
      <c r="M505" s="40">
        <v>0.1045</v>
      </c>
      <c r="N505" s="40">
        <v>1</v>
      </c>
      <c r="O505" s="40">
        <v>12</v>
      </c>
      <c r="P505" s="40">
        <v>13</v>
      </c>
      <c r="Q505" s="40">
        <v>7.5800000000000006E-2</v>
      </c>
    </row>
    <row r="506" spans="1:17" x14ac:dyDescent="0.3">
      <c r="A506" s="40">
        <v>505</v>
      </c>
      <c r="B506" s="42">
        <v>40566</v>
      </c>
      <c r="C506" s="40">
        <v>1</v>
      </c>
      <c r="D506" s="40">
        <v>0</v>
      </c>
      <c r="E506" s="40">
        <v>1</v>
      </c>
      <c r="F506" s="40">
        <v>2</v>
      </c>
      <c r="G506" s="40" t="b">
        <v>0</v>
      </c>
      <c r="H506" s="40">
        <v>7</v>
      </c>
      <c r="I506" s="40">
        <v>1</v>
      </c>
      <c r="J506" s="40">
        <v>0.02</v>
      </c>
      <c r="K506" s="40">
        <v>6.0600000000000001E-2</v>
      </c>
      <c r="L506" s="40">
        <v>0.62</v>
      </c>
      <c r="M506" s="40">
        <v>0.1343</v>
      </c>
      <c r="N506" s="40">
        <v>3</v>
      </c>
      <c r="O506" s="40">
        <v>15</v>
      </c>
      <c r="P506" s="40">
        <v>18</v>
      </c>
      <c r="Q506" s="40">
        <v>6.0600000000000001E-2</v>
      </c>
    </row>
    <row r="507" spans="1:17" x14ac:dyDescent="0.3">
      <c r="A507" s="40">
        <v>506</v>
      </c>
      <c r="B507" s="42">
        <v>40566</v>
      </c>
      <c r="C507" s="40">
        <v>1</v>
      </c>
      <c r="D507" s="40">
        <v>0</v>
      </c>
      <c r="E507" s="40">
        <v>1</v>
      </c>
      <c r="F507" s="40">
        <v>3</v>
      </c>
      <c r="G507" s="40" t="b">
        <v>0</v>
      </c>
      <c r="H507" s="40">
        <v>7</v>
      </c>
      <c r="I507" s="40">
        <v>1</v>
      </c>
      <c r="J507" s="40">
        <v>0.02</v>
      </c>
      <c r="K507" s="40">
        <v>6.0600000000000001E-2</v>
      </c>
      <c r="L507" s="40">
        <v>0.62</v>
      </c>
      <c r="M507" s="40">
        <v>0.1343</v>
      </c>
      <c r="N507" s="40">
        <v>1</v>
      </c>
      <c r="O507" s="40">
        <v>4</v>
      </c>
      <c r="P507" s="40">
        <v>5</v>
      </c>
      <c r="Q507" s="40">
        <v>6.0600000000000001E-2</v>
      </c>
    </row>
    <row r="508" spans="1:17" x14ac:dyDescent="0.3">
      <c r="A508" s="40">
        <v>507</v>
      </c>
      <c r="B508" s="42">
        <v>40566</v>
      </c>
      <c r="C508" s="40">
        <v>1</v>
      </c>
      <c r="D508" s="40">
        <v>0</v>
      </c>
      <c r="E508" s="40">
        <v>1</v>
      </c>
      <c r="F508" s="40">
        <v>5</v>
      </c>
      <c r="G508" s="40" t="b">
        <v>0</v>
      </c>
      <c r="H508" s="40">
        <v>7</v>
      </c>
      <c r="I508" s="40">
        <v>2</v>
      </c>
      <c r="J508" s="40">
        <v>0.04</v>
      </c>
      <c r="K508" s="40">
        <v>7.5800000000000006E-2</v>
      </c>
      <c r="L508" s="40">
        <v>0.56999999999999995</v>
      </c>
      <c r="M508" s="40">
        <v>0.1045</v>
      </c>
      <c r="N508" s="40">
        <v>0</v>
      </c>
      <c r="O508" s="40">
        <v>3</v>
      </c>
      <c r="P508" s="40">
        <v>3</v>
      </c>
      <c r="Q508" s="40">
        <v>7.5800000000000006E-2</v>
      </c>
    </row>
    <row r="509" spans="1:17" x14ac:dyDescent="0.3">
      <c r="A509" s="40">
        <v>508</v>
      </c>
      <c r="B509" s="42">
        <v>40566</v>
      </c>
      <c r="C509" s="40">
        <v>1</v>
      </c>
      <c r="D509" s="40">
        <v>0</v>
      </c>
      <c r="E509" s="40">
        <v>1</v>
      </c>
      <c r="F509" s="40">
        <v>6</v>
      </c>
      <c r="G509" s="40" t="b">
        <v>0</v>
      </c>
      <c r="H509" s="40">
        <v>7</v>
      </c>
      <c r="I509" s="40">
        <v>2</v>
      </c>
      <c r="J509" s="40">
        <v>0.04</v>
      </c>
      <c r="K509" s="40">
        <v>7.5800000000000006E-2</v>
      </c>
      <c r="L509" s="40">
        <v>0.56999999999999995</v>
      </c>
      <c r="M509" s="40">
        <v>0.1045</v>
      </c>
      <c r="N509" s="40">
        <v>0</v>
      </c>
      <c r="O509" s="40">
        <v>1</v>
      </c>
      <c r="P509" s="40">
        <v>1</v>
      </c>
      <c r="Q509" s="40">
        <v>7.5800000000000006E-2</v>
      </c>
    </row>
    <row r="510" spans="1:17" x14ac:dyDescent="0.3">
      <c r="A510" s="40">
        <v>509</v>
      </c>
      <c r="B510" s="42">
        <v>40566</v>
      </c>
      <c r="C510" s="40">
        <v>1</v>
      </c>
      <c r="D510" s="40">
        <v>0</v>
      </c>
      <c r="E510" s="40">
        <v>1</v>
      </c>
      <c r="F510" s="40">
        <v>7</v>
      </c>
      <c r="G510" s="40" t="b">
        <v>0</v>
      </c>
      <c r="H510" s="40">
        <v>7</v>
      </c>
      <c r="I510" s="40">
        <v>1</v>
      </c>
      <c r="J510" s="40">
        <v>0.08</v>
      </c>
      <c r="K510" s="40">
        <v>0.1061</v>
      </c>
      <c r="L510" s="40">
        <v>0.57999999999999996</v>
      </c>
      <c r="M510" s="40">
        <v>0.16420000000000001</v>
      </c>
      <c r="N510" s="40">
        <v>1</v>
      </c>
      <c r="O510" s="40">
        <v>1</v>
      </c>
      <c r="P510" s="40">
        <v>2</v>
      </c>
      <c r="Q510" s="40">
        <v>0.1061</v>
      </c>
    </row>
    <row r="511" spans="1:17" x14ac:dyDescent="0.3">
      <c r="A511" s="40">
        <v>510</v>
      </c>
      <c r="B511" s="42">
        <v>40566</v>
      </c>
      <c r="C511" s="40">
        <v>1</v>
      </c>
      <c r="D511" s="40">
        <v>0</v>
      </c>
      <c r="E511" s="40">
        <v>1</v>
      </c>
      <c r="F511" s="40">
        <v>8</v>
      </c>
      <c r="G511" s="40" t="b">
        <v>0</v>
      </c>
      <c r="H511" s="40">
        <v>7</v>
      </c>
      <c r="I511" s="40">
        <v>1</v>
      </c>
      <c r="J511" s="40">
        <v>0.06</v>
      </c>
      <c r="K511" s="40">
        <v>7.5800000000000006E-2</v>
      </c>
      <c r="L511" s="40">
        <v>0.62</v>
      </c>
      <c r="M511" s="40">
        <v>0.16420000000000001</v>
      </c>
      <c r="N511" s="40">
        <v>2</v>
      </c>
      <c r="O511" s="40">
        <v>17</v>
      </c>
      <c r="P511" s="40">
        <v>19</v>
      </c>
      <c r="Q511" s="40">
        <v>7.5800000000000006E-2</v>
      </c>
    </row>
    <row r="512" spans="1:17" x14ac:dyDescent="0.3">
      <c r="A512" s="40">
        <v>511</v>
      </c>
      <c r="B512" s="42">
        <v>40566</v>
      </c>
      <c r="C512" s="40">
        <v>1</v>
      </c>
      <c r="D512" s="40">
        <v>0</v>
      </c>
      <c r="E512" s="40">
        <v>1</v>
      </c>
      <c r="F512" s="40">
        <v>9</v>
      </c>
      <c r="G512" s="40" t="b">
        <v>0</v>
      </c>
      <c r="H512" s="40">
        <v>7</v>
      </c>
      <c r="I512" s="40">
        <v>1</v>
      </c>
      <c r="J512" s="40">
        <v>0.1</v>
      </c>
      <c r="K512" s="40">
        <v>7.5800000000000006E-2</v>
      </c>
      <c r="L512" s="40">
        <v>0.54</v>
      </c>
      <c r="M512" s="40">
        <v>0.35820000000000002</v>
      </c>
      <c r="N512" s="40">
        <v>3</v>
      </c>
      <c r="O512" s="40">
        <v>25</v>
      </c>
      <c r="P512" s="40">
        <v>28</v>
      </c>
      <c r="Q512" s="40">
        <v>7.5800000000000006E-2</v>
      </c>
    </row>
    <row r="513" spans="1:17" x14ac:dyDescent="0.3">
      <c r="A513" s="40">
        <v>512</v>
      </c>
      <c r="B513" s="42">
        <v>40566</v>
      </c>
      <c r="C513" s="40">
        <v>1</v>
      </c>
      <c r="D513" s="40">
        <v>0</v>
      </c>
      <c r="E513" s="40">
        <v>1</v>
      </c>
      <c r="F513" s="40">
        <v>10</v>
      </c>
      <c r="G513" s="40" t="b">
        <v>0</v>
      </c>
      <c r="H513" s="40">
        <v>7</v>
      </c>
      <c r="I513" s="40">
        <v>1</v>
      </c>
      <c r="J513" s="40">
        <v>0.14000000000000001</v>
      </c>
      <c r="K513" s="40">
        <v>0.1061</v>
      </c>
      <c r="L513" s="40">
        <v>0.46</v>
      </c>
      <c r="M513" s="40">
        <v>0.3881</v>
      </c>
      <c r="N513" s="40">
        <v>7</v>
      </c>
      <c r="O513" s="40">
        <v>51</v>
      </c>
      <c r="P513" s="40">
        <v>58</v>
      </c>
      <c r="Q513" s="40">
        <v>0.1061</v>
      </c>
    </row>
    <row r="514" spans="1:17" x14ac:dyDescent="0.3">
      <c r="A514" s="40">
        <v>513</v>
      </c>
      <c r="B514" s="42">
        <v>40566</v>
      </c>
      <c r="C514" s="40">
        <v>1</v>
      </c>
      <c r="D514" s="40">
        <v>0</v>
      </c>
      <c r="E514" s="40">
        <v>1</v>
      </c>
      <c r="F514" s="40">
        <v>11</v>
      </c>
      <c r="G514" s="40" t="b">
        <v>0</v>
      </c>
      <c r="H514" s="40">
        <v>7</v>
      </c>
      <c r="I514" s="40">
        <v>1</v>
      </c>
      <c r="J514" s="40">
        <v>0.14000000000000001</v>
      </c>
      <c r="K514" s="40">
        <v>0.13639999999999999</v>
      </c>
      <c r="L514" s="40">
        <v>0.43</v>
      </c>
      <c r="M514" s="40">
        <v>0.22389999999999999</v>
      </c>
      <c r="N514" s="40">
        <v>22</v>
      </c>
      <c r="O514" s="40">
        <v>77</v>
      </c>
      <c r="P514" s="40">
        <v>99</v>
      </c>
      <c r="Q514" s="40">
        <v>0.13639999999999999</v>
      </c>
    </row>
    <row r="515" spans="1:17" x14ac:dyDescent="0.3">
      <c r="A515" s="40">
        <v>514</v>
      </c>
      <c r="B515" s="42">
        <v>40566</v>
      </c>
      <c r="C515" s="40">
        <v>1</v>
      </c>
      <c r="D515" s="40">
        <v>0</v>
      </c>
      <c r="E515" s="40">
        <v>1</v>
      </c>
      <c r="F515" s="40">
        <v>12</v>
      </c>
      <c r="G515" s="40" t="b">
        <v>0</v>
      </c>
      <c r="H515" s="40">
        <v>7</v>
      </c>
      <c r="I515" s="40">
        <v>1</v>
      </c>
      <c r="J515" s="40">
        <v>0.16</v>
      </c>
      <c r="K515" s="40">
        <v>0.1212</v>
      </c>
      <c r="L515" s="40">
        <v>0.37</v>
      </c>
      <c r="M515" s="40">
        <v>0.4627</v>
      </c>
      <c r="N515" s="40">
        <v>24</v>
      </c>
      <c r="O515" s="40">
        <v>92</v>
      </c>
      <c r="P515" s="40">
        <v>116</v>
      </c>
      <c r="Q515" s="40">
        <v>0.1212</v>
      </c>
    </row>
    <row r="516" spans="1:17" x14ac:dyDescent="0.3">
      <c r="A516" s="40">
        <v>515</v>
      </c>
      <c r="B516" s="42">
        <v>40566</v>
      </c>
      <c r="C516" s="40">
        <v>1</v>
      </c>
      <c r="D516" s="40">
        <v>0</v>
      </c>
      <c r="E516" s="40">
        <v>1</v>
      </c>
      <c r="F516" s="40">
        <v>13</v>
      </c>
      <c r="G516" s="40" t="b">
        <v>0</v>
      </c>
      <c r="H516" s="40">
        <v>7</v>
      </c>
      <c r="I516" s="40">
        <v>1</v>
      </c>
      <c r="J516" s="40">
        <v>0.14000000000000001</v>
      </c>
      <c r="K516" s="40">
        <v>0.1061</v>
      </c>
      <c r="L516" s="40">
        <v>0.33</v>
      </c>
      <c r="M516" s="40">
        <v>0.3881</v>
      </c>
      <c r="N516" s="40">
        <v>12</v>
      </c>
      <c r="O516" s="40">
        <v>75</v>
      </c>
      <c r="P516" s="40">
        <v>87</v>
      </c>
      <c r="Q516" s="40">
        <v>0.1061</v>
      </c>
    </row>
    <row r="517" spans="1:17" x14ac:dyDescent="0.3">
      <c r="A517" s="40">
        <v>516</v>
      </c>
      <c r="B517" s="42">
        <v>40566</v>
      </c>
      <c r="C517" s="40">
        <v>1</v>
      </c>
      <c r="D517" s="40">
        <v>0</v>
      </c>
      <c r="E517" s="40">
        <v>1</v>
      </c>
      <c r="F517" s="40">
        <v>14</v>
      </c>
      <c r="G517" s="40" t="b">
        <v>0</v>
      </c>
      <c r="H517" s="40">
        <v>7</v>
      </c>
      <c r="I517" s="40">
        <v>1</v>
      </c>
      <c r="J517" s="40">
        <v>0.16</v>
      </c>
      <c r="K517" s="40">
        <v>0.13639999999999999</v>
      </c>
      <c r="L517" s="40">
        <v>0.28000000000000003</v>
      </c>
      <c r="M517" s="40">
        <v>0.35820000000000002</v>
      </c>
      <c r="N517" s="40">
        <v>17</v>
      </c>
      <c r="O517" s="40">
        <v>93</v>
      </c>
      <c r="P517" s="40">
        <v>110</v>
      </c>
      <c r="Q517" s="40">
        <v>0.13639999999999999</v>
      </c>
    </row>
    <row r="518" spans="1:17" x14ac:dyDescent="0.3">
      <c r="A518" s="40">
        <v>517</v>
      </c>
      <c r="B518" s="42">
        <v>40566</v>
      </c>
      <c r="C518" s="40">
        <v>1</v>
      </c>
      <c r="D518" s="40">
        <v>0</v>
      </c>
      <c r="E518" s="40">
        <v>1</v>
      </c>
      <c r="F518" s="40">
        <v>15</v>
      </c>
      <c r="G518" s="40" t="b">
        <v>0</v>
      </c>
      <c r="H518" s="40">
        <v>7</v>
      </c>
      <c r="I518" s="40">
        <v>1</v>
      </c>
      <c r="J518" s="40">
        <v>0.16</v>
      </c>
      <c r="K518" s="40">
        <v>0.13639999999999999</v>
      </c>
      <c r="L518" s="40">
        <v>0.28000000000000003</v>
      </c>
      <c r="M518" s="40">
        <v>0.35820000000000002</v>
      </c>
      <c r="N518" s="40">
        <v>13</v>
      </c>
      <c r="O518" s="40">
        <v>64</v>
      </c>
      <c r="P518" s="40">
        <v>77</v>
      </c>
      <c r="Q518" s="40">
        <v>0.13639999999999999</v>
      </c>
    </row>
    <row r="519" spans="1:17" x14ac:dyDescent="0.3">
      <c r="A519" s="40">
        <v>518</v>
      </c>
      <c r="B519" s="42">
        <v>40566</v>
      </c>
      <c r="C519" s="40">
        <v>1</v>
      </c>
      <c r="D519" s="40">
        <v>0</v>
      </c>
      <c r="E519" s="40">
        <v>1</v>
      </c>
      <c r="F519" s="40">
        <v>16</v>
      </c>
      <c r="G519" s="40" t="b">
        <v>0</v>
      </c>
      <c r="H519" s="40">
        <v>7</v>
      </c>
      <c r="I519" s="40">
        <v>1</v>
      </c>
      <c r="J519" s="40">
        <v>0.16</v>
      </c>
      <c r="K519" s="40">
        <v>0.13639999999999999</v>
      </c>
      <c r="L519" s="40">
        <v>0.26</v>
      </c>
      <c r="M519" s="40">
        <v>0.32840000000000003</v>
      </c>
      <c r="N519" s="40">
        <v>9</v>
      </c>
      <c r="O519" s="40">
        <v>56</v>
      </c>
      <c r="P519" s="40">
        <v>65</v>
      </c>
      <c r="Q519" s="40">
        <v>0.13639999999999999</v>
      </c>
    </row>
    <row r="520" spans="1:17" x14ac:dyDescent="0.3">
      <c r="A520" s="40">
        <v>519</v>
      </c>
      <c r="B520" s="42">
        <v>40566</v>
      </c>
      <c r="C520" s="40">
        <v>1</v>
      </c>
      <c r="D520" s="40">
        <v>0</v>
      </c>
      <c r="E520" s="40">
        <v>1</v>
      </c>
      <c r="F520" s="40">
        <v>17</v>
      </c>
      <c r="G520" s="40" t="b">
        <v>0</v>
      </c>
      <c r="H520" s="40">
        <v>7</v>
      </c>
      <c r="I520" s="40">
        <v>1</v>
      </c>
      <c r="J520" s="40">
        <v>0.14000000000000001</v>
      </c>
      <c r="K520" s="40">
        <v>0.1061</v>
      </c>
      <c r="L520" s="40">
        <v>0.26</v>
      </c>
      <c r="M520" s="40">
        <v>0.3881</v>
      </c>
      <c r="N520" s="40">
        <v>5</v>
      </c>
      <c r="O520" s="40">
        <v>50</v>
      </c>
      <c r="P520" s="40">
        <v>55</v>
      </c>
      <c r="Q520" s="40">
        <v>0.1061</v>
      </c>
    </row>
    <row r="521" spans="1:17" x14ac:dyDescent="0.3">
      <c r="A521" s="40">
        <v>520</v>
      </c>
      <c r="B521" s="42">
        <v>40566</v>
      </c>
      <c r="C521" s="40">
        <v>1</v>
      </c>
      <c r="D521" s="40">
        <v>0</v>
      </c>
      <c r="E521" s="40">
        <v>1</v>
      </c>
      <c r="F521" s="40">
        <v>18</v>
      </c>
      <c r="G521" s="40" t="b">
        <v>0</v>
      </c>
      <c r="H521" s="40">
        <v>7</v>
      </c>
      <c r="I521" s="40">
        <v>1</v>
      </c>
      <c r="J521" s="40">
        <v>0.12</v>
      </c>
      <c r="K521" s="40">
        <v>0.1212</v>
      </c>
      <c r="L521" s="40">
        <v>0.3</v>
      </c>
      <c r="M521" s="40">
        <v>0.25369999999999998</v>
      </c>
      <c r="N521" s="40">
        <v>5</v>
      </c>
      <c r="O521" s="40">
        <v>44</v>
      </c>
      <c r="P521" s="40">
        <v>49</v>
      </c>
      <c r="Q521" s="40">
        <v>0.1212</v>
      </c>
    </row>
    <row r="522" spans="1:17" x14ac:dyDescent="0.3">
      <c r="A522" s="40">
        <v>521</v>
      </c>
      <c r="B522" s="42">
        <v>40566</v>
      </c>
      <c r="C522" s="40">
        <v>1</v>
      </c>
      <c r="D522" s="40">
        <v>0</v>
      </c>
      <c r="E522" s="40">
        <v>1</v>
      </c>
      <c r="F522" s="40">
        <v>19</v>
      </c>
      <c r="G522" s="40" t="b">
        <v>0</v>
      </c>
      <c r="H522" s="40">
        <v>7</v>
      </c>
      <c r="I522" s="40">
        <v>1</v>
      </c>
      <c r="J522" s="40">
        <v>0.12</v>
      </c>
      <c r="K522" s="40">
        <v>0.1212</v>
      </c>
      <c r="L522" s="40">
        <v>0.3</v>
      </c>
      <c r="M522" s="40">
        <v>0.28360000000000002</v>
      </c>
      <c r="N522" s="40">
        <v>5</v>
      </c>
      <c r="O522" s="40">
        <v>45</v>
      </c>
      <c r="P522" s="40">
        <v>50</v>
      </c>
      <c r="Q522" s="40">
        <v>0.1212</v>
      </c>
    </row>
    <row r="523" spans="1:17" x14ac:dyDescent="0.3">
      <c r="A523" s="40">
        <v>522</v>
      </c>
      <c r="B523" s="42">
        <v>40566</v>
      </c>
      <c r="C523" s="40">
        <v>1</v>
      </c>
      <c r="D523" s="40">
        <v>0</v>
      </c>
      <c r="E523" s="40">
        <v>1</v>
      </c>
      <c r="F523" s="40">
        <v>20</v>
      </c>
      <c r="G523" s="40" t="b">
        <v>0</v>
      </c>
      <c r="H523" s="40">
        <v>7</v>
      </c>
      <c r="I523" s="40">
        <v>1</v>
      </c>
      <c r="J523" s="40">
        <v>0.1</v>
      </c>
      <c r="K523" s="40">
        <v>0.1061</v>
      </c>
      <c r="L523" s="40">
        <v>0.36</v>
      </c>
      <c r="M523" s="40">
        <v>0.25369999999999998</v>
      </c>
      <c r="N523" s="40">
        <v>4</v>
      </c>
      <c r="O523" s="40">
        <v>31</v>
      </c>
      <c r="P523" s="40">
        <v>35</v>
      </c>
      <c r="Q523" s="40">
        <v>0.1061</v>
      </c>
    </row>
    <row r="524" spans="1:17" x14ac:dyDescent="0.3">
      <c r="A524" s="40">
        <v>523</v>
      </c>
      <c r="B524" s="42">
        <v>40566</v>
      </c>
      <c r="C524" s="40">
        <v>1</v>
      </c>
      <c r="D524" s="40">
        <v>0</v>
      </c>
      <c r="E524" s="40">
        <v>1</v>
      </c>
      <c r="F524" s="40">
        <v>21</v>
      </c>
      <c r="G524" s="40" t="b">
        <v>0</v>
      </c>
      <c r="H524" s="40">
        <v>7</v>
      </c>
      <c r="I524" s="40">
        <v>1</v>
      </c>
      <c r="J524" s="40">
        <v>0.1</v>
      </c>
      <c r="K524" s="40">
        <v>0.1061</v>
      </c>
      <c r="L524" s="40">
        <v>0.36</v>
      </c>
      <c r="M524" s="40">
        <v>0.19400000000000001</v>
      </c>
      <c r="N524" s="40">
        <v>5</v>
      </c>
      <c r="O524" s="40">
        <v>20</v>
      </c>
      <c r="P524" s="40">
        <v>25</v>
      </c>
      <c r="Q524" s="40">
        <v>0.1061</v>
      </c>
    </row>
    <row r="525" spans="1:17" x14ac:dyDescent="0.3">
      <c r="A525" s="40">
        <v>524</v>
      </c>
      <c r="B525" s="42">
        <v>40566</v>
      </c>
      <c r="C525" s="40">
        <v>1</v>
      </c>
      <c r="D525" s="40">
        <v>0</v>
      </c>
      <c r="E525" s="40">
        <v>1</v>
      </c>
      <c r="F525" s="40">
        <v>22</v>
      </c>
      <c r="G525" s="40" t="b">
        <v>0</v>
      </c>
      <c r="H525" s="40">
        <v>7</v>
      </c>
      <c r="I525" s="40">
        <v>1</v>
      </c>
      <c r="J525" s="40">
        <v>0.08</v>
      </c>
      <c r="K525" s="40">
        <v>9.0899999999999995E-2</v>
      </c>
      <c r="L525" s="40">
        <v>0.38</v>
      </c>
      <c r="M525" s="40">
        <v>0.19400000000000001</v>
      </c>
      <c r="N525" s="40">
        <v>5</v>
      </c>
      <c r="O525" s="40">
        <v>23</v>
      </c>
      <c r="P525" s="40">
        <v>28</v>
      </c>
      <c r="Q525" s="40">
        <v>9.0899999999999995E-2</v>
      </c>
    </row>
    <row r="526" spans="1:17" x14ac:dyDescent="0.3">
      <c r="A526" s="40">
        <v>525</v>
      </c>
      <c r="B526" s="42">
        <v>40566</v>
      </c>
      <c r="C526" s="40">
        <v>1</v>
      </c>
      <c r="D526" s="40">
        <v>0</v>
      </c>
      <c r="E526" s="40">
        <v>1</v>
      </c>
      <c r="F526" s="40">
        <v>23</v>
      </c>
      <c r="G526" s="40" t="b">
        <v>0</v>
      </c>
      <c r="H526" s="40">
        <v>7</v>
      </c>
      <c r="I526" s="40">
        <v>1</v>
      </c>
      <c r="J526" s="40">
        <v>0.06</v>
      </c>
      <c r="K526" s="40">
        <v>6.0600000000000001E-2</v>
      </c>
      <c r="L526" s="40">
        <v>0.41</v>
      </c>
      <c r="M526" s="40">
        <v>0.22389999999999999</v>
      </c>
      <c r="N526" s="40">
        <v>4</v>
      </c>
      <c r="O526" s="40">
        <v>17</v>
      </c>
      <c r="P526" s="40">
        <v>21</v>
      </c>
      <c r="Q526" s="40">
        <v>6.0600000000000001E-2</v>
      </c>
    </row>
    <row r="527" spans="1:17" x14ac:dyDescent="0.3">
      <c r="A527" s="40">
        <v>526</v>
      </c>
      <c r="B527" s="42">
        <v>40567</v>
      </c>
      <c r="C527" s="40">
        <v>1</v>
      </c>
      <c r="D527" s="40">
        <v>0</v>
      </c>
      <c r="E527" s="40">
        <v>1</v>
      </c>
      <c r="F527" s="40">
        <v>0</v>
      </c>
      <c r="G527" s="40" t="b">
        <v>0</v>
      </c>
      <c r="H527" s="40">
        <v>1</v>
      </c>
      <c r="I527" s="40">
        <v>1</v>
      </c>
      <c r="J527" s="40">
        <v>0.06</v>
      </c>
      <c r="K527" s="40">
        <v>6.0600000000000001E-2</v>
      </c>
      <c r="L527" s="40">
        <v>0.41</v>
      </c>
      <c r="M527" s="40">
        <v>0.19400000000000001</v>
      </c>
      <c r="N527" s="40">
        <v>0</v>
      </c>
      <c r="O527" s="40">
        <v>7</v>
      </c>
      <c r="P527" s="40">
        <v>7</v>
      </c>
      <c r="Q527" s="40">
        <v>6.0600000000000001E-2</v>
      </c>
    </row>
    <row r="528" spans="1:17" x14ac:dyDescent="0.3">
      <c r="A528" s="40">
        <v>527</v>
      </c>
      <c r="B528" s="42">
        <v>40567</v>
      </c>
      <c r="C528" s="40">
        <v>1</v>
      </c>
      <c r="D528" s="40">
        <v>0</v>
      </c>
      <c r="E528" s="40">
        <v>1</v>
      </c>
      <c r="F528" s="40">
        <v>1</v>
      </c>
      <c r="G528" s="40" t="b">
        <v>0</v>
      </c>
      <c r="H528" s="40">
        <v>1</v>
      </c>
      <c r="I528" s="40">
        <v>1</v>
      </c>
      <c r="J528" s="40">
        <v>0.04</v>
      </c>
      <c r="K528" s="40">
        <v>4.5499999999999999E-2</v>
      </c>
      <c r="L528" s="40">
        <v>0.45</v>
      </c>
      <c r="M528" s="40">
        <v>0.19400000000000001</v>
      </c>
      <c r="N528" s="40">
        <v>0</v>
      </c>
      <c r="O528" s="40">
        <v>1</v>
      </c>
      <c r="P528" s="40">
        <v>1</v>
      </c>
      <c r="Q528" s="40">
        <v>4.5499999999999999E-2</v>
      </c>
    </row>
    <row r="529" spans="1:17" x14ac:dyDescent="0.3">
      <c r="A529" s="40">
        <v>528</v>
      </c>
      <c r="B529" s="42">
        <v>40567</v>
      </c>
      <c r="C529" s="40">
        <v>1</v>
      </c>
      <c r="D529" s="40">
        <v>0</v>
      </c>
      <c r="E529" s="40">
        <v>1</v>
      </c>
      <c r="F529" s="40">
        <v>3</v>
      </c>
      <c r="G529" s="40" t="b">
        <v>0</v>
      </c>
      <c r="H529" s="40">
        <v>1</v>
      </c>
      <c r="I529" s="40">
        <v>1</v>
      </c>
      <c r="J529" s="40">
        <v>0.04</v>
      </c>
      <c r="K529" s="40">
        <v>3.0300000000000001E-2</v>
      </c>
      <c r="L529" s="40">
        <v>0.45</v>
      </c>
      <c r="M529" s="40">
        <v>0.25369999999999998</v>
      </c>
      <c r="N529" s="40">
        <v>0</v>
      </c>
      <c r="O529" s="40">
        <v>1</v>
      </c>
      <c r="P529" s="40">
        <v>1</v>
      </c>
      <c r="Q529" s="40">
        <v>3.0300000000000001E-2</v>
      </c>
    </row>
    <row r="530" spans="1:17" x14ac:dyDescent="0.3">
      <c r="A530" s="40">
        <v>529</v>
      </c>
      <c r="B530" s="42">
        <v>40567</v>
      </c>
      <c r="C530" s="40">
        <v>1</v>
      </c>
      <c r="D530" s="40">
        <v>0</v>
      </c>
      <c r="E530" s="40">
        <v>1</v>
      </c>
      <c r="F530" s="40">
        <v>4</v>
      </c>
      <c r="G530" s="40" t="b">
        <v>0</v>
      </c>
      <c r="H530" s="40">
        <v>1</v>
      </c>
      <c r="I530" s="40">
        <v>1</v>
      </c>
      <c r="J530" s="40">
        <v>0.02</v>
      </c>
      <c r="K530" s="40">
        <v>6.0600000000000001E-2</v>
      </c>
      <c r="L530" s="40">
        <v>0.48</v>
      </c>
      <c r="M530" s="40">
        <v>0.1343</v>
      </c>
      <c r="N530" s="40">
        <v>0</v>
      </c>
      <c r="O530" s="40">
        <v>1</v>
      </c>
      <c r="P530" s="40">
        <v>1</v>
      </c>
      <c r="Q530" s="40">
        <v>6.0600000000000001E-2</v>
      </c>
    </row>
    <row r="531" spans="1:17" x14ac:dyDescent="0.3">
      <c r="A531" s="40">
        <v>530</v>
      </c>
      <c r="B531" s="42">
        <v>40567</v>
      </c>
      <c r="C531" s="40">
        <v>1</v>
      </c>
      <c r="D531" s="40">
        <v>0</v>
      </c>
      <c r="E531" s="40">
        <v>1</v>
      </c>
      <c r="F531" s="40">
        <v>5</v>
      </c>
      <c r="G531" s="40" t="b">
        <v>0</v>
      </c>
      <c r="H531" s="40">
        <v>1</v>
      </c>
      <c r="I531" s="40">
        <v>1</v>
      </c>
      <c r="J531" s="40">
        <v>0.02</v>
      </c>
      <c r="K531" s="40">
        <v>6.0600000000000001E-2</v>
      </c>
      <c r="L531" s="40">
        <v>0.48</v>
      </c>
      <c r="M531" s="40">
        <v>0.1343</v>
      </c>
      <c r="N531" s="40">
        <v>0</v>
      </c>
      <c r="O531" s="40">
        <v>5</v>
      </c>
      <c r="P531" s="40">
        <v>5</v>
      </c>
      <c r="Q531" s="40">
        <v>6.0600000000000001E-2</v>
      </c>
    </row>
    <row r="532" spans="1:17" x14ac:dyDescent="0.3">
      <c r="A532" s="40">
        <v>531</v>
      </c>
      <c r="B532" s="42">
        <v>40567</v>
      </c>
      <c r="C532" s="40">
        <v>1</v>
      </c>
      <c r="D532" s="40">
        <v>0</v>
      </c>
      <c r="E532" s="40">
        <v>1</v>
      </c>
      <c r="F532" s="40">
        <v>6</v>
      </c>
      <c r="G532" s="40" t="b">
        <v>0</v>
      </c>
      <c r="H532" s="40">
        <v>1</v>
      </c>
      <c r="I532" s="40">
        <v>1</v>
      </c>
      <c r="J532" s="40">
        <v>0.02</v>
      </c>
      <c r="K532" s="40">
        <v>7.5800000000000006E-2</v>
      </c>
      <c r="L532" s="40">
        <v>0.48</v>
      </c>
      <c r="M532" s="40">
        <v>8.9599999999999999E-2</v>
      </c>
      <c r="N532" s="40">
        <v>0</v>
      </c>
      <c r="O532" s="40">
        <v>15</v>
      </c>
      <c r="P532" s="40">
        <v>15</v>
      </c>
      <c r="Q532" s="40">
        <v>7.5800000000000006E-2</v>
      </c>
    </row>
    <row r="533" spans="1:17" x14ac:dyDescent="0.3">
      <c r="A533" s="40">
        <v>532</v>
      </c>
      <c r="B533" s="42">
        <v>40567</v>
      </c>
      <c r="C533" s="40">
        <v>1</v>
      </c>
      <c r="D533" s="40">
        <v>0</v>
      </c>
      <c r="E533" s="40">
        <v>1</v>
      </c>
      <c r="F533" s="40">
        <v>7</v>
      </c>
      <c r="G533" s="40" t="b">
        <v>0</v>
      </c>
      <c r="H533" s="40">
        <v>1</v>
      </c>
      <c r="I533" s="40">
        <v>1</v>
      </c>
      <c r="J533" s="40">
        <v>0.02</v>
      </c>
      <c r="K533" s="40">
        <v>0.1212</v>
      </c>
      <c r="L533" s="40">
        <v>0.48</v>
      </c>
      <c r="M533" s="40">
        <v>0.20485098360655737</v>
      </c>
      <c r="N533" s="40">
        <v>5</v>
      </c>
      <c r="O533" s="40">
        <v>79</v>
      </c>
      <c r="P533" s="40">
        <v>84</v>
      </c>
      <c r="Q533" s="40">
        <v>0.1212</v>
      </c>
    </row>
    <row r="534" spans="1:17" x14ac:dyDescent="0.3">
      <c r="A534" s="40">
        <v>533</v>
      </c>
      <c r="B534" s="42">
        <v>40567</v>
      </c>
      <c r="C534" s="40">
        <v>1</v>
      </c>
      <c r="D534" s="40">
        <v>0</v>
      </c>
      <c r="E534" s="40">
        <v>1</v>
      </c>
      <c r="F534" s="40">
        <v>8</v>
      </c>
      <c r="G534" s="40" t="b">
        <v>0</v>
      </c>
      <c r="H534" s="40">
        <v>1</v>
      </c>
      <c r="I534" s="40">
        <v>1</v>
      </c>
      <c r="J534" s="40">
        <v>0.04</v>
      </c>
      <c r="K534" s="40">
        <v>0.13639999999999999</v>
      </c>
      <c r="L534" s="40">
        <v>0.49</v>
      </c>
      <c r="M534" s="40">
        <v>0.20485098360655737</v>
      </c>
      <c r="N534" s="40">
        <v>6</v>
      </c>
      <c r="O534" s="40">
        <v>171</v>
      </c>
      <c r="P534" s="40">
        <v>177</v>
      </c>
      <c r="Q534" s="40">
        <v>0.13639999999999999</v>
      </c>
    </row>
    <row r="535" spans="1:17" x14ac:dyDescent="0.3">
      <c r="A535" s="40">
        <v>534</v>
      </c>
      <c r="B535" s="42">
        <v>40567</v>
      </c>
      <c r="C535" s="40">
        <v>1</v>
      </c>
      <c r="D535" s="40">
        <v>0</v>
      </c>
      <c r="E535" s="40">
        <v>1</v>
      </c>
      <c r="F535" s="40">
        <v>9</v>
      </c>
      <c r="G535" s="40" t="b">
        <v>0</v>
      </c>
      <c r="H535" s="40">
        <v>1</v>
      </c>
      <c r="I535" s="40">
        <v>1</v>
      </c>
      <c r="J535" s="40">
        <v>0.06</v>
      </c>
      <c r="K535" s="40">
        <v>0.1515</v>
      </c>
      <c r="L535" s="40">
        <v>0.41</v>
      </c>
      <c r="M535" s="40">
        <v>0.20485098360655737</v>
      </c>
      <c r="N535" s="40">
        <v>4</v>
      </c>
      <c r="O535" s="40">
        <v>98</v>
      </c>
      <c r="P535" s="40">
        <v>102</v>
      </c>
      <c r="Q535" s="40">
        <v>0.1515</v>
      </c>
    </row>
    <row r="536" spans="1:17" x14ac:dyDescent="0.3">
      <c r="A536" s="40">
        <v>535</v>
      </c>
      <c r="B536" s="42">
        <v>40567</v>
      </c>
      <c r="C536" s="40">
        <v>1</v>
      </c>
      <c r="D536" s="40">
        <v>0</v>
      </c>
      <c r="E536" s="40">
        <v>1</v>
      </c>
      <c r="F536" s="40">
        <v>10</v>
      </c>
      <c r="G536" s="40" t="b">
        <v>0</v>
      </c>
      <c r="H536" s="40">
        <v>1</v>
      </c>
      <c r="I536" s="40">
        <v>1</v>
      </c>
      <c r="J536" s="40">
        <v>0.1</v>
      </c>
      <c r="K536" s="40">
        <v>0.13639999999999999</v>
      </c>
      <c r="L536" s="40">
        <v>0.42</v>
      </c>
      <c r="M536" s="40">
        <v>0.20485098360655737</v>
      </c>
      <c r="N536" s="40">
        <v>6</v>
      </c>
      <c r="O536" s="40">
        <v>34</v>
      </c>
      <c r="P536" s="40">
        <v>40</v>
      </c>
      <c r="Q536" s="40">
        <v>0.13639999999999999</v>
      </c>
    </row>
    <row r="537" spans="1:17" x14ac:dyDescent="0.3">
      <c r="A537" s="40">
        <v>536</v>
      </c>
      <c r="B537" s="42">
        <v>40567</v>
      </c>
      <c r="C537" s="40">
        <v>1</v>
      </c>
      <c r="D537" s="40">
        <v>0</v>
      </c>
      <c r="E537" s="40">
        <v>1</v>
      </c>
      <c r="F537" s="40">
        <v>11</v>
      </c>
      <c r="G537" s="40" t="b">
        <v>0</v>
      </c>
      <c r="H537" s="40">
        <v>1</v>
      </c>
      <c r="I537" s="40">
        <v>1</v>
      </c>
      <c r="J537" s="40">
        <v>0.1</v>
      </c>
      <c r="K537" s="40">
        <v>0.1212</v>
      </c>
      <c r="L537" s="40">
        <v>0.46</v>
      </c>
      <c r="M537" s="40">
        <v>0.1343</v>
      </c>
      <c r="N537" s="40">
        <v>3</v>
      </c>
      <c r="O537" s="40">
        <v>43</v>
      </c>
      <c r="P537" s="40">
        <v>46</v>
      </c>
      <c r="Q537" s="40">
        <v>0.1212</v>
      </c>
    </row>
    <row r="538" spans="1:17" x14ac:dyDescent="0.3">
      <c r="A538" s="40">
        <v>537</v>
      </c>
      <c r="B538" s="42">
        <v>40567</v>
      </c>
      <c r="C538" s="40">
        <v>1</v>
      </c>
      <c r="D538" s="40">
        <v>0</v>
      </c>
      <c r="E538" s="40">
        <v>1</v>
      </c>
      <c r="F538" s="40">
        <v>12</v>
      </c>
      <c r="G538" s="40" t="b">
        <v>0</v>
      </c>
      <c r="H538" s="40">
        <v>1</v>
      </c>
      <c r="I538" s="40">
        <v>2</v>
      </c>
      <c r="J538" s="40">
        <v>0.12</v>
      </c>
      <c r="K538" s="40">
        <v>0.13639999999999999</v>
      </c>
      <c r="L538" s="40">
        <v>0.42</v>
      </c>
      <c r="M538" s="40">
        <v>0.19400000000000001</v>
      </c>
      <c r="N538" s="40">
        <v>11</v>
      </c>
      <c r="O538" s="40">
        <v>52</v>
      </c>
      <c r="P538" s="40">
        <v>63</v>
      </c>
      <c r="Q538" s="40">
        <v>0.13639999999999999</v>
      </c>
    </row>
    <row r="539" spans="1:17" x14ac:dyDescent="0.3">
      <c r="A539" s="40">
        <v>538</v>
      </c>
      <c r="B539" s="42">
        <v>40567</v>
      </c>
      <c r="C539" s="40">
        <v>1</v>
      </c>
      <c r="D539" s="40">
        <v>0</v>
      </c>
      <c r="E539" s="40">
        <v>1</v>
      </c>
      <c r="F539" s="40">
        <v>13</v>
      </c>
      <c r="G539" s="40" t="b">
        <v>0</v>
      </c>
      <c r="H539" s="40">
        <v>1</v>
      </c>
      <c r="I539" s="40">
        <v>2</v>
      </c>
      <c r="J539" s="40">
        <v>0.14000000000000001</v>
      </c>
      <c r="K539" s="40">
        <v>0.13639999999999999</v>
      </c>
      <c r="L539" s="40">
        <v>0.43</v>
      </c>
      <c r="M539" s="40">
        <v>0.22389999999999999</v>
      </c>
      <c r="N539" s="40">
        <v>6</v>
      </c>
      <c r="O539" s="40">
        <v>54</v>
      </c>
      <c r="P539" s="40">
        <v>60</v>
      </c>
      <c r="Q539" s="40">
        <v>0.13639999999999999</v>
      </c>
    </row>
    <row r="540" spans="1:17" x14ac:dyDescent="0.3">
      <c r="A540" s="40">
        <v>539</v>
      </c>
      <c r="B540" s="42">
        <v>40567</v>
      </c>
      <c r="C540" s="40">
        <v>1</v>
      </c>
      <c r="D540" s="40">
        <v>0</v>
      </c>
      <c r="E540" s="40">
        <v>1</v>
      </c>
      <c r="F540" s="40">
        <v>14</v>
      </c>
      <c r="G540" s="40" t="b">
        <v>0</v>
      </c>
      <c r="H540" s="40">
        <v>1</v>
      </c>
      <c r="I540" s="40">
        <v>2</v>
      </c>
      <c r="J540" s="40">
        <v>0.14000000000000001</v>
      </c>
      <c r="K540" s="40">
        <v>0.13639999999999999</v>
      </c>
      <c r="L540" s="40">
        <v>0.46</v>
      </c>
      <c r="M540" s="40">
        <v>0.22389999999999999</v>
      </c>
      <c r="N540" s="40">
        <v>2</v>
      </c>
      <c r="O540" s="40">
        <v>43</v>
      </c>
      <c r="P540" s="40">
        <v>45</v>
      </c>
      <c r="Q540" s="40">
        <v>0.13639999999999999</v>
      </c>
    </row>
    <row r="541" spans="1:17" x14ac:dyDescent="0.3">
      <c r="A541" s="40">
        <v>540</v>
      </c>
      <c r="B541" s="42">
        <v>40567</v>
      </c>
      <c r="C541" s="40">
        <v>1</v>
      </c>
      <c r="D541" s="40">
        <v>0</v>
      </c>
      <c r="E541" s="40">
        <v>1</v>
      </c>
      <c r="F541" s="40">
        <v>15</v>
      </c>
      <c r="G541" s="40" t="b">
        <v>0</v>
      </c>
      <c r="H541" s="40">
        <v>1</v>
      </c>
      <c r="I541" s="40">
        <v>1</v>
      </c>
      <c r="J541" s="40">
        <v>0.16</v>
      </c>
      <c r="K541" s="40">
        <v>0.16669999999999999</v>
      </c>
      <c r="L541" s="40">
        <v>0.4</v>
      </c>
      <c r="M541" s="40">
        <v>0.16420000000000001</v>
      </c>
      <c r="N541" s="40">
        <v>7</v>
      </c>
      <c r="O541" s="40">
        <v>50</v>
      </c>
      <c r="P541" s="40">
        <v>57</v>
      </c>
      <c r="Q541" s="40">
        <v>0.16669999999999999</v>
      </c>
    </row>
    <row r="542" spans="1:17" x14ac:dyDescent="0.3">
      <c r="A542" s="40">
        <v>541</v>
      </c>
      <c r="B542" s="42">
        <v>40567</v>
      </c>
      <c r="C542" s="40">
        <v>1</v>
      </c>
      <c r="D542" s="40">
        <v>0</v>
      </c>
      <c r="E542" s="40">
        <v>1</v>
      </c>
      <c r="F542" s="40">
        <v>16</v>
      </c>
      <c r="G542" s="40" t="b">
        <v>0</v>
      </c>
      <c r="H542" s="40">
        <v>1</v>
      </c>
      <c r="I542" s="40">
        <v>1</v>
      </c>
      <c r="J542" s="40">
        <v>0.16</v>
      </c>
      <c r="K542" s="40">
        <v>0.1515</v>
      </c>
      <c r="L542" s="40">
        <v>0.47</v>
      </c>
      <c r="M542" s="40">
        <v>0.25369999999999998</v>
      </c>
      <c r="N542" s="40">
        <v>4</v>
      </c>
      <c r="O542" s="40">
        <v>66</v>
      </c>
      <c r="P542" s="40">
        <v>70</v>
      </c>
      <c r="Q542" s="40">
        <v>0.1515</v>
      </c>
    </row>
    <row r="543" spans="1:17" x14ac:dyDescent="0.3">
      <c r="A543" s="40">
        <v>542</v>
      </c>
      <c r="B543" s="42">
        <v>40567</v>
      </c>
      <c r="C543" s="40">
        <v>1</v>
      </c>
      <c r="D543" s="40">
        <v>0</v>
      </c>
      <c r="E543" s="40">
        <v>1</v>
      </c>
      <c r="F543" s="40">
        <v>17</v>
      </c>
      <c r="G543" s="40" t="b">
        <v>0</v>
      </c>
      <c r="H543" s="40">
        <v>1</v>
      </c>
      <c r="I543" s="40">
        <v>1</v>
      </c>
      <c r="J543" s="40">
        <v>0.14000000000000001</v>
      </c>
      <c r="K543" s="40">
        <v>0.1212</v>
      </c>
      <c r="L543" s="40">
        <v>0.5</v>
      </c>
      <c r="M543" s="40">
        <v>0.25369999999999998</v>
      </c>
      <c r="N543" s="40">
        <v>6</v>
      </c>
      <c r="O543" s="40">
        <v>178</v>
      </c>
      <c r="P543" s="40">
        <v>184</v>
      </c>
      <c r="Q543" s="40">
        <v>0.1212</v>
      </c>
    </row>
    <row r="544" spans="1:17" x14ac:dyDescent="0.3">
      <c r="A544" s="40">
        <v>543</v>
      </c>
      <c r="B544" s="42">
        <v>40567</v>
      </c>
      <c r="C544" s="40">
        <v>1</v>
      </c>
      <c r="D544" s="40">
        <v>0</v>
      </c>
      <c r="E544" s="40">
        <v>1</v>
      </c>
      <c r="F544" s="40">
        <v>18</v>
      </c>
      <c r="G544" s="40" t="b">
        <v>0</v>
      </c>
      <c r="H544" s="40">
        <v>1</v>
      </c>
      <c r="I544" s="40">
        <v>1</v>
      </c>
      <c r="J544" s="40">
        <v>0.14000000000000001</v>
      </c>
      <c r="K544" s="40">
        <v>0.13639999999999999</v>
      </c>
      <c r="L544" s="40">
        <v>0.59</v>
      </c>
      <c r="M544" s="40">
        <v>0.19400000000000001</v>
      </c>
      <c r="N544" s="40">
        <v>8</v>
      </c>
      <c r="O544" s="40">
        <v>145</v>
      </c>
      <c r="P544" s="40">
        <v>153</v>
      </c>
      <c r="Q544" s="40">
        <v>0.13639999999999999</v>
      </c>
    </row>
    <row r="545" spans="1:17" x14ac:dyDescent="0.3">
      <c r="A545" s="40">
        <v>544</v>
      </c>
      <c r="B545" s="42">
        <v>40567</v>
      </c>
      <c r="C545" s="40">
        <v>1</v>
      </c>
      <c r="D545" s="40">
        <v>0</v>
      </c>
      <c r="E545" s="40">
        <v>1</v>
      </c>
      <c r="F545" s="40">
        <v>19</v>
      </c>
      <c r="G545" s="40" t="b">
        <v>0</v>
      </c>
      <c r="H545" s="40">
        <v>1</v>
      </c>
      <c r="I545" s="40">
        <v>1</v>
      </c>
      <c r="J545" s="40">
        <v>0.14000000000000001</v>
      </c>
      <c r="K545" s="40">
        <v>0.1515</v>
      </c>
      <c r="L545" s="40">
        <v>0.54</v>
      </c>
      <c r="M545" s="40">
        <v>0.16420000000000001</v>
      </c>
      <c r="N545" s="40">
        <v>5</v>
      </c>
      <c r="O545" s="40">
        <v>101</v>
      </c>
      <c r="P545" s="40">
        <v>106</v>
      </c>
      <c r="Q545" s="40">
        <v>0.1515</v>
      </c>
    </row>
    <row r="546" spans="1:17" x14ac:dyDescent="0.3">
      <c r="A546" s="40">
        <v>545</v>
      </c>
      <c r="B546" s="42">
        <v>40567</v>
      </c>
      <c r="C546" s="40">
        <v>1</v>
      </c>
      <c r="D546" s="40">
        <v>0</v>
      </c>
      <c r="E546" s="40">
        <v>1</v>
      </c>
      <c r="F546" s="40">
        <v>20</v>
      </c>
      <c r="G546" s="40" t="b">
        <v>0</v>
      </c>
      <c r="H546" s="40">
        <v>1</v>
      </c>
      <c r="I546" s="40">
        <v>1</v>
      </c>
      <c r="J546" s="40">
        <v>0.14000000000000001</v>
      </c>
      <c r="K546" s="40">
        <v>0.13639999999999999</v>
      </c>
      <c r="L546" s="40">
        <v>0.59</v>
      </c>
      <c r="M546" s="40">
        <v>0.19400000000000001</v>
      </c>
      <c r="N546" s="40">
        <v>1</v>
      </c>
      <c r="O546" s="40">
        <v>80</v>
      </c>
      <c r="P546" s="40">
        <v>81</v>
      </c>
      <c r="Q546" s="40">
        <v>0.13639999999999999</v>
      </c>
    </row>
    <row r="547" spans="1:17" x14ac:dyDescent="0.3">
      <c r="A547" s="40">
        <v>546</v>
      </c>
      <c r="B547" s="42">
        <v>40567</v>
      </c>
      <c r="C547" s="40">
        <v>1</v>
      </c>
      <c r="D547" s="40">
        <v>0</v>
      </c>
      <c r="E547" s="40">
        <v>1</v>
      </c>
      <c r="F547" s="40">
        <v>21</v>
      </c>
      <c r="G547" s="40" t="b">
        <v>0</v>
      </c>
      <c r="H547" s="40">
        <v>1</v>
      </c>
      <c r="I547" s="40">
        <v>1</v>
      </c>
      <c r="J547" s="40">
        <v>0.14000000000000001</v>
      </c>
      <c r="K547" s="40">
        <v>0.1515</v>
      </c>
      <c r="L547" s="40">
        <v>0.63</v>
      </c>
      <c r="M547" s="40">
        <v>0.16420000000000001</v>
      </c>
      <c r="N547" s="40">
        <v>6</v>
      </c>
      <c r="O547" s="40">
        <v>53</v>
      </c>
      <c r="P547" s="40">
        <v>59</v>
      </c>
      <c r="Q547" s="40">
        <v>0.1515</v>
      </c>
    </row>
    <row r="548" spans="1:17" x14ac:dyDescent="0.3">
      <c r="A548" s="40">
        <v>547</v>
      </c>
      <c r="B548" s="42">
        <v>40567</v>
      </c>
      <c r="C548" s="40">
        <v>1</v>
      </c>
      <c r="D548" s="40">
        <v>0</v>
      </c>
      <c r="E548" s="40">
        <v>1</v>
      </c>
      <c r="F548" s="40">
        <v>22</v>
      </c>
      <c r="G548" s="40" t="b">
        <v>0</v>
      </c>
      <c r="H548" s="40">
        <v>1</v>
      </c>
      <c r="I548" s="40">
        <v>2</v>
      </c>
      <c r="J548" s="40">
        <v>0.14000000000000001</v>
      </c>
      <c r="K548" s="40">
        <v>0.13639999999999999</v>
      </c>
      <c r="L548" s="40">
        <v>0.63</v>
      </c>
      <c r="M548" s="40">
        <v>0.22389999999999999</v>
      </c>
      <c r="N548" s="40">
        <v>3</v>
      </c>
      <c r="O548" s="40">
        <v>32</v>
      </c>
      <c r="P548" s="40">
        <v>35</v>
      </c>
      <c r="Q548" s="40">
        <v>0.13639999999999999</v>
      </c>
    </row>
    <row r="549" spans="1:17" x14ac:dyDescent="0.3">
      <c r="A549" s="40">
        <v>548</v>
      </c>
      <c r="B549" s="42">
        <v>40567</v>
      </c>
      <c r="C549" s="40">
        <v>1</v>
      </c>
      <c r="D549" s="40">
        <v>0</v>
      </c>
      <c r="E549" s="40">
        <v>1</v>
      </c>
      <c r="F549" s="40">
        <v>23</v>
      </c>
      <c r="G549" s="40" t="b">
        <v>0</v>
      </c>
      <c r="H549" s="40">
        <v>1</v>
      </c>
      <c r="I549" s="40">
        <v>2</v>
      </c>
      <c r="J549" s="40">
        <v>0.16</v>
      </c>
      <c r="K549" s="40">
        <v>0.1515</v>
      </c>
      <c r="L549" s="40">
        <v>0.64</v>
      </c>
      <c r="M549" s="40">
        <v>0.25369999999999998</v>
      </c>
      <c r="N549" s="40">
        <v>3</v>
      </c>
      <c r="O549" s="40">
        <v>21</v>
      </c>
      <c r="P549" s="40">
        <v>24</v>
      </c>
      <c r="Q549" s="40">
        <v>0.1515</v>
      </c>
    </row>
    <row r="550" spans="1:17" x14ac:dyDescent="0.3">
      <c r="A550" s="40">
        <v>549</v>
      </c>
      <c r="B550" s="42">
        <v>40568</v>
      </c>
      <c r="C550" s="40">
        <v>1</v>
      </c>
      <c r="D550" s="40">
        <v>0</v>
      </c>
      <c r="E550" s="40">
        <v>1</v>
      </c>
      <c r="F550" s="40">
        <v>0</v>
      </c>
      <c r="G550" s="40" t="b">
        <v>0</v>
      </c>
      <c r="H550" s="40">
        <v>2</v>
      </c>
      <c r="I550" s="40">
        <v>2</v>
      </c>
      <c r="J550" s="40">
        <v>0.16</v>
      </c>
      <c r="K550" s="40">
        <v>0.13639999999999999</v>
      </c>
      <c r="L550" s="40">
        <v>0.69</v>
      </c>
      <c r="M550" s="40">
        <v>0.28360000000000002</v>
      </c>
      <c r="N550" s="40">
        <v>3</v>
      </c>
      <c r="O550" s="40">
        <v>6</v>
      </c>
      <c r="P550" s="40">
        <v>9</v>
      </c>
      <c r="Q550" s="40">
        <v>0.13639999999999999</v>
      </c>
    </row>
    <row r="551" spans="1:17" x14ac:dyDescent="0.3">
      <c r="A551" s="40">
        <v>550</v>
      </c>
      <c r="B551" s="42">
        <v>40568</v>
      </c>
      <c r="C551" s="40">
        <v>1</v>
      </c>
      <c r="D551" s="40">
        <v>0</v>
      </c>
      <c r="E551" s="40">
        <v>1</v>
      </c>
      <c r="F551" s="40">
        <v>1</v>
      </c>
      <c r="G551" s="40" t="b">
        <v>0</v>
      </c>
      <c r="H551" s="40">
        <v>2</v>
      </c>
      <c r="I551" s="40">
        <v>2</v>
      </c>
      <c r="J551" s="40">
        <v>0.16</v>
      </c>
      <c r="K551" s="40">
        <v>0.16669999999999999</v>
      </c>
      <c r="L551" s="40">
        <v>0.69</v>
      </c>
      <c r="M551" s="40">
        <v>0.16420000000000001</v>
      </c>
      <c r="N551" s="40">
        <v>0</v>
      </c>
      <c r="O551" s="40">
        <v>5</v>
      </c>
      <c r="P551" s="40">
        <v>5</v>
      </c>
      <c r="Q551" s="40">
        <v>0.16669999999999999</v>
      </c>
    </row>
    <row r="552" spans="1:17" x14ac:dyDescent="0.3">
      <c r="A552" s="40">
        <v>551</v>
      </c>
      <c r="B552" s="42">
        <v>40568</v>
      </c>
      <c r="C552" s="40">
        <v>1</v>
      </c>
      <c r="D552" s="40">
        <v>0</v>
      </c>
      <c r="E552" s="40">
        <v>1</v>
      </c>
      <c r="F552" s="40">
        <v>2</v>
      </c>
      <c r="G552" s="40" t="b">
        <v>0</v>
      </c>
      <c r="H552" s="40">
        <v>2</v>
      </c>
      <c r="I552" s="40">
        <v>1</v>
      </c>
      <c r="J552" s="40">
        <v>0.16</v>
      </c>
      <c r="K552" s="40">
        <v>0.1515</v>
      </c>
      <c r="L552" s="40">
        <v>0.69</v>
      </c>
      <c r="M552" s="40">
        <v>0.22389999999999999</v>
      </c>
      <c r="N552" s="40">
        <v>0</v>
      </c>
      <c r="O552" s="40">
        <v>2</v>
      </c>
      <c r="P552" s="40">
        <v>2</v>
      </c>
      <c r="Q552" s="40">
        <v>0.1515</v>
      </c>
    </row>
    <row r="553" spans="1:17" x14ac:dyDescent="0.3">
      <c r="A553" s="40">
        <v>552</v>
      </c>
      <c r="B553" s="42">
        <v>40568</v>
      </c>
      <c r="C553" s="40">
        <v>1</v>
      </c>
      <c r="D553" s="40">
        <v>0</v>
      </c>
      <c r="E553" s="40">
        <v>1</v>
      </c>
      <c r="F553" s="40">
        <v>4</v>
      </c>
      <c r="G553" s="40" t="b">
        <v>0</v>
      </c>
      <c r="H553" s="40">
        <v>2</v>
      </c>
      <c r="I553" s="40">
        <v>1</v>
      </c>
      <c r="J553" s="40">
        <v>0.14000000000000001</v>
      </c>
      <c r="K553" s="40">
        <v>0.16669999999999999</v>
      </c>
      <c r="L553" s="40">
        <v>0.74</v>
      </c>
      <c r="M553" s="40">
        <v>0.1045</v>
      </c>
      <c r="N553" s="40">
        <v>0</v>
      </c>
      <c r="O553" s="40">
        <v>1</v>
      </c>
      <c r="P553" s="40">
        <v>1</v>
      </c>
      <c r="Q553" s="40">
        <v>0.16669999999999999</v>
      </c>
    </row>
    <row r="554" spans="1:17" x14ac:dyDescent="0.3">
      <c r="A554" s="40">
        <v>553</v>
      </c>
      <c r="B554" s="42">
        <v>40568</v>
      </c>
      <c r="C554" s="40">
        <v>1</v>
      </c>
      <c r="D554" s="40">
        <v>0</v>
      </c>
      <c r="E554" s="40">
        <v>1</v>
      </c>
      <c r="F554" s="40">
        <v>5</v>
      </c>
      <c r="G554" s="40" t="b">
        <v>0</v>
      </c>
      <c r="H554" s="40">
        <v>2</v>
      </c>
      <c r="I554" s="40">
        <v>1</v>
      </c>
      <c r="J554" s="40">
        <v>0.14000000000000001</v>
      </c>
      <c r="K554" s="40">
        <v>0.13639999999999999</v>
      </c>
      <c r="L554" s="40">
        <v>0.74</v>
      </c>
      <c r="M554" s="40">
        <v>0.22389999999999999</v>
      </c>
      <c r="N554" s="40">
        <v>0</v>
      </c>
      <c r="O554" s="40">
        <v>9</v>
      </c>
      <c r="P554" s="40">
        <v>9</v>
      </c>
      <c r="Q554" s="40">
        <v>0.13639999999999999</v>
      </c>
    </row>
    <row r="555" spans="1:17" x14ac:dyDescent="0.3">
      <c r="A555" s="40">
        <v>554</v>
      </c>
      <c r="B555" s="42">
        <v>40568</v>
      </c>
      <c r="C555" s="40">
        <v>1</v>
      </c>
      <c r="D555" s="40">
        <v>0</v>
      </c>
      <c r="E555" s="40">
        <v>1</v>
      </c>
      <c r="F555" s="40">
        <v>6</v>
      </c>
      <c r="G555" s="40" t="b">
        <v>0</v>
      </c>
      <c r="H555" s="40">
        <v>2</v>
      </c>
      <c r="I555" s="40">
        <v>1</v>
      </c>
      <c r="J555" s="40">
        <v>0.16</v>
      </c>
      <c r="K555" s="40">
        <v>0.18179999999999999</v>
      </c>
      <c r="L555" s="40">
        <v>0.74</v>
      </c>
      <c r="M555" s="40">
        <v>0.1045</v>
      </c>
      <c r="N555" s="40">
        <v>1</v>
      </c>
      <c r="O555" s="40">
        <v>35</v>
      </c>
      <c r="P555" s="40">
        <v>36</v>
      </c>
      <c r="Q555" s="40">
        <v>0.18179999999999999</v>
      </c>
    </row>
    <row r="556" spans="1:17" x14ac:dyDescent="0.3">
      <c r="A556" s="40">
        <v>555</v>
      </c>
      <c r="B556" s="42">
        <v>40568</v>
      </c>
      <c r="C556" s="40">
        <v>1</v>
      </c>
      <c r="D556" s="40">
        <v>0</v>
      </c>
      <c r="E556" s="40">
        <v>1</v>
      </c>
      <c r="F556" s="40">
        <v>7</v>
      </c>
      <c r="G556" s="40" t="b">
        <v>0</v>
      </c>
      <c r="H556" s="40">
        <v>2</v>
      </c>
      <c r="I556" s="40">
        <v>1</v>
      </c>
      <c r="J556" s="40">
        <v>0.16</v>
      </c>
      <c r="K556" s="40">
        <v>0.1515</v>
      </c>
      <c r="L556" s="40">
        <v>0.74</v>
      </c>
      <c r="M556" s="40">
        <v>0.22389999999999999</v>
      </c>
      <c r="N556" s="40">
        <v>5</v>
      </c>
      <c r="O556" s="40">
        <v>103</v>
      </c>
      <c r="P556" s="40">
        <v>108</v>
      </c>
      <c r="Q556" s="40">
        <v>0.1515</v>
      </c>
    </row>
    <row r="557" spans="1:17" x14ac:dyDescent="0.3">
      <c r="A557" s="40">
        <v>556</v>
      </c>
      <c r="B557" s="42">
        <v>40568</v>
      </c>
      <c r="C557" s="40">
        <v>1</v>
      </c>
      <c r="D557" s="40">
        <v>0</v>
      </c>
      <c r="E557" s="40">
        <v>1</v>
      </c>
      <c r="F557" s="40">
        <v>8</v>
      </c>
      <c r="G557" s="40" t="b">
        <v>0</v>
      </c>
      <c r="H557" s="40">
        <v>2</v>
      </c>
      <c r="I557" s="40">
        <v>2</v>
      </c>
      <c r="J557" s="40">
        <v>0.16</v>
      </c>
      <c r="K557" s="40">
        <v>0.18179999999999999</v>
      </c>
      <c r="L557" s="40">
        <v>0.74</v>
      </c>
      <c r="M557" s="40">
        <v>0.1343</v>
      </c>
      <c r="N557" s="40">
        <v>5</v>
      </c>
      <c r="O557" s="40">
        <v>233</v>
      </c>
      <c r="P557" s="40">
        <v>238</v>
      </c>
      <c r="Q557" s="40">
        <v>0.18179999999999999</v>
      </c>
    </row>
    <row r="558" spans="1:17" x14ac:dyDescent="0.3">
      <c r="A558" s="40">
        <v>557</v>
      </c>
      <c r="B558" s="42">
        <v>40568</v>
      </c>
      <c r="C558" s="40">
        <v>1</v>
      </c>
      <c r="D558" s="40">
        <v>0</v>
      </c>
      <c r="E558" s="40">
        <v>1</v>
      </c>
      <c r="F558" s="40">
        <v>9</v>
      </c>
      <c r="G558" s="40" t="b">
        <v>0</v>
      </c>
      <c r="H558" s="40">
        <v>2</v>
      </c>
      <c r="I558" s="40">
        <v>2</v>
      </c>
      <c r="J558" s="40">
        <v>0.2</v>
      </c>
      <c r="K558" s="40">
        <v>0.2273</v>
      </c>
      <c r="L558" s="40">
        <v>0.64</v>
      </c>
      <c r="M558" s="40">
        <v>8.9599999999999999E-2</v>
      </c>
      <c r="N558" s="40">
        <v>10</v>
      </c>
      <c r="O558" s="40">
        <v>134</v>
      </c>
      <c r="P558" s="40">
        <v>144</v>
      </c>
      <c r="Q558" s="40">
        <v>0.2273</v>
      </c>
    </row>
    <row r="559" spans="1:17" x14ac:dyDescent="0.3">
      <c r="A559" s="40">
        <v>558</v>
      </c>
      <c r="B559" s="42">
        <v>40568</v>
      </c>
      <c r="C559" s="40">
        <v>1</v>
      </c>
      <c r="D559" s="40">
        <v>0</v>
      </c>
      <c r="E559" s="40">
        <v>1</v>
      </c>
      <c r="F559" s="40">
        <v>10</v>
      </c>
      <c r="G559" s="40" t="b">
        <v>0</v>
      </c>
      <c r="H559" s="40">
        <v>2</v>
      </c>
      <c r="I559" s="40">
        <v>2</v>
      </c>
      <c r="J559" s="40">
        <v>0.22</v>
      </c>
      <c r="K559" s="40">
        <v>0.2424</v>
      </c>
      <c r="L559" s="40">
        <v>0.6</v>
      </c>
      <c r="M559" s="40">
        <v>0.1045</v>
      </c>
      <c r="N559" s="40">
        <v>6</v>
      </c>
      <c r="O559" s="40">
        <v>49</v>
      </c>
      <c r="P559" s="40">
        <v>55</v>
      </c>
      <c r="Q559" s="40">
        <v>0.2424</v>
      </c>
    </row>
    <row r="560" spans="1:17" x14ac:dyDescent="0.3">
      <c r="A560" s="40">
        <v>559</v>
      </c>
      <c r="B560" s="42">
        <v>40568</v>
      </c>
      <c r="C560" s="40">
        <v>1</v>
      </c>
      <c r="D560" s="40">
        <v>0</v>
      </c>
      <c r="E560" s="40">
        <v>1</v>
      </c>
      <c r="F560" s="40">
        <v>11</v>
      </c>
      <c r="G560" s="40" t="b">
        <v>0</v>
      </c>
      <c r="H560" s="40">
        <v>2</v>
      </c>
      <c r="I560" s="40">
        <v>2</v>
      </c>
      <c r="J560" s="40">
        <v>0.24</v>
      </c>
      <c r="K560" s="40">
        <v>0.2424</v>
      </c>
      <c r="L560" s="40">
        <v>0.6</v>
      </c>
      <c r="M560" s="40">
        <v>0.1343</v>
      </c>
      <c r="N560" s="40">
        <v>6</v>
      </c>
      <c r="O560" s="40">
        <v>55</v>
      </c>
      <c r="P560" s="40">
        <v>61</v>
      </c>
      <c r="Q560" s="40">
        <v>0.2424</v>
      </c>
    </row>
    <row r="561" spans="1:17" x14ac:dyDescent="0.3">
      <c r="A561" s="40">
        <v>560</v>
      </c>
      <c r="B561" s="42">
        <v>40568</v>
      </c>
      <c r="C561" s="40">
        <v>1</v>
      </c>
      <c r="D561" s="40">
        <v>0</v>
      </c>
      <c r="E561" s="40">
        <v>1</v>
      </c>
      <c r="F561" s="40">
        <v>12</v>
      </c>
      <c r="G561" s="40" t="b">
        <v>0</v>
      </c>
      <c r="H561" s="40">
        <v>2</v>
      </c>
      <c r="I561" s="40">
        <v>2</v>
      </c>
      <c r="J561" s="40">
        <v>0.26</v>
      </c>
      <c r="K561" s="40">
        <v>0.28789999999999999</v>
      </c>
      <c r="L561" s="40">
        <v>0.56000000000000005</v>
      </c>
      <c r="M561" s="40">
        <v>8.9599999999999999E-2</v>
      </c>
      <c r="N561" s="40">
        <v>21</v>
      </c>
      <c r="O561" s="40">
        <v>85</v>
      </c>
      <c r="P561" s="40">
        <v>106</v>
      </c>
      <c r="Q561" s="40">
        <v>0.28789999999999999</v>
      </c>
    </row>
    <row r="562" spans="1:17" x14ac:dyDescent="0.3">
      <c r="A562" s="40">
        <v>561</v>
      </c>
      <c r="B562" s="42">
        <v>40568</v>
      </c>
      <c r="C562" s="40">
        <v>1</v>
      </c>
      <c r="D562" s="40">
        <v>0</v>
      </c>
      <c r="E562" s="40">
        <v>1</v>
      </c>
      <c r="F562" s="40">
        <v>13</v>
      </c>
      <c r="G562" s="40" t="b">
        <v>0</v>
      </c>
      <c r="H562" s="40">
        <v>2</v>
      </c>
      <c r="I562" s="40">
        <v>2</v>
      </c>
      <c r="J562" s="40">
        <v>0.26</v>
      </c>
      <c r="K562" s="40">
        <v>0.2727</v>
      </c>
      <c r="L562" s="40">
        <v>0.56000000000000005</v>
      </c>
      <c r="M562" s="40">
        <v>0.1343</v>
      </c>
      <c r="N562" s="40">
        <v>21</v>
      </c>
      <c r="O562" s="40">
        <v>72</v>
      </c>
      <c r="P562" s="40">
        <v>93</v>
      </c>
      <c r="Q562" s="40">
        <v>0.2727</v>
      </c>
    </row>
    <row r="563" spans="1:17" x14ac:dyDescent="0.3">
      <c r="A563" s="40">
        <v>562</v>
      </c>
      <c r="B563" s="42">
        <v>40568</v>
      </c>
      <c r="C563" s="40">
        <v>1</v>
      </c>
      <c r="D563" s="40">
        <v>0</v>
      </c>
      <c r="E563" s="40">
        <v>1</v>
      </c>
      <c r="F563" s="40">
        <v>14</v>
      </c>
      <c r="G563" s="40" t="b">
        <v>0</v>
      </c>
      <c r="H563" s="40">
        <v>2</v>
      </c>
      <c r="I563" s="40">
        <v>2</v>
      </c>
      <c r="J563" s="40">
        <v>0.3</v>
      </c>
      <c r="K563" s="40">
        <v>0.33329999999999999</v>
      </c>
      <c r="L563" s="40">
        <v>0.45</v>
      </c>
      <c r="M563" s="40">
        <v>0.20485098360655737</v>
      </c>
      <c r="N563" s="40">
        <v>11</v>
      </c>
      <c r="O563" s="40">
        <v>57</v>
      </c>
      <c r="P563" s="40">
        <v>68</v>
      </c>
      <c r="Q563" s="40">
        <v>0.33329999999999999</v>
      </c>
    </row>
    <row r="564" spans="1:17" x14ac:dyDescent="0.3">
      <c r="A564" s="40">
        <v>563</v>
      </c>
      <c r="B564" s="42">
        <v>40568</v>
      </c>
      <c r="C564" s="40">
        <v>1</v>
      </c>
      <c r="D564" s="40">
        <v>0</v>
      </c>
      <c r="E564" s="40">
        <v>1</v>
      </c>
      <c r="F564" s="40">
        <v>15</v>
      </c>
      <c r="G564" s="40" t="b">
        <v>0</v>
      </c>
      <c r="H564" s="40">
        <v>2</v>
      </c>
      <c r="I564" s="40">
        <v>2</v>
      </c>
      <c r="J564" s="40">
        <v>0.32</v>
      </c>
      <c r="K564" s="40">
        <v>0.34849999999999998</v>
      </c>
      <c r="L564" s="40">
        <v>0.42</v>
      </c>
      <c r="M564" s="40">
        <v>0.20485098360655737</v>
      </c>
      <c r="N564" s="40">
        <v>21</v>
      </c>
      <c r="O564" s="40">
        <v>63</v>
      </c>
      <c r="P564" s="40">
        <v>84</v>
      </c>
      <c r="Q564" s="40">
        <v>0.34849999999999998</v>
      </c>
    </row>
    <row r="565" spans="1:17" x14ac:dyDescent="0.3">
      <c r="A565" s="40">
        <v>564</v>
      </c>
      <c r="B565" s="42">
        <v>40568</v>
      </c>
      <c r="C565" s="40">
        <v>1</v>
      </c>
      <c r="D565" s="40">
        <v>0</v>
      </c>
      <c r="E565" s="40">
        <v>1</v>
      </c>
      <c r="F565" s="40">
        <v>16</v>
      </c>
      <c r="G565" s="40" t="b">
        <v>0</v>
      </c>
      <c r="H565" s="40">
        <v>2</v>
      </c>
      <c r="I565" s="40">
        <v>2</v>
      </c>
      <c r="J565" s="40">
        <v>0.32</v>
      </c>
      <c r="K565" s="40">
        <v>0.34849999999999998</v>
      </c>
      <c r="L565" s="40">
        <v>0.42</v>
      </c>
      <c r="M565" s="40">
        <v>0.20485098360655737</v>
      </c>
      <c r="N565" s="40">
        <v>14</v>
      </c>
      <c r="O565" s="40">
        <v>102</v>
      </c>
      <c r="P565" s="40">
        <v>116</v>
      </c>
      <c r="Q565" s="40">
        <v>0.34849999999999998</v>
      </c>
    </row>
    <row r="566" spans="1:17" x14ac:dyDescent="0.3">
      <c r="A566" s="40">
        <v>565</v>
      </c>
      <c r="B566" s="42">
        <v>40568</v>
      </c>
      <c r="C566" s="40">
        <v>1</v>
      </c>
      <c r="D566" s="40">
        <v>0</v>
      </c>
      <c r="E566" s="40">
        <v>1</v>
      </c>
      <c r="F566" s="40">
        <v>17</v>
      </c>
      <c r="G566" s="40" t="b">
        <v>0</v>
      </c>
      <c r="H566" s="40">
        <v>2</v>
      </c>
      <c r="I566" s="40">
        <v>1</v>
      </c>
      <c r="J566" s="40">
        <v>0.3</v>
      </c>
      <c r="K566" s="40">
        <v>0.33329999999999999</v>
      </c>
      <c r="L566" s="40">
        <v>0.45</v>
      </c>
      <c r="M566" s="40">
        <v>0.20485098360655737</v>
      </c>
      <c r="N566" s="40">
        <v>14</v>
      </c>
      <c r="O566" s="40">
        <v>208</v>
      </c>
      <c r="P566" s="40">
        <v>222</v>
      </c>
      <c r="Q566" s="40">
        <v>0.33329999999999999</v>
      </c>
    </row>
    <row r="567" spans="1:17" x14ac:dyDescent="0.3">
      <c r="A567" s="40">
        <v>566</v>
      </c>
      <c r="B567" s="42">
        <v>40568</v>
      </c>
      <c r="C567" s="40">
        <v>1</v>
      </c>
      <c r="D567" s="40">
        <v>0</v>
      </c>
      <c r="E567" s="40">
        <v>1</v>
      </c>
      <c r="F567" s="40">
        <v>18</v>
      </c>
      <c r="G567" s="40" t="b">
        <v>0</v>
      </c>
      <c r="H567" s="40">
        <v>2</v>
      </c>
      <c r="I567" s="40">
        <v>2</v>
      </c>
      <c r="J567" s="40">
        <v>0.3</v>
      </c>
      <c r="K567" s="40">
        <v>0.31819999999999998</v>
      </c>
      <c r="L567" s="40">
        <v>0.49</v>
      </c>
      <c r="M567" s="40">
        <v>8.9599999999999999E-2</v>
      </c>
      <c r="N567" s="40">
        <v>7</v>
      </c>
      <c r="O567" s="40">
        <v>218</v>
      </c>
      <c r="P567" s="40">
        <v>225</v>
      </c>
      <c r="Q567" s="40">
        <v>0.31819999999999998</v>
      </c>
    </row>
    <row r="568" spans="1:17" x14ac:dyDescent="0.3">
      <c r="A568" s="40">
        <v>567</v>
      </c>
      <c r="B568" s="42">
        <v>40568</v>
      </c>
      <c r="C568" s="40">
        <v>1</v>
      </c>
      <c r="D568" s="40">
        <v>0</v>
      </c>
      <c r="E568" s="40">
        <v>1</v>
      </c>
      <c r="F568" s="40">
        <v>19</v>
      </c>
      <c r="G568" s="40" t="b">
        <v>0</v>
      </c>
      <c r="H568" s="40">
        <v>2</v>
      </c>
      <c r="I568" s="40">
        <v>2</v>
      </c>
      <c r="J568" s="40">
        <v>0.26</v>
      </c>
      <c r="K568" s="40">
        <v>0.2576</v>
      </c>
      <c r="L568" s="40">
        <v>0.65</v>
      </c>
      <c r="M568" s="40">
        <v>0.16420000000000001</v>
      </c>
      <c r="N568" s="40">
        <v>13</v>
      </c>
      <c r="O568" s="40">
        <v>133</v>
      </c>
      <c r="P568" s="40">
        <v>146</v>
      </c>
      <c r="Q568" s="40">
        <v>0.2576</v>
      </c>
    </row>
    <row r="569" spans="1:17" x14ac:dyDescent="0.3">
      <c r="A569" s="40">
        <v>568</v>
      </c>
      <c r="B569" s="42">
        <v>40568</v>
      </c>
      <c r="C569" s="40">
        <v>1</v>
      </c>
      <c r="D569" s="40">
        <v>0</v>
      </c>
      <c r="E569" s="40">
        <v>1</v>
      </c>
      <c r="F569" s="40">
        <v>20</v>
      </c>
      <c r="G569" s="40" t="b">
        <v>0</v>
      </c>
      <c r="H569" s="40">
        <v>2</v>
      </c>
      <c r="I569" s="40">
        <v>1</v>
      </c>
      <c r="J569" s="40">
        <v>0.24</v>
      </c>
      <c r="K569" s="40">
        <v>0.2273</v>
      </c>
      <c r="L569" s="40">
        <v>0.65</v>
      </c>
      <c r="M569" s="40">
        <v>0.19400000000000001</v>
      </c>
      <c r="N569" s="40">
        <v>16</v>
      </c>
      <c r="O569" s="40">
        <v>103</v>
      </c>
      <c r="P569" s="40">
        <v>119</v>
      </c>
      <c r="Q569" s="40">
        <v>0.2273</v>
      </c>
    </row>
    <row r="570" spans="1:17" x14ac:dyDescent="0.3">
      <c r="A570" s="40">
        <v>569</v>
      </c>
      <c r="B570" s="42">
        <v>40568</v>
      </c>
      <c r="C570" s="40">
        <v>1</v>
      </c>
      <c r="D570" s="40">
        <v>0</v>
      </c>
      <c r="E570" s="40">
        <v>1</v>
      </c>
      <c r="F570" s="40">
        <v>21</v>
      </c>
      <c r="G570" s="40" t="b">
        <v>0</v>
      </c>
      <c r="H570" s="40">
        <v>2</v>
      </c>
      <c r="I570" s="40">
        <v>1</v>
      </c>
      <c r="J570" s="40">
        <v>0.24</v>
      </c>
      <c r="K570" s="40">
        <v>0.2273</v>
      </c>
      <c r="L570" s="40">
        <v>0.65</v>
      </c>
      <c r="M570" s="40">
        <v>0.19400000000000001</v>
      </c>
      <c r="N570" s="40">
        <v>5</v>
      </c>
      <c r="O570" s="40">
        <v>40</v>
      </c>
      <c r="P570" s="40">
        <v>45</v>
      </c>
      <c r="Q570" s="40">
        <v>0.2273</v>
      </c>
    </row>
    <row r="571" spans="1:17" x14ac:dyDescent="0.3">
      <c r="A571" s="40">
        <v>570</v>
      </c>
      <c r="B571" s="42">
        <v>40568</v>
      </c>
      <c r="C571" s="40">
        <v>1</v>
      </c>
      <c r="D571" s="40">
        <v>0</v>
      </c>
      <c r="E571" s="40">
        <v>1</v>
      </c>
      <c r="F571" s="40">
        <v>22</v>
      </c>
      <c r="G571" s="40" t="b">
        <v>0</v>
      </c>
      <c r="H571" s="40">
        <v>2</v>
      </c>
      <c r="I571" s="40">
        <v>1</v>
      </c>
      <c r="J571" s="40">
        <v>0.22</v>
      </c>
      <c r="K571" s="40">
        <v>0.2273</v>
      </c>
      <c r="L571" s="40">
        <v>0.64</v>
      </c>
      <c r="M571" s="40">
        <v>0.16420000000000001</v>
      </c>
      <c r="N571" s="40">
        <v>4</v>
      </c>
      <c r="O571" s="40">
        <v>49</v>
      </c>
      <c r="P571" s="40">
        <v>53</v>
      </c>
      <c r="Q571" s="40">
        <v>0.2273</v>
      </c>
    </row>
    <row r="572" spans="1:17" x14ac:dyDescent="0.3">
      <c r="A572" s="40">
        <v>571</v>
      </c>
      <c r="B572" s="42">
        <v>40568</v>
      </c>
      <c r="C572" s="40">
        <v>1</v>
      </c>
      <c r="D572" s="40">
        <v>0</v>
      </c>
      <c r="E572" s="40">
        <v>1</v>
      </c>
      <c r="F572" s="40">
        <v>23</v>
      </c>
      <c r="G572" s="40" t="b">
        <v>0</v>
      </c>
      <c r="H572" s="40">
        <v>2</v>
      </c>
      <c r="I572" s="40">
        <v>2</v>
      </c>
      <c r="J572" s="40">
        <v>0.22</v>
      </c>
      <c r="K572" s="40">
        <v>0.2273</v>
      </c>
      <c r="L572" s="40">
        <v>0.64</v>
      </c>
      <c r="M572" s="40">
        <v>0.16420000000000001</v>
      </c>
      <c r="N572" s="40">
        <v>3</v>
      </c>
      <c r="O572" s="40">
        <v>37</v>
      </c>
      <c r="P572" s="40">
        <v>40</v>
      </c>
      <c r="Q572" s="40">
        <v>0.2273</v>
      </c>
    </row>
    <row r="573" spans="1:17" x14ac:dyDescent="0.3">
      <c r="A573" s="40">
        <v>572</v>
      </c>
      <c r="B573" s="42">
        <v>40569</v>
      </c>
      <c r="C573" s="40">
        <v>1</v>
      </c>
      <c r="D573" s="40">
        <v>0</v>
      </c>
      <c r="E573" s="40">
        <v>1</v>
      </c>
      <c r="F573" s="40">
        <v>0</v>
      </c>
      <c r="G573" s="40" t="b">
        <v>0</v>
      </c>
      <c r="H573" s="40">
        <v>3</v>
      </c>
      <c r="I573" s="40">
        <v>2</v>
      </c>
      <c r="J573" s="40">
        <v>0.22</v>
      </c>
      <c r="K573" s="40">
        <v>0.2273</v>
      </c>
      <c r="L573" s="40">
        <v>0.69</v>
      </c>
      <c r="M573" s="40">
        <v>0.1343</v>
      </c>
      <c r="N573" s="40">
        <v>3</v>
      </c>
      <c r="O573" s="40">
        <v>14</v>
      </c>
      <c r="P573" s="40">
        <v>17</v>
      </c>
      <c r="Q573" s="40">
        <v>0.2273</v>
      </c>
    </row>
    <row r="574" spans="1:17" x14ac:dyDescent="0.3">
      <c r="A574" s="40">
        <v>573</v>
      </c>
      <c r="B574" s="42">
        <v>40569</v>
      </c>
      <c r="C574" s="40">
        <v>1</v>
      </c>
      <c r="D574" s="40">
        <v>0</v>
      </c>
      <c r="E574" s="40">
        <v>1</v>
      </c>
      <c r="F574" s="40">
        <v>1</v>
      </c>
      <c r="G574" s="40" t="b">
        <v>0</v>
      </c>
      <c r="H574" s="40">
        <v>3</v>
      </c>
      <c r="I574" s="40">
        <v>2</v>
      </c>
      <c r="J574" s="40">
        <v>0.24</v>
      </c>
      <c r="K574" s="40">
        <v>0.2424</v>
      </c>
      <c r="L574" s="40">
        <v>0.65</v>
      </c>
      <c r="M574" s="40">
        <v>0.1343</v>
      </c>
      <c r="N574" s="40">
        <v>0</v>
      </c>
      <c r="O574" s="40">
        <v>5</v>
      </c>
      <c r="P574" s="40">
        <v>5</v>
      </c>
      <c r="Q574" s="40">
        <v>0.2424</v>
      </c>
    </row>
    <row r="575" spans="1:17" x14ac:dyDescent="0.3">
      <c r="A575" s="40">
        <v>574</v>
      </c>
      <c r="B575" s="42">
        <v>40569</v>
      </c>
      <c r="C575" s="40">
        <v>1</v>
      </c>
      <c r="D575" s="40">
        <v>0</v>
      </c>
      <c r="E575" s="40">
        <v>1</v>
      </c>
      <c r="F575" s="40">
        <v>2</v>
      </c>
      <c r="G575" s="40" t="b">
        <v>0</v>
      </c>
      <c r="H575" s="40">
        <v>3</v>
      </c>
      <c r="I575" s="40">
        <v>3</v>
      </c>
      <c r="J575" s="40">
        <v>0.22</v>
      </c>
      <c r="K575" s="40">
        <v>0.2273</v>
      </c>
      <c r="L575" s="40">
        <v>0.69</v>
      </c>
      <c r="M575" s="40">
        <v>0.19400000000000001</v>
      </c>
      <c r="N575" s="40">
        <v>3</v>
      </c>
      <c r="O575" s="40">
        <v>7</v>
      </c>
      <c r="P575" s="40">
        <v>10</v>
      </c>
      <c r="Q575" s="40">
        <v>0.2273</v>
      </c>
    </row>
    <row r="576" spans="1:17" x14ac:dyDescent="0.3">
      <c r="A576" s="40">
        <v>575</v>
      </c>
      <c r="B576" s="42">
        <v>40569</v>
      </c>
      <c r="C576" s="40">
        <v>1</v>
      </c>
      <c r="D576" s="40">
        <v>0</v>
      </c>
      <c r="E576" s="40">
        <v>1</v>
      </c>
      <c r="F576" s="40">
        <v>5</v>
      </c>
      <c r="G576" s="40" t="b">
        <v>0</v>
      </c>
      <c r="H576" s="40">
        <v>3</v>
      </c>
      <c r="I576" s="40">
        <v>3</v>
      </c>
      <c r="J576" s="40">
        <v>0.2</v>
      </c>
      <c r="K576" s="40">
        <v>0.18179999999999999</v>
      </c>
      <c r="L576" s="40">
        <v>0.86</v>
      </c>
      <c r="M576" s="40">
        <v>0.28360000000000002</v>
      </c>
      <c r="N576" s="40">
        <v>0</v>
      </c>
      <c r="O576" s="40">
        <v>1</v>
      </c>
      <c r="P576" s="40">
        <v>1</v>
      </c>
      <c r="Q576" s="40">
        <v>0.18179999999999999</v>
      </c>
    </row>
    <row r="577" spans="1:17" x14ac:dyDescent="0.3">
      <c r="A577" s="40">
        <v>576</v>
      </c>
      <c r="B577" s="42">
        <v>40569</v>
      </c>
      <c r="C577" s="40">
        <v>1</v>
      </c>
      <c r="D577" s="40">
        <v>0</v>
      </c>
      <c r="E577" s="40">
        <v>1</v>
      </c>
      <c r="F577" s="40">
        <v>6</v>
      </c>
      <c r="G577" s="40" t="b">
        <v>0</v>
      </c>
      <c r="H577" s="40">
        <v>3</v>
      </c>
      <c r="I577" s="40">
        <v>3</v>
      </c>
      <c r="J577" s="40">
        <v>0.2</v>
      </c>
      <c r="K577" s="40">
        <v>0.18179999999999999</v>
      </c>
      <c r="L577" s="40">
        <v>0.86</v>
      </c>
      <c r="M577" s="40">
        <v>0.28360000000000002</v>
      </c>
      <c r="N577" s="40">
        <v>0</v>
      </c>
      <c r="O577" s="40">
        <v>8</v>
      </c>
      <c r="P577" s="40">
        <v>8</v>
      </c>
      <c r="Q577" s="40">
        <v>0.18179999999999999</v>
      </c>
    </row>
    <row r="578" spans="1:17" x14ac:dyDescent="0.3">
      <c r="A578" s="40">
        <v>577</v>
      </c>
      <c r="B578" s="42">
        <v>40569</v>
      </c>
      <c r="C578" s="40">
        <v>1</v>
      </c>
      <c r="D578" s="40">
        <v>0</v>
      </c>
      <c r="E578" s="40">
        <v>1</v>
      </c>
      <c r="F578" s="40">
        <v>7</v>
      </c>
      <c r="G578" s="40" t="b">
        <v>0</v>
      </c>
      <c r="H578" s="40">
        <v>3</v>
      </c>
      <c r="I578" s="40">
        <v>3</v>
      </c>
      <c r="J578" s="40">
        <v>0.22</v>
      </c>
      <c r="K578" s="40">
        <v>0.21210000000000001</v>
      </c>
      <c r="L578" s="40">
        <v>0.87</v>
      </c>
      <c r="M578" s="40">
        <v>0.29849999999999999</v>
      </c>
      <c r="N578" s="40">
        <v>1</v>
      </c>
      <c r="O578" s="40">
        <v>29</v>
      </c>
      <c r="P578" s="40">
        <v>30</v>
      </c>
      <c r="Q578" s="40">
        <v>0.21210000000000001</v>
      </c>
    </row>
    <row r="579" spans="1:17" x14ac:dyDescent="0.3">
      <c r="A579" s="40">
        <v>578</v>
      </c>
      <c r="B579" s="42">
        <v>40569</v>
      </c>
      <c r="C579" s="40">
        <v>1</v>
      </c>
      <c r="D579" s="40">
        <v>0</v>
      </c>
      <c r="E579" s="40">
        <v>1</v>
      </c>
      <c r="F579" s="40">
        <v>8</v>
      </c>
      <c r="G579" s="40" t="b">
        <v>0</v>
      </c>
      <c r="H579" s="40">
        <v>3</v>
      </c>
      <c r="I579" s="40">
        <v>3</v>
      </c>
      <c r="J579" s="40">
        <v>0.22</v>
      </c>
      <c r="K579" s="40">
        <v>0.21210000000000001</v>
      </c>
      <c r="L579" s="40">
        <v>0.87</v>
      </c>
      <c r="M579" s="40">
        <v>0.29849999999999999</v>
      </c>
      <c r="N579" s="40">
        <v>3</v>
      </c>
      <c r="O579" s="40">
        <v>69</v>
      </c>
      <c r="P579" s="40">
        <v>72</v>
      </c>
      <c r="Q579" s="40">
        <v>0.21210000000000001</v>
      </c>
    </row>
    <row r="580" spans="1:17" x14ac:dyDescent="0.3">
      <c r="A580" s="40">
        <v>579</v>
      </c>
      <c r="B580" s="42">
        <v>40569</v>
      </c>
      <c r="C580" s="40">
        <v>1</v>
      </c>
      <c r="D580" s="40">
        <v>0</v>
      </c>
      <c r="E580" s="40">
        <v>1</v>
      </c>
      <c r="F580" s="40">
        <v>9</v>
      </c>
      <c r="G580" s="40" t="b">
        <v>0</v>
      </c>
      <c r="H580" s="40">
        <v>3</v>
      </c>
      <c r="I580" s="40">
        <v>3</v>
      </c>
      <c r="J580" s="40">
        <v>0.22</v>
      </c>
      <c r="K580" s="40">
        <v>0.21210000000000001</v>
      </c>
      <c r="L580" s="40">
        <v>0.87</v>
      </c>
      <c r="M580" s="40">
        <v>0.29849999999999999</v>
      </c>
      <c r="N580" s="40">
        <v>3</v>
      </c>
      <c r="O580" s="40">
        <v>55</v>
      </c>
      <c r="P580" s="40">
        <v>58</v>
      </c>
      <c r="Q580" s="40">
        <v>0.21210000000000001</v>
      </c>
    </row>
    <row r="581" spans="1:17" x14ac:dyDescent="0.3">
      <c r="A581" s="40">
        <v>580</v>
      </c>
      <c r="B581" s="42">
        <v>40569</v>
      </c>
      <c r="C581" s="40">
        <v>1</v>
      </c>
      <c r="D581" s="40">
        <v>0</v>
      </c>
      <c r="E581" s="40">
        <v>1</v>
      </c>
      <c r="F581" s="40">
        <v>10</v>
      </c>
      <c r="G581" s="40" t="b">
        <v>0</v>
      </c>
      <c r="H581" s="40">
        <v>3</v>
      </c>
      <c r="I581" s="40">
        <v>3</v>
      </c>
      <c r="J581" s="40">
        <v>0.22</v>
      </c>
      <c r="K581" s="40">
        <v>0.21210000000000001</v>
      </c>
      <c r="L581" s="40">
        <v>0.93</v>
      </c>
      <c r="M581" s="40">
        <v>0.28360000000000002</v>
      </c>
      <c r="N581" s="40">
        <v>2</v>
      </c>
      <c r="O581" s="40">
        <v>26</v>
      </c>
      <c r="P581" s="40">
        <v>28</v>
      </c>
      <c r="Q581" s="40">
        <v>0.21210000000000001</v>
      </c>
    </row>
    <row r="582" spans="1:17" x14ac:dyDescent="0.3">
      <c r="A582" s="40">
        <v>581</v>
      </c>
      <c r="B582" s="42">
        <v>40569</v>
      </c>
      <c r="C582" s="40">
        <v>1</v>
      </c>
      <c r="D582" s="40">
        <v>0</v>
      </c>
      <c r="E582" s="40">
        <v>1</v>
      </c>
      <c r="F582" s="40">
        <v>11</v>
      </c>
      <c r="G582" s="40" t="b">
        <v>0</v>
      </c>
      <c r="H582" s="40">
        <v>3</v>
      </c>
      <c r="I582" s="40">
        <v>3</v>
      </c>
      <c r="J582" s="40">
        <v>0.22</v>
      </c>
      <c r="K582" s="40">
        <v>0.19700000000000001</v>
      </c>
      <c r="L582" s="40">
        <v>0.93</v>
      </c>
      <c r="M582" s="40">
        <v>0.32840000000000003</v>
      </c>
      <c r="N582" s="40">
        <v>6</v>
      </c>
      <c r="O582" s="40">
        <v>35</v>
      </c>
      <c r="P582" s="40">
        <v>41</v>
      </c>
      <c r="Q582" s="40">
        <v>0.19700000000000001</v>
      </c>
    </row>
    <row r="583" spans="1:17" x14ac:dyDescent="0.3">
      <c r="A583" s="40">
        <v>582</v>
      </c>
      <c r="B583" s="42">
        <v>40569</v>
      </c>
      <c r="C583" s="40">
        <v>1</v>
      </c>
      <c r="D583" s="40">
        <v>0</v>
      </c>
      <c r="E583" s="40">
        <v>1</v>
      </c>
      <c r="F583" s="40">
        <v>12</v>
      </c>
      <c r="G583" s="40" t="b">
        <v>0</v>
      </c>
      <c r="H583" s="40">
        <v>3</v>
      </c>
      <c r="I583" s="40">
        <v>3</v>
      </c>
      <c r="J583" s="40">
        <v>0.22</v>
      </c>
      <c r="K583" s="40">
        <v>0.19700000000000001</v>
      </c>
      <c r="L583" s="40">
        <v>0.93</v>
      </c>
      <c r="M583" s="40">
        <v>0.32840000000000003</v>
      </c>
      <c r="N583" s="40">
        <v>7</v>
      </c>
      <c r="O583" s="40">
        <v>41</v>
      </c>
      <c r="P583" s="40">
        <v>48</v>
      </c>
      <c r="Q583" s="40">
        <v>0.19700000000000001</v>
      </c>
    </row>
    <row r="584" spans="1:17" x14ac:dyDescent="0.3">
      <c r="A584" s="40">
        <v>583</v>
      </c>
      <c r="B584" s="42">
        <v>40569</v>
      </c>
      <c r="C584" s="40">
        <v>1</v>
      </c>
      <c r="D584" s="40">
        <v>0</v>
      </c>
      <c r="E584" s="40">
        <v>1</v>
      </c>
      <c r="F584" s="40">
        <v>13</v>
      </c>
      <c r="G584" s="40" t="b">
        <v>0</v>
      </c>
      <c r="H584" s="40">
        <v>3</v>
      </c>
      <c r="I584" s="40">
        <v>3</v>
      </c>
      <c r="J584" s="40">
        <v>0.22</v>
      </c>
      <c r="K584" s="40">
        <v>0.19700000000000001</v>
      </c>
      <c r="L584" s="40">
        <v>0.93</v>
      </c>
      <c r="M584" s="40">
        <v>0.32840000000000003</v>
      </c>
      <c r="N584" s="40">
        <v>4</v>
      </c>
      <c r="O584" s="40">
        <v>43</v>
      </c>
      <c r="P584" s="40">
        <v>47</v>
      </c>
      <c r="Q584" s="40">
        <v>0.19700000000000001</v>
      </c>
    </row>
    <row r="585" spans="1:17" x14ac:dyDescent="0.3">
      <c r="A585" s="40">
        <v>584</v>
      </c>
      <c r="B585" s="42">
        <v>40569</v>
      </c>
      <c r="C585" s="40">
        <v>1</v>
      </c>
      <c r="D585" s="40">
        <v>0</v>
      </c>
      <c r="E585" s="40">
        <v>1</v>
      </c>
      <c r="F585" s="40">
        <v>14</v>
      </c>
      <c r="G585" s="40" t="b">
        <v>0</v>
      </c>
      <c r="H585" s="40">
        <v>3</v>
      </c>
      <c r="I585" s="40">
        <v>3</v>
      </c>
      <c r="J585" s="40">
        <v>0.22</v>
      </c>
      <c r="K585" s="40">
        <v>0.19700000000000001</v>
      </c>
      <c r="L585" s="40">
        <v>0.93</v>
      </c>
      <c r="M585" s="40">
        <v>0.35820000000000002</v>
      </c>
      <c r="N585" s="40">
        <v>0</v>
      </c>
      <c r="O585" s="40">
        <v>36</v>
      </c>
      <c r="P585" s="40">
        <v>36</v>
      </c>
      <c r="Q585" s="40">
        <v>0.19700000000000001</v>
      </c>
    </row>
    <row r="586" spans="1:17" x14ac:dyDescent="0.3">
      <c r="A586" s="40">
        <v>585</v>
      </c>
      <c r="B586" s="42">
        <v>40569</v>
      </c>
      <c r="C586" s="40">
        <v>1</v>
      </c>
      <c r="D586" s="40">
        <v>0</v>
      </c>
      <c r="E586" s="40">
        <v>1</v>
      </c>
      <c r="F586" s="40">
        <v>15</v>
      </c>
      <c r="G586" s="40" t="b">
        <v>0</v>
      </c>
      <c r="H586" s="40">
        <v>3</v>
      </c>
      <c r="I586" s="40">
        <v>3</v>
      </c>
      <c r="J586" s="40">
        <v>0.22</v>
      </c>
      <c r="K586" s="40">
        <v>0.18179999999999999</v>
      </c>
      <c r="L586" s="40">
        <v>0.93</v>
      </c>
      <c r="M586" s="40">
        <v>0.4627</v>
      </c>
      <c r="N586" s="40">
        <v>1</v>
      </c>
      <c r="O586" s="40">
        <v>42</v>
      </c>
      <c r="P586" s="40">
        <v>43</v>
      </c>
      <c r="Q586" s="40">
        <v>0.18179999999999999</v>
      </c>
    </row>
    <row r="587" spans="1:17" x14ac:dyDescent="0.3">
      <c r="A587" s="40">
        <v>586</v>
      </c>
      <c r="B587" s="42">
        <v>40569</v>
      </c>
      <c r="C587" s="40">
        <v>1</v>
      </c>
      <c r="D587" s="40">
        <v>0</v>
      </c>
      <c r="E587" s="40">
        <v>1</v>
      </c>
      <c r="F587" s="40">
        <v>16</v>
      </c>
      <c r="G587" s="40" t="b">
        <v>0</v>
      </c>
      <c r="H587" s="40">
        <v>3</v>
      </c>
      <c r="I587" s="40">
        <v>4</v>
      </c>
      <c r="J587" s="40">
        <v>0.22</v>
      </c>
      <c r="K587" s="40">
        <v>0.19700000000000001</v>
      </c>
      <c r="L587" s="40">
        <v>0.93</v>
      </c>
      <c r="M587" s="40">
        <v>0.32840000000000003</v>
      </c>
      <c r="N587" s="40">
        <v>1</v>
      </c>
      <c r="O587" s="40">
        <v>35</v>
      </c>
      <c r="P587" s="40">
        <v>36</v>
      </c>
      <c r="Q587" s="40">
        <v>0.19700000000000001</v>
      </c>
    </row>
    <row r="588" spans="1:17" x14ac:dyDescent="0.3">
      <c r="A588" s="40">
        <v>587</v>
      </c>
      <c r="B588" s="42">
        <v>40569</v>
      </c>
      <c r="C588" s="40">
        <v>1</v>
      </c>
      <c r="D588" s="40">
        <v>0</v>
      </c>
      <c r="E588" s="40">
        <v>1</v>
      </c>
      <c r="F588" s="40">
        <v>17</v>
      </c>
      <c r="G588" s="40" t="b">
        <v>0</v>
      </c>
      <c r="H588" s="40">
        <v>3</v>
      </c>
      <c r="I588" s="40">
        <v>3</v>
      </c>
      <c r="J588" s="40">
        <v>0.2</v>
      </c>
      <c r="K588" s="40">
        <v>0.18179999999999999</v>
      </c>
      <c r="L588" s="40">
        <v>0.93</v>
      </c>
      <c r="M588" s="40">
        <v>0.35820000000000002</v>
      </c>
      <c r="N588" s="40">
        <v>0</v>
      </c>
      <c r="O588" s="40">
        <v>26</v>
      </c>
      <c r="P588" s="40">
        <v>26</v>
      </c>
      <c r="Q588" s="40">
        <v>0.18179999999999999</v>
      </c>
    </row>
    <row r="589" spans="1:17" x14ac:dyDescent="0.3">
      <c r="A589" s="40">
        <v>588</v>
      </c>
      <c r="B589" s="42">
        <v>40569</v>
      </c>
      <c r="C589" s="40">
        <v>1</v>
      </c>
      <c r="D589" s="40">
        <v>0</v>
      </c>
      <c r="E589" s="40">
        <v>1</v>
      </c>
      <c r="F589" s="40">
        <v>16</v>
      </c>
      <c r="G589" s="40" t="b">
        <v>0</v>
      </c>
      <c r="H589" s="40">
        <v>3</v>
      </c>
      <c r="I589" s="40">
        <v>1</v>
      </c>
      <c r="J589" s="40">
        <v>0.22</v>
      </c>
      <c r="K589" s="40">
        <v>0.2273</v>
      </c>
      <c r="L589" s="40">
        <v>0.55000000000000004</v>
      </c>
      <c r="M589" s="40">
        <v>0.19400000000000001</v>
      </c>
      <c r="N589" s="40">
        <v>1</v>
      </c>
      <c r="O589" s="40">
        <v>23</v>
      </c>
      <c r="P589" s="40">
        <v>24</v>
      </c>
      <c r="Q589" s="40">
        <v>0.2273</v>
      </c>
    </row>
    <row r="590" spans="1:17" x14ac:dyDescent="0.3">
      <c r="A590" s="40">
        <v>589</v>
      </c>
      <c r="B590" s="42">
        <v>40569</v>
      </c>
      <c r="C590" s="40">
        <v>1</v>
      </c>
      <c r="D590" s="40">
        <v>0</v>
      </c>
      <c r="E590" s="40">
        <v>1</v>
      </c>
      <c r="F590" s="40">
        <v>17</v>
      </c>
      <c r="G590" s="40" t="b">
        <v>0</v>
      </c>
      <c r="H590" s="40">
        <v>3</v>
      </c>
      <c r="I590" s="40">
        <v>1</v>
      </c>
      <c r="J590" s="40">
        <v>0.22</v>
      </c>
      <c r="K590" s="40">
        <v>0.2424</v>
      </c>
      <c r="L590" s="40">
        <v>0.55000000000000004</v>
      </c>
      <c r="M590" s="40">
        <v>0.1045</v>
      </c>
      <c r="N590" s="40">
        <v>2</v>
      </c>
      <c r="O590" s="40">
        <v>82</v>
      </c>
      <c r="P590" s="40">
        <v>84</v>
      </c>
      <c r="Q590" s="40">
        <v>0.2424</v>
      </c>
    </row>
    <row r="591" spans="1:17" x14ac:dyDescent="0.3">
      <c r="A591" s="40">
        <v>590</v>
      </c>
      <c r="B591" s="42">
        <v>40569</v>
      </c>
      <c r="C591" s="40">
        <v>1</v>
      </c>
      <c r="D591" s="40">
        <v>0</v>
      </c>
      <c r="E591" s="40">
        <v>1</v>
      </c>
      <c r="F591" s="40">
        <v>18</v>
      </c>
      <c r="G591" s="40" t="b">
        <v>0</v>
      </c>
      <c r="H591" s="40">
        <v>3</v>
      </c>
      <c r="I591" s="40">
        <v>1</v>
      </c>
      <c r="J591" s="40">
        <v>0.2</v>
      </c>
      <c r="K591" s="40">
        <v>0.2273</v>
      </c>
      <c r="L591" s="40">
        <v>0.69</v>
      </c>
      <c r="M591" s="40">
        <v>8.9599999999999999E-2</v>
      </c>
      <c r="N591" s="40">
        <v>3</v>
      </c>
      <c r="O591" s="40">
        <v>101</v>
      </c>
      <c r="P591" s="40">
        <v>104</v>
      </c>
      <c r="Q591" s="40">
        <v>0.2273</v>
      </c>
    </row>
    <row r="592" spans="1:17" x14ac:dyDescent="0.3">
      <c r="A592" s="40">
        <v>591</v>
      </c>
      <c r="B592" s="42">
        <v>40569</v>
      </c>
      <c r="C592" s="40">
        <v>1</v>
      </c>
      <c r="D592" s="40">
        <v>0</v>
      </c>
      <c r="E592" s="40">
        <v>1</v>
      </c>
      <c r="F592" s="40">
        <v>19</v>
      </c>
      <c r="G592" s="40" t="b">
        <v>0</v>
      </c>
      <c r="H592" s="40">
        <v>3</v>
      </c>
      <c r="I592" s="40">
        <v>1</v>
      </c>
      <c r="J592" s="40">
        <v>0.2</v>
      </c>
      <c r="K592" s="40">
        <v>0.2273</v>
      </c>
      <c r="L592" s="40">
        <v>0.69</v>
      </c>
      <c r="M592" s="40">
        <v>8.9599999999999999E-2</v>
      </c>
      <c r="N592" s="40">
        <v>3</v>
      </c>
      <c r="O592" s="40">
        <v>76</v>
      </c>
      <c r="P592" s="40">
        <v>79</v>
      </c>
      <c r="Q592" s="40">
        <v>0.2273</v>
      </c>
    </row>
    <row r="593" spans="1:17" x14ac:dyDescent="0.3">
      <c r="A593" s="40">
        <v>592</v>
      </c>
      <c r="B593" s="42">
        <v>40569</v>
      </c>
      <c r="C593" s="40">
        <v>1</v>
      </c>
      <c r="D593" s="40">
        <v>0</v>
      </c>
      <c r="E593" s="40">
        <v>1</v>
      </c>
      <c r="F593" s="40">
        <v>20</v>
      </c>
      <c r="G593" s="40" t="b">
        <v>0</v>
      </c>
      <c r="H593" s="40">
        <v>3</v>
      </c>
      <c r="I593" s="40">
        <v>1</v>
      </c>
      <c r="J593" s="40">
        <v>0.18</v>
      </c>
      <c r="K593" s="40">
        <v>0.21210000000000001</v>
      </c>
      <c r="L593" s="40">
        <v>0.74</v>
      </c>
      <c r="M593" s="40">
        <v>8.9599999999999999E-2</v>
      </c>
      <c r="N593" s="40">
        <v>4</v>
      </c>
      <c r="O593" s="40">
        <v>55</v>
      </c>
      <c r="P593" s="40">
        <v>59</v>
      </c>
      <c r="Q593" s="40">
        <v>0.21210000000000001</v>
      </c>
    </row>
    <row r="594" spans="1:17" x14ac:dyDescent="0.3">
      <c r="A594" s="40">
        <v>593</v>
      </c>
      <c r="B594" s="42">
        <v>40569</v>
      </c>
      <c r="C594" s="40">
        <v>1</v>
      </c>
      <c r="D594" s="40">
        <v>0</v>
      </c>
      <c r="E594" s="40">
        <v>1</v>
      </c>
      <c r="F594" s="40">
        <v>21</v>
      </c>
      <c r="G594" s="40" t="b">
        <v>0</v>
      </c>
      <c r="H594" s="40">
        <v>3</v>
      </c>
      <c r="I594" s="40">
        <v>1</v>
      </c>
      <c r="J594" s="40">
        <v>0.18</v>
      </c>
      <c r="K594" s="40">
        <v>0.21210000000000001</v>
      </c>
      <c r="L594" s="40">
        <v>0.74</v>
      </c>
      <c r="M594" s="40">
        <v>8.9599999999999999E-2</v>
      </c>
      <c r="N594" s="40">
        <v>2</v>
      </c>
      <c r="O594" s="40">
        <v>36</v>
      </c>
      <c r="P594" s="40">
        <v>38</v>
      </c>
      <c r="Q594" s="40">
        <v>0.21210000000000001</v>
      </c>
    </row>
    <row r="595" spans="1:17" x14ac:dyDescent="0.3">
      <c r="A595" s="40">
        <v>594</v>
      </c>
      <c r="B595" s="42">
        <v>40569</v>
      </c>
      <c r="C595" s="40">
        <v>1</v>
      </c>
      <c r="D595" s="40">
        <v>0</v>
      </c>
      <c r="E595" s="40">
        <v>1</v>
      </c>
      <c r="F595" s="40">
        <v>22</v>
      </c>
      <c r="G595" s="40" t="b">
        <v>0</v>
      </c>
      <c r="H595" s="40">
        <v>3</v>
      </c>
      <c r="I595" s="40">
        <v>1</v>
      </c>
      <c r="J595" s="40">
        <v>0.18</v>
      </c>
      <c r="K595" s="40">
        <v>0.21210000000000001</v>
      </c>
      <c r="L595" s="40">
        <v>0.74</v>
      </c>
      <c r="M595" s="40">
        <v>8.9599999999999999E-2</v>
      </c>
      <c r="N595" s="40">
        <v>0</v>
      </c>
      <c r="O595" s="40">
        <v>27</v>
      </c>
      <c r="P595" s="40">
        <v>27</v>
      </c>
      <c r="Q595" s="40">
        <v>0.21210000000000001</v>
      </c>
    </row>
    <row r="596" spans="1:17" x14ac:dyDescent="0.3">
      <c r="A596" s="40">
        <v>595</v>
      </c>
      <c r="B596" s="42">
        <v>40569</v>
      </c>
      <c r="C596" s="40">
        <v>1</v>
      </c>
      <c r="D596" s="40">
        <v>0</v>
      </c>
      <c r="E596" s="40">
        <v>1</v>
      </c>
      <c r="F596" s="40">
        <v>23</v>
      </c>
      <c r="G596" s="40" t="b">
        <v>0</v>
      </c>
      <c r="H596" s="40">
        <v>3</v>
      </c>
      <c r="I596" s="40">
        <v>1</v>
      </c>
      <c r="J596" s="40">
        <v>0.18</v>
      </c>
      <c r="K596" s="40">
        <v>0.19700000000000001</v>
      </c>
      <c r="L596" s="40">
        <v>0.8</v>
      </c>
      <c r="M596" s="40">
        <v>0.16420000000000001</v>
      </c>
      <c r="N596" s="40">
        <v>0</v>
      </c>
      <c r="O596" s="40">
        <v>16</v>
      </c>
      <c r="P596" s="40">
        <v>16</v>
      </c>
      <c r="Q596" s="40">
        <v>0.19700000000000001</v>
      </c>
    </row>
    <row r="597" spans="1:17" x14ac:dyDescent="0.3">
      <c r="A597" s="40">
        <v>596</v>
      </c>
      <c r="B597" s="42">
        <v>40570</v>
      </c>
      <c r="C597" s="40">
        <v>1</v>
      </c>
      <c r="D597" s="40">
        <v>0</v>
      </c>
      <c r="E597" s="40">
        <v>1</v>
      </c>
      <c r="F597" s="40">
        <v>0</v>
      </c>
      <c r="G597" s="40" t="b">
        <v>0</v>
      </c>
      <c r="H597" s="40">
        <v>4</v>
      </c>
      <c r="I597" s="40">
        <v>2</v>
      </c>
      <c r="J597" s="40">
        <v>0.2</v>
      </c>
      <c r="K597" s="40">
        <v>0.21210000000000001</v>
      </c>
      <c r="L597" s="40">
        <v>0.75</v>
      </c>
      <c r="M597" s="40">
        <v>0.1343</v>
      </c>
      <c r="N597" s="40">
        <v>0</v>
      </c>
      <c r="O597" s="40">
        <v>9</v>
      </c>
      <c r="P597" s="40">
        <v>9</v>
      </c>
      <c r="Q597" s="40">
        <v>0.21210000000000001</v>
      </c>
    </row>
    <row r="598" spans="1:17" x14ac:dyDescent="0.3">
      <c r="A598" s="40">
        <v>597</v>
      </c>
      <c r="B598" s="42">
        <v>40570</v>
      </c>
      <c r="C598" s="40">
        <v>1</v>
      </c>
      <c r="D598" s="40">
        <v>0</v>
      </c>
      <c r="E598" s="40">
        <v>1</v>
      </c>
      <c r="F598" s="40">
        <v>1</v>
      </c>
      <c r="G598" s="40" t="b">
        <v>0</v>
      </c>
      <c r="H598" s="40">
        <v>4</v>
      </c>
      <c r="I598" s="40">
        <v>2</v>
      </c>
      <c r="J598" s="40">
        <v>0.2</v>
      </c>
      <c r="K598" s="40">
        <v>0.21210000000000001</v>
      </c>
      <c r="L598" s="40">
        <v>0.75</v>
      </c>
      <c r="M598" s="40">
        <v>0.1343</v>
      </c>
      <c r="N598" s="40">
        <v>1</v>
      </c>
      <c r="O598" s="40">
        <v>2</v>
      </c>
      <c r="P598" s="40">
        <v>3</v>
      </c>
      <c r="Q598" s="40">
        <v>0.21210000000000001</v>
      </c>
    </row>
    <row r="599" spans="1:17" x14ac:dyDescent="0.3">
      <c r="A599" s="40">
        <v>598</v>
      </c>
      <c r="B599" s="42">
        <v>40570</v>
      </c>
      <c r="C599" s="40">
        <v>1</v>
      </c>
      <c r="D599" s="40">
        <v>0</v>
      </c>
      <c r="E599" s="40">
        <v>1</v>
      </c>
      <c r="F599" s="40">
        <v>2</v>
      </c>
      <c r="G599" s="40" t="b">
        <v>0</v>
      </c>
      <c r="H599" s="40">
        <v>4</v>
      </c>
      <c r="I599" s="40">
        <v>2</v>
      </c>
      <c r="J599" s="40">
        <v>0.2</v>
      </c>
      <c r="K599" s="40">
        <v>0.21210000000000001</v>
      </c>
      <c r="L599" s="40">
        <v>0.75</v>
      </c>
      <c r="M599" s="40">
        <v>0.16420000000000001</v>
      </c>
      <c r="N599" s="40">
        <v>0</v>
      </c>
      <c r="O599" s="40">
        <v>2</v>
      </c>
      <c r="P599" s="40">
        <v>2</v>
      </c>
      <c r="Q599" s="40">
        <v>0.21210000000000001</v>
      </c>
    </row>
    <row r="600" spans="1:17" x14ac:dyDescent="0.3">
      <c r="A600" s="40">
        <v>599</v>
      </c>
      <c r="B600" s="42">
        <v>40570</v>
      </c>
      <c r="C600" s="40">
        <v>1</v>
      </c>
      <c r="D600" s="40">
        <v>0</v>
      </c>
      <c r="E600" s="40">
        <v>1</v>
      </c>
      <c r="F600" s="40">
        <v>3</v>
      </c>
      <c r="G600" s="40" t="b">
        <v>0</v>
      </c>
      <c r="H600" s="40">
        <v>4</v>
      </c>
      <c r="I600" s="40">
        <v>2</v>
      </c>
      <c r="J600" s="40">
        <v>0.2</v>
      </c>
      <c r="K600" s="40">
        <v>0.2273</v>
      </c>
      <c r="L600" s="40">
        <v>0.75</v>
      </c>
      <c r="M600" s="40">
        <v>0.1045</v>
      </c>
      <c r="N600" s="40">
        <v>1</v>
      </c>
      <c r="O600" s="40">
        <v>0</v>
      </c>
      <c r="P600" s="40">
        <v>1</v>
      </c>
      <c r="Q600" s="40">
        <v>0.2273</v>
      </c>
    </row>
    <row r="601" spans="1:17" x14ac:dyDescent="0.3">
      <c r="A601" s="40">
        <v>600</v>
      </c>
      <c r="B601" s="42">
        <v>40570</v>
      </c>
      <c r="C601" s="40">
        <v>1</v>
      </c>
      <c r="D601" s="40">
        <v>0</v>
      </c>
      <c r="E601" s="40">
        <v>1</v>
      </c>
      <c r="F601" s="40">
        <v>5</v>
      </c>
      <c r="G601" s="40" t="b">
        <v>0</v>
      </c>
      <c r="H601" s="40">
        <v>4</v>
      </c>
      <c r="I601" s="40">
        <v>2</v>
      </c>
      <c r="J601" s="40">
        <v>0.18</v>
      </c>
      <c r="K601" s="40">
        <v>0.21210000000000001</v>
      </c>
      <c r="L601" s="40">
        <v>0.8</v>
      </c>
      <c r="M601" s="40">
        <v>0.1045</v>
      </c>
      <c r="N601" s="40">
        <v>0</v>
      </c>
      <c r="O601" s="40">
        <v>4</v>
      </c>
      <c r="P601" s="40">
        <v>4</v>
      </c>
      <c r="Q601" s="40">
        <v>0.21210000000000001</v>
      </c>
    </row>
    <row r="602" spans="1:17" x14ac:dyDescent="0.3">
      <c r="A602" s="40">
        <v>601</v>
      </c>
      <c r="B602" s="42">
        <v>40570</v>
      </c>
      <c r="C602" s="40">
        <v>1</v>
      </c>
      <c r="D602" s="40">
        <v>0</v>
      </c>
      <c r="E602" s="40">
        <v>1</v>
      </c>
      <c r="F602" s="40">
        <v>6</v>
      </c>
      <c r="G602" s="40" t="b">
        <v>0</v>
      </c>
      <c r="H602" s="40">
        <v>4</v>
      </c>
      <c r="I602" s="40">
        <v>2</v>
      </c>
      <c r="J602" s="40">
        <v>0.18</v>
      </c>
      <c r="K602" s="40">
        <v>0.19700000000000001</v>
      </c>
      <c r="L602" s="40">
        <v>0.8</v>
      </c>
      <c r="M602" s="40">
        <v>0.1343</v>
      </c>
      <c r="N602" s="40">
        <v>0</v>
      </c>
      <c r="O602" s="40">
        <v>16</v>
      </c>
      <c r="P602" s="40">
        <v>16</v>
      </c>
      <c r="Q602" s="40">
        <v>0.19700000000000001</v>
      </c>
    </row>
    <row r="603" spans="1:17" x14ac:dyDescent="0.3">
      <c r="A603" s="40">
        <v>602</v>
      </c>
      <c r="B603" s="42">
        <v>40570</v>
      </c>
      <c r="C603" s="40">
        <v>1</v>
      </c>
      <c r="D603" s="40">
        <v>0</v>
      </c>
      <c r="E603" s="40">
        <v>1</v>
      </c>
      <c r="F603" s="40">
        <v>7</v>
      </c>
      <c r="G603" s="40" t="b">
        <v>0</v>
      </c>
      <c r="H603" s="40">
        <v>4</v>
      </c>
      <c r="I603" s="40">
        <v>2</v>
      </c>
      <c r="J603" s="40">
        <v>0.16</v>
      </c>
      <c r="K603" s="40">
        <v>0.19700000000000001</v>
      </c>
      <c r="L603" s="40">
        <v>0.86</v>
      </c>
      <c r="M603" s="40">
        <v>8.9599999999999999E-2</v>
      </c>
      <c r="N603" s="40">
        <v>2</v>
      </c>
      <c r="O603" s="40">
        <v>58</v>
      </c>
      <c r="P603" s="40">
        <v>60</v>
      </c>
      <c r="Q603" s="40">
        <v>0.19700000000000001</v>
      </c>
    </row>
    <row r="604" spans="1:17" x14ac:dyDescent="0.3">
      <c r="A604" s="40">
        <v>603</v>
      </c>
      <c r="B604" s="42">
        <v>40570</v>
      </c>
      <c r="C604" s="40">
        <v>1</v>
      </c>
      <c r="D604" s="40">
        <v>0</v>
      </c>
      <c r="E604" s="40">
        <v>1</v>
      </c>
      <c r="F604" s="40">
        <v>8</v>
      </c>
      <c r="G604" s="40" t="b">
        <v>0</v>
      </c>
      <c r="H604" s="40">
        <v>4</v>
      </c>
      <c r="I604" s="40">
        <v>2</v>
      </c>
      <c r="J604" s="40">
        <v>0.16</v>
      </c>
      <c r="K604" s="40">
        <v>0.19700000000000001</v>
      </c>
      <c r="L604" s="40">
        <v>0.86</v>
      </c>
      <c r="M604" s="40">
        <v>8.9599999999999999E-2</v>
      </c>
      <c r="N604" s="40">
        <v>2</v>
      </c>
      <c r="O604" s="40">
        <v>155</v>
      </c>
      <c r="P604" s="40">
        <v>157</v>
      </c>
      <c r="Q604" s="40">
        <v>0.19700000000000001</v>
      </c>
    </row>
    <row r="605" spans="1:17" x14ac:dyDescent="0.3">
      <c r="A605" s="40">
        <v>604</v>
      </c>
      <c r="B605" s="42">
        <v>40570</v>
      </c>
      <c r="C605" s="40">
        <v>1</v>
      </c>
      <c r="D605" s="40">
        <v>0</v>
      </c>
      <c r="E605" s="40">
        <v>1</v>
      </c>
      <c r="F605" s="40">
        <v>9</v>
      </c>
      <c r="G605" s="40" t="b">
        <v>0</v>
      </c>
      <c r="H605" s="40">
        <v>4</v>
      </c>
      <c r="I605" s="40">
        <v>3</v>
      </c>
      <c r="J605" s="40">
        <v>0.18</v>
      </c>
      <c r="K605" s="40">
        <v>0.21210000000000001</v>
      </c>
      <c r="L605" s="40">
        <v>0.86</v>
      </c>
      <c r="M605" s="40">
        <v>8.9599999999999999E-2</v>
      </c>
      <c r="N605" s="40">
        <v>6</v>
      </c>
      <c r="O605" s="40">
        <v>95</v>
      </c>
      <c r="P605" s="40">
        <v>101</v>
      </c>
      <c r="Q605" s="40">
        <v>0.21210000000000001</v>
      </c>
    </row>
    <row r="606" spans="1:17" x14ac:dyDescent="0.3">
      <c r="A606" s="40">
        <v>605</v>
      </c>
      <c r="B606" s="42">
        <v>40570</v>
      </c>
      <c r="C606" s="40">
        <v>1</v>
      </c>
      <c r="D606" s="40">
        <v>0</v>
      </c>
      <c r="E606" s="40">
        <v>1</v>
      </c>
      <c r="F606" s="40">
        <v>10</v>
      </c>
      <c r="G606" s="40" t="b">
        <v>0</v>
      </c>
      <c r="H606" s="40">
        <v>4</v>
      </c>
      <c r="I606" s="40">
        <v>3</v>
      </c>
      <c r="J606" s="40">
        <v>0.18</v>
      </c>
      <c r="K606" s="40">
        <v>0.21210000000000001</v>
      </c>
      <c r="L606" s="40">
        <v>0.86</v>
      </c>
      <c r="M606" s="40">
        <v>0.1045</v>
      </c>
      <c r="N606" s="40">
        <v>0</v>
      </c>
      <c r="O606" s="40">
        <v>49</v>
      </c>
      <c r="P606" s="40">
        <v>49</v>
      </c>
      <c r="Q606" s="40">
        <v>0.21210000000000001</v>
      </c>
    </row>
    <row r="607" spans="1:17" x14ac:dyDescent="0.3">
      <c r="A607" s="40">
        <v>606</v>
      </c>
      <c r="B607" s="42">
        <v>40570</v>
      </c>
      <c r="C607" s="40">
        <v>1</v>
      </c>
      <c r="D607" s="40">
        <v>0</v>
      </c>
      <c r="E607" s="40">
        <v>1</v>
      </c>
      <c r="F607" s="40">
        <v>11</v>
      </c>
      <c r="G607" s="40" t="b">
        <v>0</v>
      </c>
      <c r="H607" s="40">
        <v>4</v>
      </c>
      <c r="I607" s="40">
        <v>3</v>
      </c>
      <c r="J607" s="40">
        <v>0.18</v>
      </c>
      <c r="K607" s="40">
        <v>0.21210000000000001</v>
      </c>
      <c r="L607" s="40">
        <v>0.93</v>
      </c>
      <c r="M607" s="40">
        <v>0.1045</v>
      </c>
      <c r="N607" s="40">
        <v>0</v>
      </c>
      <c r="O607" s="40">
        <v>30</v>
      </c>
      <c r="P607" s="40">
        <v>30</v>
      </c>
      <c r="Q607" s="40">
        <v>0.21210000000000001</v>
      </c>
    </row>
    <row r="608" spans="1:17" x14ac:dyDescent="0.3">
      <c r="A608" s="40">
        <v>607</v>
      </c>
      <c r="B608" s="42">
        <v>40570</v>
      </c>
      <c r="C608" s="40">
        <v>1</v>
      </c>
      <c r="D608" s="40">
        <v>0</v>
      </c>
      <c r="E608" s="40">
        <v>1</v>
      </c>
      <c r="F608" s="40">
        <v>12</v>
      </c>
      <c r="G608" s="40" t="b">
        <v>0</v>
      </c>
      <c r="H608" s="40">
        <v>4</v>
      </c>
      <c r="I608" s="40">
        <v>3</v>
      </c>
      <c r="J608" s="40">
        <v>0.18</v>
      </c>
      <c r="K608" s="40">
        <v>0.21210000000000001</v>
      </c>
      <c r="L608" s="40">
        <v>0.93</v>
      </c>
      <c r="M608" s="40">
        <v>0.1045</v>
      </c>
      <c r="N608" s="40">
        <v>1</v>
      </c>
      <c r="O608" s="40">
        <v>28</v>
      </c>
      <c r="P608" s="40">
        <v>29</v>
      </c>
      <c r="Q608" s="40">
        <v>0.21210000000000001</v>
      </c>
    </row>
    <row r="609" spans="1:17" x14ac:dyDescent="0.3">
      <c r="A609" s="40">
        <v>608</v>
      </c>
      <c r="B609" s="42">
        <v>40570</v>
      </c>
      <c r="C609" s="40">
        <v>1</v>
      </c>
      <c r="D609" s="40">
        <v>0</v>
      </c>
      <c r="E609" s="40">
        <v>1</v>
      </c>
      <c r="F609" s="40">
        <v>13</v>
      </c>
      <c r="G609" s="40" t="b">
        <v>0</v>
      </c>
      <c r="H609" s="40">
        <v>4</v>
      </c>
      <c r="I609" s="40">
        <v>3</v>
      </c>
      <c r="J609" s="40">
        <v>0.18</v>
      </c>
      <c r="K609" s="40">
        <v>0.21210000000000001</v>
      </c>
      <c r="L609" s="40">
        <v>0.93</v>
      </c>
      <c r="M609" s="40">
        <v>0.1045</v>
      </c>
      <c r="N609" s="40">
        <v>0</v>
      </c>
      <c r="O609" s="40">
        <v>31</v>
      </c>
      <c r="P609" s="40">
        <v>31</v>
      </c>
      <c r="Q609" s="40">
        <v>0.21210000000000001</v>
      </c>
    </row>
    <row r="610" spans="1:17" x14ac:dyDescent="0.3">
      <c r="A610" s="40">
        <v>609</v>
      </c>
      <c r="B610" s="42">
        <v>40570</v>
      </c>
      <c r="C610" s="40">
        <v>1</v>
      </c>
      <c r="D610" s="40">
        <v>0</v>
      </c>
      <c r="E610" s="40">
        <v>1</v>
      </c>
      <c r="F610" s="40">
        <v>14</v>
      </c>
      <c r="G610" s="40" t="b">
        <v>0</v>
      </c>
      <c r="H610" s="40">
        <v>4</v>
      </c>
      <c r="I610" s="40">
        <v>3</v>
      </c>
      <c r="J610" s="40">
        <v>0.22</v>
      </c>
      <c r="K610" s="40">
        <v>0.2727</v>
      </c>
      <c r="L610" s="40">
        <v>0.8</v>
      </c>
      <c r="M610" s="40">
        <v>0.20485098360655737</v>
      </c>
      <c r="N610" s="40">
        <v>2</v>
      </c>
      <c r="O610" s="40">
        <v>36</v>
      </c>
      <c r="P610" s="40">
        <v>38</v>
      </c>
      <c r="Q610" s="40">
        <v>0.2727</v>
      </c>
    </row>
    <row r="611" spans="1:17" x14ac:dyDescent="0.3">
      <c r="A611" s="40">
        <v>610</v>
      </c>
      <c r="B611" s="42">
        <v>40570</v>
      </c>
      <c r="C611" s="40">
        <v>1</v>
      </c>
      <c r="D611" s="40">
        <v>0</v>
      </c>
      <c r="E611" s="40">
        <v>1</v>
      </c>
      <c r="F611" s="40">
        <v>15</v>
      </c>
      <c r="G611" s="40" t="b">
        <v>0</v>
      </c>
      <c r="H611" s="40">
        <v>4</v>
      </c>
      <c r="I611" s="40">
        <v>2</v>
      </c>
      <c r="J611" s="40">
        <v>0.2</v>
      </c>
      <c r="K611" s="40">
        <v>0.2576</v>
      </c>
      <c r="L611" s="40">
        <v>0.86</v>
      </c>
      <c r="M611" s="40">
        <v>0.20485098360655737</v>
      </c>
      <c r="N611" s="40">
        <v>1</v>
      </c>
      <c r="O611" s="40">
        <v>40</v>
      </c>
      <c r="P611" s="40">
        <v>41</v>
      </c>
      <c r="Q611" s="40">
        <v>0.2576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1F91-F3E6-4CC3-8D01-65E5FEBD43BC}">
  <dimension ref="A1:AW1033"/>
  <sheetViews>
    <sheetView showGridLines="0" topLeftCell="D1" zoomScale="55" zoomScaleNormal="55" workbookViewId="0">
      <selection activeCell="J34" sqref="J34"/>
    </sheetView>
  </sheetViews>
  <sheetFormatPr defaultColWidth="8.77734375" defaultRowHeight="14.4" x14ac:dyDescent="0.3"/>
  <cols>
    <col min="1" max="16" width="27.88671875" style="40" customWidth="1"/>
    <col min="17" max="17" width="17.44140625" style="40" hidden="1" customWidth="1"/>
    <col min="18" max="18" width="29.77734375" style="40" customWidth="1"/>
    <col min="19" max="19" width="17" style="40" customWidth="1"/>
    <col min="20" max="20" width="19.21875" style="40" customWidth="1"/>
    <col min="21" max="22" width="14.44140625" style="40" hidden="1" customWidth="1"/>
    <col min="23" max="24" width="10" style="40" hidden="1" customWidth="1"/>
    <col min="25" max="27" width="0" style="40" hidden="1" customWidth="1"/>
    <col min="28" max="28" width="14.44140625" style="40" hidden="1" customWidth="1"/>
    <col min="29" max="29" width="10" style="40" hidden="1" customWidth="1"/>
    <col min="30" max="38" width="0" style="40" hidden="1" customWidth="1"/>
    <col min="39" max="39" width="14.44140625" style="40" hidden="1" customWidth="1"/>
    <col min="40" max="40" width="10" style="40" hidden="1" customWidth="1"/>
    <col min="41" max="57" width="0" style="40" hidden="1" customWidth="1"/>
    <col min="58" max="16384" width="8.77734375" style="40"/>
  </cols>
  <sheetData>
    <row r="1" spans="1:30" x14ac:dyDescent="0.3">
      <c r="A1" s="53"/>
      <c r="B1" s="54"/>
      <c r="C1" s="54"/>
      <c r="D1" s="54"/>
      <c r="E1" s="54"/>
      <c r="F1" s="54"/>
      <c r="G1" s="54"/>
      <c r="H1" s="54"/>
      <c r="I1" s="54"/>
      <c r="J1" s="54"/>
      <c r="K1" s="55"/>
    </row>
    <row r="2" spans="1:30" x14ac:dyDescent="0.3">
      <c r="A2" s="56"/>
      <c r="B2" s="57"/>
      <c r="C2" s="57"/>
      <c r="D2" s="57"/>
      <c r="E2" s="57"/>
      <c r="F2" s="57"/>
      <c r="G2" s="57"/>
      <c r="H2" s="57"/>
      <c r="I2" s="57"/>
      <c r="J2" s="57"/>
      <c r="K2" s="58"/>
    </row>
    <row r="3" spans="1:30" x14ac:dyDescent="0.3">
      <c r="A3" s="56"/>
      <c r="B3" s="57"/>
      <c r="C3" s="57"/>
      <c r="D3" s="57"/>
      <c r="E3" s="57"/>
      <c r="F3" s="57"/>
      <c r="G3" s="57"/>
      <c r="H3" s="57"/>
      <c r="I3" s="57"/>
      <c r="J3" s="57"/>
      <c r="K3" s="58"/>
      <c r="X3" t="s">
        <v>77</v>
      </c>
      <c r="Y3"/>
      <c r="Z3"/>
    </row>
    <row r="4" spans="1:30" x14ac:dyDescent="0.3">
      <c r="A4" s="56"/>
      <c r="B4" s="57"/>
      <c r="C4" s="57"/>
      <c r="D4" s="57"/>
      <c r="E4" s="57"/>
      <c r="F4" s="57"/>
      <c r="G4" s="57"/>
      <c r="H4" s="57"/>
      <c r="I4" s="57"/>
      <c r="J4" s="57"/>
      <c r="K4" s="58"/>
      <c r="X4" s="72">
        <v>8000</v>
      </c>
      <c r="Y4">
        <f>GETPIVOTDATA("Cnt",$X$3)</f>
        <v>8000</v>
      </c>
      <c r="Z4"/>
    </row>
    <row r="5" spans="1:30" x14ac:dyDescent="0.3">
      <c r="A5" s="56"/>
      <c r="B5" s="57"/>
      <c r="C5" s="57"/>
      <c r="D5" s="57"/>
      <c r="E5" s="57"/>
      <c r="F5" s="57"/>
      <c r="G5" s="57"/>
      <c r="H5" s="57"/>
      <c r="I5" s="57"/>
      <c r="J5" s="57"/>
      <c r="K5" s="58"/>
      <c r="X5"/>
      <c r="Y5"/>
      <c r="Z5"/>
    </row>
    <row r="6" spans="1:30" x14ac:dyDescent="0.3">
      <c r="A6" s="56"/>
      <c r="B6" s="57"/>
      <c r="C6" s="57"/>
      <c r="D6" s="57"/>
      <c r="E6" s="57"/>
      <c r="F6" s="57"/>
      <c r="G6" s="57"/>
      <c r="H6" s="57"/>
      <c r="I6" s="57"/>
      <c r="J6" s="57"/>
      <c r="K6" s="58"/>
      <c r="X6"/>
      <c r="Y6"/>
      <c r="Z6"/>
    </row>
    <row r="7" spans="1:30" x14ac:dyDescent="0.3">
      <c r="A7" s="56"/>
      <c r="B7" s="57"/>
      <c r="C7" s="57"/>
      <c r="D7" s="57"/>
      <c r="E7" s="57"/>
      <c r="F7" s="57"/>
      <c r="G7" s="57"/>
      <c r="H7" s="57"/>
      <c r="I7" s="57"/>
      <c r="J7" s="57"/>
      <c r="K7" s="58"/>
      <c r="X7"/>
      <c r="Y7"/>
      <c r="Z7"/>
    </row>
    <row r="8" spans="1:30" x14ac:dyDescent="0.3">
      <c r="A8" s="56"/>
      <c r="B8" s="57"/>
      <c r="C8" s="57"/>
      <c r="D8" s="57"/>
      <c r="E8" s="57"/>
      <c r="F8" s="57"/>
      <c r="G8" s="57"/>
      <c r="H8" s="57"/>
      <c r="I8" s="57"/>
      <c r="J8" s="57"/>
      <c r="K8" s="58"/>
      <c r="V8" s="47" t="s">
        <v>75</v>
      </c>
      <c r="W8" t="s">
        <v>77</v>
      </c>
      <c r="X8"/>
      <c r="Y8"/>
      <c r="Z8"/>
    </row>
    <row r="9" spans="1:30" x14ac:dyDescent="0.3">
      <c r="A9" s="56"/>
      <c r="B9" s="57"/>
      <c r="C9" s="57"/>
      <c r="D9" s="57"/>
      <c r="E9" s="57"/>
      <c r="F9" s="57"/>
      <c r="G9" s="57"/>
      <c r="H9" s="57"/>
      <c r="I9" s="57"/>
      <c r="J9" s="57"/>
      <c r="K9" s="58"/>
      <c r="V9" s="48">
        <v>0</v>
      </c>
      <c r="W9" s="72">
        <v>60</v>
      </c>
      <c r="X9"/>
      <c r="Y9"/>
      <c r="AB9" t="s">
        <v>85</v>
      </c>
      <c r="AC9"/>
    </row>
    <row r="10" spans="1:30" x14ac:dyDescent="0.3">
      <c r="A10" s="56"/>
      <c r="B10" s="57"/>
      <c r="C10" s="57"/>
      <c r="D10" s="57"/>
      <c r="E10" s="57"/>
      <c r="F10" s="57"/>
      <c r="G10" s="57"/>
      <c r="H10" s="57"/>
      <c r="I10" s="57"/>
      <c r="J10" s="57"/>
      <c r="K10" s="58"/>
      <c r="V10" s="48">
        <v>1</v>
      </c>
      <c r="W10" s="72">
        <v>55</v>
      </c>
      <c r="X10"/>
      <c r="Y10"/>
      <c r="AB10" s="72">
        <v>1264</v>
      </c>
      <c r="AC10">
        <f>GETPIVOTDATA("Casual",$AB$9)</f>
        <v>1264</v>
      </c>
    </row>
    <row r="11" spans="1:30" x14ac:dyDescent="0.3">
      <c r="A11" s="56"/>
      <c r="B11" s="57"/>
      <c r="C11" s="57"/>
      <c r="D11" s="57"/>
      <c r="E11" s="57"/>
      <c r="F11" s="57"/>
      <c r="G11" s="57"/>
      <c r="H11" s="57"/>
      <c r="I11" s="57"/>
      <c r="J11" s="57"/>
      <c r="K11" s="58"/>
      <c r="V11" s="48">
        <v>2</v>
      </c>
      <c r="W11" s="72">
        <v>24</v>
      </c>
      <c r="X11"/>
      <c r="Y11"/>
      <c r="Z11"/>
      <c r="AB11"/>
      <c r="AC11"/>
    </row>
    <row r="12" spans="1:30" x14ac:dyDescent="0.3">
      <c r="A12" s="56"/>
      <c r="B12" s="57"/>
      <c r="C12" s="57"/>
      <c r="D12" s="57"/>
      <c r="E12" s="57"/>
      <c r="F12" s="57"/>
      <c r="G12" s="57"/>
      <c r="H12" s="57"/>
      <c r="I12" s="57"/>
      <c r="J12" s="57"/>
      <c r="K12" s="58"/>
      <c r="V12" s="48">
        <v>3</v>
      </c>
      <c r="W12" s="72">
        <v>16</v>
      </c>
      <c r="X12"/>
      <c r="Y12"/>
      <c r="Z12"/>
      <c r="AB12" t="s">
        <v>86</v>
      </c>
      <c r="AC12"/>
      <c r="AD12"/>
    </row>
    <row r="13" spans="1:30" x14ac:dyDescent="0.3">
      <c r="A13" s="56"/>
      <c r="B13" s="57"/>
      <c r="C13" s="57"/>
      <c r="D13" s="57"/>
      <c r="E13" s="57"/>
      <c r="F13" s="57"/>
      <c r="G13" s="57"/>
      <c r="H13" s="57"/>
      <c r="I13" s="57"/>
      <c r="J13" s="57"/>
      <c r="K13" s="58"/>
      <c r="V13" s="48">
        <v>4</v>
      </c>
      <c r="W13" s="72">
        <v>7</v>
      </c>
      <c r="X13"/>
      <c r="Y13"/>
      <c r="Z13"/>
      <c r="AB13" s="72">
        <v>6736</v>
      </c>
      <c r="AC13">
        <f>GETPIVOTDATA("Registered",$AB$12)</f>
        <v>6736</v>
      </c>
      <c r="AD13"/>
    </row>
    <row r="14" spans="1:30" x14ac:dyDescent="0.3">
      <c r="A14" s="56"/>
      <c r="B14" s="57"/>
      <c r="C14" s="57"/>
      <c r="D14" s="57"/>
      <c r="E14" s="57"/>
      <c r="F14" s="57"/>
      <c r="G14" s="57"/>
      <c r="H14" s="57"/>
      <c r="I14" s="57"/>
      <c r="J14" s="57"/>
      <c r="K14" s="58"/>
      <c r="V14" s="48">
        <v>5</v>
      </c>
      <c r="W14" s="72">
        <v>6</v>
      </c>
      <c r="X14"/>
      <c r="Y14"/>
      <c r="Z14"/>
      <c r="AB14"/>
      <c r="AC14"/>
      <c r="AD14"/>
    </row>
    <row r="15" spans="1:30" x14ac:dyDescent="0.3">
      <c r="A15" s="56"/>
      <c r="B15" s="57"/>
      <c r="C15" s="57"/>
      <c r="D15" s="57"/>
      <c r="E15" s="57"/>
      <c r="F15" s="57"/>
      <c r="G15" s="57"/>
      <c r="H15" s="57"/>
      <c r="I15" s="57"/>
      <c r="J15" s="57"/>
      <c r="K15" s="58"/>
      <c r="V15" s="48">
        <v>6</v>
      </c>
      <c r="W15" s="72">
        <v>66</v>
      </c>
      <c r="X15"/>
      <c r="Y15"/>
      <c r="Z15"/>
      <c r="AB15"/>
      <c r="AC15"/>
      <c r="AD15"/>
    </row>
    <row r="16" spans="1:30" x14ac:dyDescent="0.3">
      <c r="A16" s="56"/>
      <c r="B16" s="57"/>
      <c r="C16" s="57"/>
      <c r="D16" s="57"/>
      <c r="E16" s="57"/>
      <c r="F16" s="57"/>
      <c r="G16" s="57"/>
      <c r="H16" s="57"/>
      <c r="I16" s="57"/>
      <c r="J16" s="57"/>
      <c r="K16" s="58"/>
      <c r="V16" s="48">
        <v>7</v>
      </c>
      <c r="W16" s="72">
        <v>98</v>
      </c>
      <c r="X16"/>
      <c r="Y16"/>
      <c r="Z16"/>
      <c r="AB16"/>
      <c r="AC16"/>
      <c r="AD16"/>
    </row>
    <row r="17" spans="1:40" x14ac:dyDescent="0.3">
      <c r="A17" s="56"/>
      <c r="B17" s="57"/>
      <c r="C17" s="57"/>
      <c r="D17" s="57"/>
      <c r="E17" s="57"/>
      <c r="F17" s="57"/>
      <c r="G17" s="57"/>
      <c r="H17" s="57"/>
      <c r="I17" s="57"/>
      <c r="J17" s="57"/>
      <c r="K17" s="58"/>
      <c r="V17" s="48">
        <v>9</v>
      </c>
      <c r="W17" s="72">
        <v>45</v>
      </c>
      <c r="X17"/>
      <c r="Y17"/>
      <c r="Z17"/>
      <c r="AB17"/>
      <c r="AC17"/>
      <c r="AD17"/>
    </row>
    <row r="18" spans="1:40" x14ac:dyDescent="0.3">
      <c r="A18" s="56"/>
      <c r="B18" s="57"/>
      <c r="C18" s="57"/>
      <c r="D18" s="57"/>
      <c r="E18" s="57"/>
      <c r="F18" s="57"/>
      <c r="G18" s="57"/>
      <c r="H18" s="57"/>
      <c r="I18" s="57"/>
      <c r="J18" s="57"/>
      <c r="K18" s="58"/>
      <c r="V18" s="48">
        <v>10</v>
      </c>
      <c r="W18" s="72">
        <v>194</v>
      </c>
      <c r="X18"/>
      <c r="Y18"/>
      <c r="Z18"/>
      <c r="AB18" s="47" t="s">
        <v>75</v>
      </c>
      <c r="AC18" t="s">
        <v>77</v>
      </c>
      <c r="AD18"/>
      <c r="AM18" s="47" t="s">
        <v>75</v>
      </c>
      <c r="AN18" t="s">
        <v>77</v>
      </c>
    </row>
    <row r="19" spans="1:40" x14ac:dyDescent="0.3">
      <c r="A19" s="56"/>
      <c r="B19" s="57"/>
      <c r="C19" s="57"/>
      <c r="D19" s="57"/>
      <c r="E19" s="57"/>
      <c r="F19" s="57"/>
      <c r="G19" s="57"/>
      <c r="H19" s="57"/>
      <c r="I19" s="57"/>
      <c r="J19" s="57"/>
      <c r="K19" s="58"/>
      <c r="V19" s="48">
        <v>11</v>
      </c>
      <c r="W19" s="72">
        <v>390</v>
      </c>
      <c r="X19"/>
      <c r="Y19"/>
      <c r="Z19"/>
      <c r="AB19" s="48" t="s">
        <v>89</v>
      </c>
      <c r="AC19" s="72">
        <v>4514</v>
      </c>
      <c r="AD19"/>
      <c r="AM19" s="48" t="s">
        <v>84</v>
      </c>
      <c r="AN19" s="72">
        <v>2854</v>
      </c>
    </row>
    <row r="20" spans="1:40" x14ac:dyDescent="0.3">
      <c r="A20" s="56"/>
      <c r="B20" s="57"/>
      <c r="C20" s="57"/>
      <c r="D20" s="57"/>
      <c r="E20" s="57"/>
      <c r="F20" s="57"/>
      <c r="G20" s="57"/>
      <c r="H20" s="57"/>
      <c r="I20" s="57"/>
      <c r="J20" s="57"/>
      <c r="K20" s="58"/>
      <c r="V20" s="48">
        <v>12</v>
      </c>
      <c r="W20" s="72">
        <v>512</v>
      </c>
      <c r="X20"/>
      <c r="Y20"/>
      <c r="Z20"/>
      <c r="AB20" s="48" t="s">
        <v>90</v>
      </c>
      <c r="AC20" s="72">
        <v>3486</v>
      </c>
      <c r="AD20"/>
      <c r="AM20" s="48" t="s">
        <v>80</v>
      </c>
      <c r="AN20" s="72">
        <v>3705</v>
      </c>
    </row>
    <row r="21" spans="1:40" x14ac:dyDescent="0.3">
      <c r="A21" s="56"/>
      <c r="B21" s="57"/>
      <c r="C21" s="57"/>
      <c r="D21" s="57"/>
      <c r="E21" s="57"/>
      <c r="F21" s="57"/>
      <c r="G21" s="57"/>
      <c r="H21" s="57"/>
      <c r="I21" s="57"/>
      <c r="J21" s="57"/>
      <c r="K21" s="58"/>
      <c r="V21" s="48">
        <v>13</v>
      </c>
      <c r="W21" s="72">
        <v>692</v>
      </c>
      <c r="AB21" s="48" t="s">
        <v>76</v>
      </c>
      <c r="AC21" s="72">
        <v>8000</v>
      </c>
      <c r="AD21"/>
      <c r="AM21" s="48" t="s">
        <v>81</v>
      </c>
      <c r="AN21" s="72">
        <v>1441</v>
      </c>
    </row>
    <row r="22" spans="1:40" x14ac:dyDescent="0.3">
      <c r="A22" s="56"/>
      <c r="B22" s="57"/>
      <c r="C22" s="57"/>
      <c r="D22" s="57"/>
      <c r="E22" s="57"/>
      <c r="F22" s="57"/>
      <c r="G22" s="57"/>
      <c r="H22" s="57"/>
      <c r="I22" s="57"/>
      <c r="J22" s="57"/>
      <c r="K22" s="58"/>
      <c r="V22" s="48">
        <v>14</v>
      </c>
      <c r="W22" s="72">
        <v>740</v>
      </c>
      <c r="AB22"/>
      <c r="AC22"/>
      <c r="AD22"/>
      <c r="AM22" s="48" t="s">
        <v>76</v>
      </c>
      <c r="AN22" s="72">
        <v>8000</v>
      </c>
    </row>
    <row r="23" spans="1:40" x14ac:dyDescent="0.3">
      <c r="A23" s="56"/>
      <c r="B23" s="57"/>
      <c r="C23" s="57"/>
      <c r="D23" s="57"/>
      <c r="E23" s="57"/>
      <c r="F23" s="57"/>
      <c r="G23" s="57"/>
      <c r="H23" s="57"/>
      <c r="I23" s="57"/>
      <c r="J23" s="57"/>
      <c r="K23" s="58"/>
      <c r="V23" s="48">
        <v>15</v>
      </c>
      <c r="W23" s="72">
        <v>808</v>
      </c>
      <c r="AB23"/>
      <c r="AC23"/>
      <c r="AD23"/>
      <c r="AM23"/>
      <c r="AN23"/>
    </row>
    <row r="24" spans="1:40" x14ac:dyDescent="0.3">
      <c r="A24" s="56"/>
      <c r="B24" s="57"/>
      <c r="C24" s="57"/>
      <c r="D24" s="57"/>
      <c r="E24" s="57"/>
      <c r="F24" s="57"/>
      <c r="G24" s="57"/>
      <c r="H24" s="57"/>
      <c r="I24" s="57"/>
      <c r="J24" s="57"/>
      <c r="K24" s="58"/>
      <c r="V24" s="48">
        <v>16</v>
      </c>
      <c r="W24" s="72">
        <v>877</v>
      </c>
      <c r="X24" s="48" t="s">
        <v>79</v>
      </c>
      <c r="Y24" s="48"/>
      <c r="Z24" t="s">
        <v>80</v>
      </c>
      <c r="AB24"/>
      <c r="AC24"/>
      <c r="AD24"/>
      <c r="AM24"/>
      <c r="AN24"/>
    </row>
    <row r="25" spans="1:40" x14ac:dyDescent="0.3">
      <c r="A25" s="56"/>
      <c r="B25" s="57"/>
      <c r="C25" s="57"/>
      <c r="D25" s="57"/>
      <c r="E25" s="57"/>
      <c r="F25" s="57"/>
      <c r="G25" s="57"/>
      <c r="H25" s="57"/>
      <c r="I25" s="57"/>
      <c r="J25" s="57"/>
      <c r="K25" s="58"/>
      <c r="V25" s="48">
        <v>17</v>
      </c>
      <c r="W25" s="72">
        <v>1205</v>
      </c>
      <c r="X25" s="48" t="s">
        <v>82</v>
      </c>
      <c r="Y25" s="48"/>
      <c r="Z25" t="s">
        <v>81</v>
      </c>
      <c r="AB25"/>
      <c r="AC25"/>
      <c r="AD25"/>
    </row>
    <row r="26" spans="1:40" x14ac:dyDescent="0.3">
      <c r="A26" s="56"/>
      <c r="B26" s="57"/>
      <c r="C26" s="57"/>
      <c r="D26" s="57"/>
      <c r="E26" s="57"/>
      <c r="F26" s="57"/>
      <c r="G26" s="57"/>
      <c r="H26" s="57"/>
      <c r="I26" s="57"/>
      <c r="J26" s="57"/>
      <c r="K26" s="58"/>
      <c r="V26" s="48">
        <v>18</v>
      </c>
      <c r="W26" s="72">
        <v>851</v>
      </c>
      <c r="X26" s="48" t="s">
        <v>83</v>
      </c>
      <c r="Y26" s="48"/>
      <c r="Z26" t="s">
        <v>84</v>
      </c>
      <c r="AB26"/>
      <c r="AC26"/>
      <c r="AD26"/>
    </row>
    <row r="27" spans="1:40" x14ac:dyDescent="0.3">
      <c r="A27" s="56"/>
      <c r="B27" s="57"/>
      <c r="C27" s="57"/>
      <c r="D27" s="57"/>
      <c r="E27" s="57"/>
      <c r="F27" s="57"/>
      <c r="G27" s="57"/>
      <c r="H27" s="57"/>
      <c r="I27" s="57"/>
      <c r="J27" s="57"/>
      <c r="K27" s="58"/>
      <c r="V27" s="48">
        <v>19</v>
      </c>
      <c r="W27" s="72">
        <v>527</v>
      </c>
      <c r="X27"/>
      <c r="Y27"/>
      <c r="Z27"/>
      <c r="AB27"/>
      <c r="AC27"/>
      <c r="AD27"/>
    </row>
    <row r="28" spans="1:40" x14ac:dyDescent="0.3">
      <c r="A28" s="56"/>
      <c r="B28" s="57"/>
      <c r="C28" s="57"/>
      <c r="D28" s="57"/>
      <c r="E28" s="57"/>
      <c r="F28" s="57"/>
      <c r="G28" s="57"/>
      <c r="H28" s="57"/>
      <c r="I28" s="57"/>
      <c r="J28" s="57"/>
      <c r="K28" s="58"/>
      <c r="V28" s="48">
        <v>20</v>
      </c>
      <c r="W28" s="72">
        <v>270</v>
      </c>
      <c r="AB28"/>
      <c r="AC28"/>
      <c r="AD28"/>
    </row>
    <row r="29" spans="1:40" x14ac:dyDescent="0.3">
      <c r="A29" s="56"/>
      <c r="B29" s="57"/>
      <c r="C29" s="57"/>
      <c r="D29" s="57"/>
      <c r="E29" s="57"/>
      <c r="F29" s="57"/>
      <c r="G29" s="57"/>
      <c r="H29" s="57"/>
      <c r="I29" s="57"/>
      <c r="J29" s="57"/>
      <c r="K29" s="58"/>
      <c r="V29" s="48">
        <v>21</v>
      </c>
      <c r="W29" s="72">
        <v>263</v>
      </c>
      <c r="AB29"/>
      <c r="AC29"/>
      <c r="AD29"/>
    </row>
    <row r="30" spans="1:40" x14ac:dyDescent="0.3">
      <c r="A30" s="56"/>
      <c r="B30" s="57"/>
      <c r="C30" s="57"/>
      <c r="D30" s="57"/>
      <c r="E30" s="57"/>
      <c r="F30" s="57"/>
      <c r="G30" s="57"/>
      <c r="H30" s="57"/>
      <c r="I30" s="57"/>
      <c r="J30" s="57"/>
      <c r="K30" s="58"/>
      <c r="V30" s="48">
        <v>22</v>
      </c>
      <c r="W30" s="72">
        <v>180</v>
      </c>
      <c r="AB30"/>
      <c r="AC30"/>
    </row>
    <row r="31" spans="1:40" hidden="1" x14ac:dyDescent="0.3">
      <c r="A31" s="56"/>
      <c r="B31" s="57"/>
      <c r="C31" s="57"/>
      <c r="D31" s="57"/>
      <c r="E31" s="57"/>
      <c r="F31" s="57"/>
      <c r="G31" s="57"/>
      <c r="H31" s="57"/>
      <c r="I31" s="57"/>
      <c r="J31" s="57"/>
      <c r="K31" s="58"/>
      <c r="V31" s="48">
        <v>23</v>
      </c>
      <c r="W31" s="72">
        <v>114</v>
      </c>
      <c r="AB31"/>
      <c r="AC31"/>
    </row>
    <row r="32" spans="1:40" ht="15" hidden="1" thickBot="1" x14ac:dyDescent="0.35">
      <c r="A32" s="59"/>
      <c r="B32" s="60"/>
      <c r="C32" s="60"/>
      <c r="D32" s="60"/>
      <c r="E32" s="60"/>
      <c r="F32" s="60"/>
      <c r="G32" s="60"/>
      <c r="H32" s="60"/>
      <c r="I32" s="60"/>
      <c r="J32" s="60"/>
      <c r="K32" s="61"/>
      <c r="V32" s="48" t="s">
        <v>76</v>
      </c>
      <c r="W32" s="72">
        <v>8000</v>
      </c>
      <c r="AB32"/>
      <c r="AC32"/>
    </row>
    <row r="33" spans="1:49" s="52" customFormat="1" ht="16.2" thickBot="1" x14ac:dyDescent="0.35">
      <c r="A33" s="49" t="s">
        <v>23</v>
      </c>
      <c r="B33" s="50" t="s">
        <v>24</v>
      </c>
      <c r="C33" s="50" t="s">
        <v>28</v>
      </c>
      <c r="D33" s="50" t="s">
        <v>29</v>
      </c>
      <c r="E33" s="50" t="s">
        <v>71</v>
      </c>
      <c r="F33" s="50" t="s">
        <v>31</v>
      </c>
      <c r="G33" s="51" t="s">
        <v>73</v>
      </c>
      <c r="H33" s="50" t="s">
        <v>32</v>
      </c>
      <c r="I33" s="51" t="s">
        <v>74</v>
      </c>
      <c r="J33" s="50" t="s">
        <v>33</v>
      </c>
      <c r="K33" s="50" t="s">
        <v>34</v>
      </c>
      <c r="L33" s="50" t="s">
        <v>35</v>
      </c>
      <c r="M33" s="51" t="s">
        <v>78</v>
      </c>
      <c r="N33" s="50" t="s">
        <v>36</v>
      </c>
      <c r="O33" s="50" t="s">
        <v>37</v>
      </c>
      <c r="P33" s="73" t="s">
        <v>38</v>
      </c>
      <c r="Q33" s="73" t="s">
        <v>88</v>
      </c>
      <c r="R33" s="74" t="s">
        <v>87</v>
      </c>
      <c r="S33" s="74" t="s">
        <v>27</v>
      </c>
      <c r="V33"/>
      <c r="W33"/>
      <c r="AB33"/>
      <c r="AC33"/>
    </row>
    <row r="34" spans="1:49" ht="16.2" thickBot="1" x14ac:dyDescent="0.35">
      <c r="A34" s="62">
        <v>1</v>
      </c>
      <c r="B34" s="63">
        <v>40544</v>
      </c>
      <c r="C34" s="64">
        <v>0</v>
      </c>
      <c r="D34" s="64" t="b">
        <f>IF(COUNTIF(AU$36:AU$52,Table8[[#This Row],[Date Day]]) &gt; 0, TRUE, FALSE)</f>
        <v>1</v>
      </c>
      <c r="E34" s="64">
        <f t="shared" ref="E34:E97" si="0">WEEKDAY(B:B,2)</f>
        <v>6</v>
      </c>
      <c r="F34" s="64">
        <v>1</v>
      </c>
      <c r="G34" s="65" t="str">
        <f>IF(Table8[[#This Row],[Weathersit]]=1, "BAD", IF(Table8[[#This Row],[Weathersit]]=2, "MODERATE", IF(Table8[[#This Row],[Weathersit]]=3, "GOOD")))</f>
        <v>BAD</v>
      </c>
      <c r="H34" s="64">
        <v>24</v>
      </c>
      <c r="I34" s="65" t="str">
        <f>IF(Table8[[#This Row],[Temp]]&lt;11, "COLD", IF(Table8[[#This Row],[Temp]]&lt;=25, "COMFORTABLE", "WARM"))</f>
        <v>COMFORTABLE</v>
      </c>
      <c r="J34" s="64">
        <v>0.28789999999999999</v>
      </c>
      <c r="K34" s="64">
        <v>0.81</v>
      </c>
      <c r="L34" s="66">
        <v>20.485098360655737</v>
      </c>
      <c r="M34" s="75" t="s">
        <v>81</v>
      </c>
      <c r="N34" s="64">
        <v>3</v>
      </c>
      <c r="O34" s="64">
        <v>13</v>
      </c>
      <c r="P34" s="64">
        <v>16</v>
      </c>
      <c r="Q34" s="64"/>
      <c r="R34" s="65" t="str">
        <f t="shared" ref="R34:R97" si="1">"Week " &amp; INT((DAY(B34)-1)/7)+1</f>
        <v>Week 1</v>
      </c>
      <c r="S34" s="65" t="str">
        <f>TEXT(Table8[[#This Row],[Date Day]],"mmm,YYYY")</f>
        <v>Jan,2011</v>
      </c>
      <c r="U34"/>
      <c r="V34"/>
      <c r="AB34"/>
      <c r="AC34"/>
      <c r="AU34" s="79" t="s">
        <v>72</v>
      </c>
      <c r="AV34" s="80"/>
      <c r="AW34" s="81"/>
    </row>
    <row r="35" spans="1:49" ht="28.8" x14ac:dyDescent="0.3">
      <c r="A35" s="62">
        <v>2</v>
      </c>
      <c r="B35" s="63">
        <v>40544</v>
      </c>
      <c r="C35" s="64">
        <v>1</v>
      </c>
      <c r="D35" s="64" t="b">
        <f>IF(COUNTIF(AU$36:AU$52,Table8[[#This Row],[Date Day]]) &gt; 0, TRUE, FALSE)</f>
        <v>1</v>
      </c>
      <c r="E35" s="64">
        <f t="shared" si="0"/>
        <v>6</v>
      </c>
      <c r="F35" s="64">
        <v>1</v>
      </c>
      <c r="G35" s="65" t="str">
        <f>IF(Table8[[#This Row],[Weathersit]]=1, "BAD", IF(Table8[[#This Row],[Weathersit]]=2, "MODERATE", IF(Table8[[#This Row],[Weathersit]]=3, "GOOD")))</f>
        <v>BAD</v>
      </c>
      <c r="H35" s="64">
        <v>22</v>
      </c>
      <c r="I35" s="65" t="str">
        <f>IF(Table8[[#This Row],[Temp]]&lt;11, "COLD", IF(Table8[[#This Row],[Temp]]&lt;=25, "COMFORTABLE", "WARM"))</f>
        <v>COMFORTABLE</v>
      </c>
      <c r="J35" s="64">
        <v>0.2727</v>
      </c>
      <c r="K35" s="64">
        <v>0.8</v>
      </c>
      <c r="L35" s="66">
        <v>20.485098360655737</v>
      </c>
      <c r="M35" s="75" t="s">
        <v>81</v>
      </c>
      <c r="N35" s="64">
        <v>8</v>
      </c>
      <c r="O35" s="64">
        <v>32</v>
      </c>
      <c r="P35" s="64">
        <v>40</v>
      </c>
      <c r="Q35" s="64"/>
      <c r="R35" s="65" t="str">
        <f t="shared" si="1"/>
        <v>Week 1</v>
      </c>
      <c r="S35" s="65" t="str">
        <f>TEXT(Table8[[#This Row],[Date Day]],"mmm,YYYY")</f>
        <v>Jan,2011</v>
      </c>
      <c r="U35"/>
      <c r="V35"/>
      <c r="AB35"/>
      <c r="AC35"/>
      <c r="AU35" s="46" t="s">
        <v>44</v>
      </c>
      <c r="AV35" s="46" t="s">
        <v>45</v>
      </c>
      <c r="AW35" s="46" t="s">
        <v>46</v>
      </c>
    </row>
    <row r="36" spans="1:49" ht="43.2" x14ac:dyDescent="0.3">
      <c r="A36" s="62">
        <v>3</v>
      </c>
      <c r="B36" s="63">
        <v>40544</v>
      </c>
      <c r="C36" s="64">
        <v>2</v>
      </c>
      <c r="D36" s="64" t="b">
        <f>IF(COUNTIF(AU$36:AU$52,Table8[[#This Row],[Date Day]]) &gt; 0, TRUE, FALSE)</f>
        <v>1</v>
      </c>
      <c r="E36" s="64">
        <f t="shared" si="0"/>
        <v>6</v>
      </c>
      <c r="F36" s="64">
        <v>1</v>
      </c>
      <c r="G36" s="65" t="str">
        <f>IF(Table8[[#This Row],[Weathersit]]=1, "BAD", IF(Table8[[#This Row],[Weathersit]]=2, "MODERATE", IF(Table8[[#This Row],[Weathersit]]=3, "GOOD")))</f>
        <v>BAD</v>
      </c>
      <c r="H36" s="64">
        <v>22</v>
      </c>
      <c r="I36" s="65" t="str">
        <f>IF(Table8[[#This Row],[Temp]]&lt;11, "COLD", IF(Table8[[#This Row],[Temp]]&lt;=25, "COMFORTABLE", "WARM"))</f>
        <v>COMFORTABLE</v>
      </c>
      <c r="J36" s="64">
        <v>0.2727</v>
      </c>
      <c r="K36" s="64">
        <v>0.8</v>
      </c>
      <c r="L36" s="66">
        <v>20.485098360655737</v>
      </c>
      <c r="M36" s="75" t="s">
        <v>81</v>
      </c>
      <c r="N36" s="64">
        <v>5</v>
      </c>
      <c r="O36" s="64">
        <v>27</v>
      </c>
      <c r="P36" s="64">
        <v>32</v>
      </c>
      <c r="Q36" s="64"/>
      <c r="R36" s="65" t="str">
        <f t="shared" si="1"/>
        <v>Week 1</v>
      </c>
      <c r="S36" s="65" t="str">
        <f>TEXT(Table8[[#This Row],[Date Day]],"mmm,YYYY")</f>
        <v>Jan,2011</v>
      </c>
      <c r="U36"/>
      <c r="V36"/>
      <c r="AB36"/>
      <c r="AC36"/>
      <c r="AU36" s="45">
        <v>40544</v>
      </c>
      <c r="AV36" s="20" t="s">
        <v>47</v>
      </c>
      <c r="AW36" s="20" t="s">
        <v>48</v>
      </c>
    </row>
    <row r="37" spans="1:49" ht="28.8" x14ac:dyDescent="0.3">
      <c r="A37" s="62">
        <v>4</v>
      </c>
      <c r="B37" s="63">
        <v>40544</v>
      </c>
      <c r="C37" s="64">
        <v>3</v>
      </c>
      <c r="D37" s="64" t="b">
        <f>IF(COUNTIF(AU$36:AU$52,Table8[[#This Row],[Date Day]]) &gt; 0, TRUE, FALSE)</f>
        <v>1</v>
      </c>
      <c r="E37" s="64">
        <f t="shared" si="0"/>
        <v>6</v>
      </c>
      <c r="F37" s="64">
        <v>1</v>
      </c>
      <c r="G37" s="65" t="str">
        <f>IF(Table8[[#This Row],[Weathersit]]=1, "BAD", IF(Table8[[#This Row],[Weathersit]]=2, "MODERATE", IF(Table8[[#This Row],[Weathersit]]=3, "GOOD")))</f>
        <v>BAD</v>
      </c>
      <c r="H37" s="64">
        <v>24</v>
      </c>
      <c r="I37" s="65" t="str">
        <f>IF(Table8[[#This Row],[Temp]]&lt;11, "COLD", IF(Table8[[#This Row],[Temp]]&lt;=25, "COMFORTABLE", "WARM"))</f>
        <v>COMFORTABLE</v>
      </c>
      <c r="J37" s="64">
        <v>0.28789999999999999</v>
      </c>
      <c r="K37" s="64">
        <v>0.75</v>
      </c>
      <c r="L37" s="66">
        <v>20.485098360655737</v>
      </c>
      <c r="M37" s="75" t="s">
        <v>81</v>
      </c>
      <c r="N37" s="64">
        <v>3</v>
      </c>
      <c r="O37" s="64">
        <v>10</v>
      </c>
      <c r="P37" s="64">
        <v>13</v>
      </c>
      <c r="Q37" s="64"/>
      <c r="R37" s="65" t="str">
        <f t="shared" si="1"/>
        <v>Week 1</v>
      </c>
      <c r="S37" s="65" t="str">
        <f>TEXT(Table8[[#This Row],[Date Day]],"mmm,YYYY")</f>
        <v>Jan,2011</v>
      </c>
      <c r="U37"/>
      <c r="V37"/>
      <c r="AB37"/>
      <c r="AC37"/>
      <c r="AU37" s="45">
        <v>40569</v>
      </c>
      <c r="AV37" s="20" t="s">
        <v>49</v>
      </c>
      <c r="AW37" s="20" t="s">
        <v>50</v>
      </c>
    </row>
    <row r="38" spans="1:49" ht="15.6" x14ac:dyDescent="0.3">
      <c r="A38" s="62">
        <v>5</v>
      </c>
      <c r="B38" s="63">
        <v>40544</v>
      </c>
      <c r="C38" s="64">
        <v>4</v>
      </c>
      <c r="D38" s="64" t="b">
        <f>IF(COUNTIF(AU$36:AU$52,Table8[[#This Row],[Date Day]]) &gt; 0, TRUE, FALSE)</f>
        <v>1</v>
      </c>
      <c r="E38" s="64">
        <f t="shared" si="0"/>
        <v>6</v>
      </c>
      <c r="F38" s="64">
        <v>1</v>
      </c>
      <c r="G38" s="65" t="str">
        <f>IF(Table8[[#This Row],[Weathersit]]=1, "BAD", IF(Table8[[#This Row],[Weathersit]]=2, "MODERATE", IF(Table8[[#This Row],[Weathersit]]=3, "GOOD")))</f>
        <v>BAD</v>
      </c>
      <c r="H38" s="64">
        <v>24</v>
      </c>
      <c r="I38" s="65" t="str">
        <f>IF(Table8[[#This Row],[Temp]]&lt;11, "COLD", IF(Table8[[#This Row],[Temp]]&lt;=25, "COMFORTABLE", "WARM"))</f>
        <v>COMFORTABLE</v>
      </c>
      <c r="J38" s="64">
        <v>0.28789999999999999</v>
      </c>
      <c r="K38" s="64">
        <v>0.75</v>
      </c>
      <c r="L38" s="66">
        <v>20.485098360655737</v>
      </c>
      <c r="M38" s="75" t="s">
        <v>81</v>
      </c>
      <c r="N38" s="64">
        <v>0</v>
      </c>
      <c r="O38" s="64">
        <v>1</v>
      </c>
      <c r="P38" s="64">
        <v>1</v>
      </c>
      <c r="Q38" s="64"/>
      <c r="R38" s="65" t="str">
        <f t="shared" si="1"/>
        <v>Week 1</v>
      </c>
      <c r="S38" s="65" t="str">
        <f>TEXT(Table8[[#This Row],[Date Day]],"mmm,YYYY")</f>
        <v>Jan,2011</v>
      </c>
      <c r="U38"/>
      <c r="V38"/>
      <c r="AB38"/>
      <c r="AC38"/>
      <c r="AU38" s="45">
        <v>40617</v>
      </c>
      <c r="AV38" s="20" t="s">
        <v>51</v>
      </c>
      <c r="AW38" s="20" t="s">
        <v>52</v>
      </c>
    </row>
    <row r="39" spans="1:49" ht="28.8" x14ac:dyDescent="0.3">
      <c r="A39" s="62">
        <v>6</v>
      </c>
      <c r="B39" s="63">
        <v>40544</v>
      </c>
      <c r="C39" s="64">
        <v>5</v>
      </c>
      <c r="D39" s="64" t="b">
        <f>IF(COUNTIF(AU$36:AU$52,Table8[[#This Row],[Date Day]]) &gt; 0, TRUE, FALSE)</f>
        <v>1</v>
      </c>
      <c r="E39" s="64">
        <f t="shared" si="0"/>
        <v>6</v>
      </c>
      <c r="F39" s="64">
        <v>2</v>
      </c>
      <c r="G39" s="65" t="str">
        <f>IF(Table8[[#This Row],[Weathersit]]=1, "BAD", IF(Table8[[#This Row],[Weathersit]]=2, "MODERATE", IF(Table8[[#This Row],[Weathersit]]=3, "GOOD")))</f>
        <v>MODERATE</v>
      </c>
      <c r="H39" s="64">
        <v>24</v>
      </c>
      <c r="I39" s="65" t="str">
        <f>IF(Table8[[#This Row],[Temp]]&lt;11, "COLD", IF(Table8[[#This Row],[Temp]]&lt;=25, "COMFORTABLE", "WARM"))</f>
        <v>COMFORTABLE</v>
      </c>
      <c r="J39" s="64">
        <v>0.2576</v>
      </c>
      <c r="K39" s="64">
        <v>0.75</v>
      </c>
      <c r="L39" s="66">
        <v>8.9599999999999991</v>
      </c>
      <c r="M39" s="75" t="s">
        <v>80</v>
      </c>
      <c r="N39" s="64">
        <v>0</v>
      </c>
      <c r="O39" s="64">
        <v>1</v>
      </c>
      <c r="P39" s="64">
        <v>1</v>
      </c>
      <c r="Q39" s="64"/>
      <c r="R39" s="65" t="str">
        <f t="shared" si="1"/>
        <v>Week 1</v>
      </c>
      <c r="S39" s="65" t="str">
        <f>TEXT(Table8[[#This Row],[Date Day]],"mmm,YYYY")</f>
        <v>Jan,2011</v>
      </c>
      <c r="U39"/>
      <c r="V39"/>
      <c r="AB39"/>
      <c r="AC39"/>
      <c r="AU39" s="45">
        <v>40641</v>
      </c>
      <c r="AV39" s="20" t="s">
        <v>53</v>
      </c>
      <c r="AW39" s="20" t="s">
        <v>54</v>
      </c>
    </row>
    <row r="40" spans="1:49" ht="28.8" x14ac:dyDescent="0.3">
      <c r="A40" s="62">
        <v>7</v>
      </c>
      <c r="B40" s="63">
        <v>40544</v>
      </c>
      <c r="C40" s="64">
        <v>6</v>
      </c>
      <c r="D40" s="64" t="b">
        <f>IF(COUNTIF(AU$36:AU$52,Table8[[#This Row],[Date Day]]) &gt; 0, TRUE, FALSE)</f>
        <v>1</v>
      </c>
      <c r="E40" s="64">
        <f t="shared" si="0"/>
        <v>6</v>
      </c>
      <c r="F40" s="64">
        <v>1</v>
      </c>
      <c r="G40" s="65" t="str">
        <f>IF(Table8[[#This Row],[Weathersit]]=1, "BAD", IF(Table8[[#This Row],[Weathersit]]=2, "MODERATE", IF(Table8[[#This Row],[Weathersit]]=3, "GOOD")))</f>
        <v>BAD</v>
      </c>
      <c r="H40" s="64">
        <v>22</v>
      </c>
      <c r="I40" s="65" t="str">
        <f>IF(Table8[[#This Row],[Temp]]&lt;11, "COLD", IF(Table8[[#This Row],[Temp]]&lt;=25, "COMFORTABLE", "WARM"))</f>
        <v>COMFORTABLE</v>
      </c>
      <c r="J40" s="64">
        <v>0.2727</v>
      </c>
      <c r="K40" s="64">
        <v>0.8</v>
      </c>
      <c r="L40" s="66">
        <v>20.485098360655737</v>
      </c>
      <c r="M40" s="75" t="s">
        <v>81</v>
      </c>
      <c r="N40" s="64">
        <v>2</v>
      </c>
      <c r="O40" s="64">
        <v>0</v>
      </c>
      <c r="P40" s="64">
        <v>2</v>
      </c>
      <c r="Q40" s="64"/>
      <c r="R40" s="65" t="str">
        <f t="shared" si="1"/>
        <v>Week 1</v>
      </c>
      <c r="S40" s="65" t="str">
        <f>TEXT(Table8[[#This Row],[Date Day]],"mmm,YYYY")</f>
        <v>Jan,2011</v>
      </c>
      <c r="U40"/>
      <c r="V40"/>
      <c r="AB40"/>
      <c r="AC40"/>
      <c r="AU40" s="45">
        <v>40650</v>
      </c>
      <c r="AV40" s="20" t="s">
        <v>55</v>
      </c>
      <c r="AW40" s="20" t="s">
        <v>56</v>
      </c>
    </row>
    <row r="41" spans="1:49" ht="28.8" x14ac:dyDescent="0.3">
      <c r="A41" s="62">
        <v>8</v>
      </c>
      <c r="B41" s="63">
        <v>40544</v>
      </c>
      <c r="C41" s="64">
        <v>7</v>
      </c>
      <c r="D41" s="64" t="b">
        <f>IF(COUNTIF(AU$36:AU$52,Table8[[#This Row],[Date Day]]) &gt; 0, TRUE, FALSE)</f>
        <v>1</v>
      </c>
      <c r="E41" s="64">
        <f t="shared" si="0"/>
        <v>6</v>
      </c>
      <c r="F41" s="64">
        <v>1</v>
      </c>
      <c r="G41" s="65" t="str">
        <f>IF(Table8[[#This Row],[Weathersit]]=1, "BAD", IF(Table8[[#This Row],[Weathersit]]=2, "MODERATE", IF(Table8[[#This Row],[Weathersit]]=3, "GOOD")))</f>
        <v>BAD</v>
      </c>
      <c r="H41" s="64">
        <v>20</v>
      </c>
      <c r="I41" s="65" t="str">
        <f>IF(Table8[[#This Row],[Temp]]&lt;11, "COLD", IF(Table8[[#This Row],[Temp]]&lt;=25, "COMFORTABLE", "WARM"))</f>
        <v>COMFORTABLE</v>
      </c>
      <c r="J41" s="64">
        <v>0.2576</v>
      </c>
      <c r="K41" s="64">
        <v>0.86</v>
      </c>
      <c r="L41" s="66">
        <v>20.485098360655737</v>
      </c>
      <c r="M41" s="75" t="s">
        <v>81</v>
      </c>
      <c r="N41" s="64">
        <v>1</v>
      </c>
      <c r="O41" s="64">
        <v>2</v>
      </c>
      <c r="P41" s="64">
        <v>3</v>
      </c>
      <c r="Q41" s="64"/>
      <c r="R41" s="65" t="str">
        <f t="shared" si="1"/>
        <v>Week 1</v>
      </c>
      <c r="S41" s="65" t="str">
        <f>TEXT(Table8[[#This Row],[Date Day]],"mmm,YYYY")</f>
        <v>Jan,2011</v>
      </c>
      <c r="U41"/>
      <c r="V41"/>
      <c r="AB41"/>
      <c r="AC41"/>
      <c r="AU41" s="45">
        <v>40655</v>
      </c>
      <c r="AV41" s="20" t="s">
        <v>53</v>
      </c>
      <c r="AW41" s="20" t="s">
        <v>57</v>
      </c>
    </row>
    <row r="42" spans="1:49" ht="43.2" x14ac:dyDescent="0.3">
      <c r="A42" s="62">
        <v>9</v>
      </c>
      <c r="B42" s="63">
        <v>40544</v>
      </c>
      <c r="C42" s="64">
        <v>8</v>
      </c>
      <c r="D42" s="64" t="b">
        <f>IF(COUNTIF(AU$36:AU$52,Table8[[#This Row],[Date Day]]) &gt; 0, TRUE, FALSE)</f>
        <v>1</v>
      </c>
      <c r="E42" s="64">
        <f t="shared" si="0"/>
        <v>6</v>
      </c>
      <c r="F42" s="64">
        <v>1</v>
      </c>
      <c r="G42" s="65" t="str">
        <f>IF(Table8[[#This Row],[Weathersit]]=1, "BAD", IF(Table8[[#This Row],[Weathersit]]=2, "MODERATE", IF(Table8[[#This Row],[Weathersit]]=3, "GOOD")))</f>
        <v>BAD</v>
      </c>
      <c r="H42" s="64">
        <v>24</v>
      </c>
      <c r="I42" s="65" t="str">
        <f>IF(Table8[[#This Row],[Temp]]&lt;11, "COLD", IF(Table8[[#This Row],[Temp]]&lt;=25, "COMFORTABLE", "WARM"))</f>
        <v>COMFORTABLE</v>
      </c>
      <c r="J42" s="64">
        <v>0.19993489148580987</v>
      </c>
      <c r="K42" s="64">
        <v>0.75</v>
      </c>
      <c r="L42" s="66">
        <v>20.485098360655737</v>
      </c>
      <c r="M42" s="75" t="s">
        <v>81</v>
      </c>
      <c r="N42" s="64">
        <v>1</v>
      </c>
      <c r="O42" s="64">
        <v>7</v>
      </c>
      <c r="P42" s="64">
        <v>8</v>
      </c>
      <c r="Q42" s="64"/>
      <c r="R42" s="65" t="str">
        <f t="shared" si="1"/>
        <v>Week 1</v>
      </c>
      <c r="S42" s="65" t="str">
        <f>TEXT(Table8[[#This Row],[Date Day]],"mmm,YYYY")</f>
        <v>Jan,2011</v>
      </c>
      <c r="U42"/>
      <c r="V42"/>
      <c r="AB42"/>
      <c r="AC42"/>
      <c r="AU42" s="45">
        <v>40664</v>
      </c>
      <c r="AV42" s="20" t="s">
        <v>55</v>
      </c>
      <c r="AW42" s="20" t="s">
        <v>58</v>
      </c>
    </row>
    <row r="43" spans="1:49" ht="28.8" x14ac:dyDescent="0.3">
      <c r="A43" s="62">
        <v>10</v>
      </c>
      <c r="B43" s="63">
        <v>40544</v>
      </c>
      <c r="C43" s="64">
        <v>9</v>
      </c>
      <c r="D43" s="64" t="b">
        <f>IF(COUNTIF(AU$36:AU$52,Table8[[#This Row],[Date Day]]) &gt; 0, TRUE, FALSE)</f>
        <v>1</v>
      </c>
      <c r="E43" s="64">
        <f t="shared" si="0"/>
        <v>6</v>
      </c>
      <c r="F43" s="64">
        <v>1</v>
      </c>
      <c r="G43" s="65" t="str">
        <f>IF(Table8[[#This Row],[Weathersit]]=1, "BAD", IF(Table8[[#This Row],[Weathersit]]=2, "MODERATE", IF(Table8[[#This Row],[Weathersit]]=3, "GOOD")))</f>
        <v>BAD</v>
      </c>
      <c r="H43" s="64">
        <v>32</v>
      </c>
      <c r="I43" s="65" t="str">
        <f>IF(Table8[[#This Row],[Temp]]&lt;11, "COLD", IF(Table8[[#This Row],[Temp]]&lt;=25, "COMFORTABLE", "WARM"))</f>
        <v>WARM</v>
      </c>
      <c r="J43" s="64">
        <v>0.34849999999999998</v>
      </c>
      <c r="K43" s="64">
        <v>0.76</v>
      </c>
      <c r="L43" s="66">
        <v>20.485098360655737</v>
      </c>
      <c r="M43" s="75" t="s">
        <v>81</v>
      </c>
      <c r="N43" s="64">
        <v>8</v>
      </c>
      <c r="O43" s="64">
        <v>6</v>
      </c>
      <c r="P43" s="64">
        <v>14</v>
      </c>
      <c r="Q43" s="64"/>
      <c r="R43" s="65" t="str">
        <f t="shared" si="1"/>
        <v>Week 1</v>
      </c>
      <c r="S43" s="65" t="str">
        <f>TEXT(Table8[[#This Row],[Date Day]],"mmm,YYYY")</f>
        <v>Jan,2011</v>
      </c>
      <c r="U43"/>
      <c r="V43"/>
      <c r="AB43"/>
      <c r="AC43"/>
      <c r="AU43" s="45">
        <v>40770</v>
      </c>
      <c r="AV43" s="20" t="s">
        <v>59</v>
      </c>
      <c r="AW43" s="20" t="s">
        <v>60</v>
      </c>
    </row>
    <row r="44" spans="1:49" ht="28.8" x14ac:dyDescent="0.3">
      <c r="A44" s="62">
        <v>11</v>
      </c>
      <c r="B44" s="63">
        <v>40544</v>
      </c>
      <c r="C44" s="64">
        <v>10</v>
      </c>
      <c r="D44" s="64" t="b">
        <f>IF(COUNTIF(AU$36:AU$52,Table8[[#This Row],[Date Day]]) &gt; 0, TRUE, FALSE)</f>
        <v>1</v>
      </c>
      <c r="E44" s="64">
        <f t="shared" si="0"/>
        <v>6</v>
      </c>
      <c r="F44" s="64">
        <v>1</v>
      </c>
      <c r="G44" s="65" t="str">
        <f>IF(Table8[[#This Row],[Weathersit]]=1, "BAD", IF(Table8[[#This Row],[Weathersit]]=2, "MODERATE", IF(Table8[[#This Row],[Weathersit]]=3, "GOOD")))</f>
        <v>BAD</v>
      </c>
      <c r="H44" s="64">
        <v>38</v>
      </c>
      <c r="I44" s="65" t="str">
        <f>IF(Table8[[#This Row],[Temp]]&lt;11, "COLD", IF(Table8[[#This Row],[Temp]]&lt;=25, "COMFORTABLE", "WARM"))</f>
        <v>WARM</v>
      </c>
      <c r="J44" s="64">
        <v>0.39389999999999997</v>
      </c>
      <c r="K44" s="64">
        <v>0.76</v>
      </c>
      <c r="L44" s="66">
        <v>25.369999999999997</v>
      </c>
      <c r="M44" s="75" t="s">
        <v>81</v>
      </c>
      <c r="N44" s="64">
        <v>12</v>
      </c>
      <c r="O44" s="64">
        <v>24</v>
      </c>
      <c r="P44" s="64">
        <v>36</v>
      </c>
      <c r="Q44" s="64"/>
      <c r="R44" s="65" t="str">
        <f t="shared" si="1"/>
        <v>Week 1</v>
      </c>
      <c r="S44" s="65" t="str">
        <f>TEXT(Table8[[#This Row],[Date Day]],"mmm,YYYY")</f>
        <v>Jan,2011</v>
      </c>
      <c r="U44"/>
      <c r="V44"/>
      <c r="AB44"/>
      <c r="AC44"/>
      <c r="AU44" s="45">
        <v>40777</v>
      </c>
      <c r="AV44" s="20" t="s">
        <v>59</v>
      </c>
      <c r="AW44" s="20" t="s">
        <v>61</v>
      </c>
    </row>
    <row r="45" spans="1:49" ht="57.6" x14ac:dyDescent="0.3">
      <c r="A45" s="62">
        <v>12</v>
      </c>
      <c r="B45" s="63">
        <v>40544</v>
      </c>
      <c r="C45" s="64">
        <v>11</v>
      </c>
      <c r="D45" s="64" t="b">
        <f>IF(COUNTIF(AU$36:AU$52,Table8[[#This Row],[Date Day]]) &gt; 0, TRUE, FALSE)</f>
        <v>1</v>
      </c>
      <c r="E45" s="64">
        <f t="shared" si="0"/>
        <v>6</v>
      </c>
      <c r="F45" s="64">
        <v>1</v>
      </c>
      <c r="G45" s="65" t="str">
        <f>IF(Table8[[#This Row],[Weathersit]]=1, "BAD", IF(Table8[[#This Row],[Weathersit]]=2, "MODERATE", IF(Table8[[#This Row],[Weathersit]]=3, "GOOD")))</f>
        <v>BAD</v>
      </c>
      <c r="H45" s="64">
        <v>36</v>
      </c>
      <c r="I45" s="65" t="str">
        <f>IF(Table8[[#This Row],[Temp]]&lt;11, "COLD", IF(Table8[[#This Row],[Temp]]&lt;=25, "COMFORTABLE", "WARM"))</f>
        <v>WARM</v>
      </c>
      <c r="J45" s="64">
        <v>0.33329999999999999</v>
      </c>
      <c r="K45" s="64">
        <v>0.81</v>
      </c>
      <c r="L45" s="66">
        <v>28.360000000000003</v>
      </c>
      <c r="M45" s="75" t="s">
        <v>81</v>
      </c>
      <c r="N45" s="64">
        <v>26</v>
      </c>
      <c r="O45" s="64">
        <v>30</v>
      </c>
      <c r="P45" s="64">
        <v>56</v>
      </c>
      <c r="Q45" s="64"/>
      <c r="R45" s="65" t="str">
        <f t="shared" si="1"/>
        <v>Week 1</v>
      </c>
      <c r="S45" s="65" t="str">
        <f>TEXT(Table8[[#This Row],[Date Day]],"mmm,YYYY")</f>
        <v>Jan,2011</v>
      </c>
      <c r="U45"/>
      <c r="V45"/>
      <c r="AB45"/>
      <c r="AC45"/>
      <c r="AU45" s="45">
        <v>40786</v>
      </c>
      <c r="AV45" s="20" t="s">
        <v>49</v>
      </c>
      <c r="AW45" s="20" t="s">
        <v>62</v>
      </c>
    </row>
    <row r="46" spans="1:49" ht="28.8" x14ac:dyDescent="0.3">
      <c r="A46" s="62">
        <v>13</v>
      </c>
      <c r="B46" s="63">
        <v>40544</v>
      </c>
      <c r="C46" s="64">
        <v>12</v>
      </c>
      <c r="D46" s="64" t="b">
        <f>IF(COUNTIF(AU$36:AU$52,Table8[[#This Row],[Date Day]]) &gt; 0, TRUE, FALSE)</f>
        <v>1</v>
      </c>
      <c r="E46" s="64">
        <f t="shared" si="0"/>
        <v>6</v>
      </c>
      <c r="F46" s="64">
        <v>1</v>
      </c>
      <c r="G46" s="65" t="str">
        <f>IF(Table8[[#This Row],[Weathersit]]=1, "BAD", IF(Table8[[#This Row],[Weathersit]]=2, "MODERATE", IF(Table8[[#This Row],[Weathersit]]=3, "GOOD")))</f>
        <v>BAD</v>
      </c>
      <c r="H46" s="64">
        <v>42</v>
      </c>
      <c r="I46" s="65" t="str">
        <f>IF(Table8[[#This Row],[Temp]]&lt;11, "COLD", IF(Table8[[#This Row],[Temp]]&lt;=25, "COMFORTABLE", "WARM"))</f>
        <v>WARM</v>
      </c>
      <c r="J46" s="64">
        <v>0.42420000000000002</v>
      </c>
      <c r="K46" s="64">
        <v>0.77</v>
      </c>
      <c r="L46" s="66">
        <v>28.360000000000003</v>
      </c>
      <c r="M46" s="75" t="s">
        <v>81</v>
      </c>
      <c r="N46" s="64">
        <v>29</v>
      </c>
      <c r="O46" s="64">
        <v>55</v>
      </c>
      <c r="P46" s="64">
        <v>84</v>
      </c>
      <c r="Q46" s="64"/>
      <c r="R46" s="65" t="str">
        <f t="shared" si="1"/>
        <v>Week 1</v>
      </c>
      <c r="S46" s="65" t="str">
        <f>TEXT(Table8[[#This Row],[Date Day]],"mmm,YYYY")</f>
        <v>Jan,2011</v>
      </c>
      <c r="U46"/>
      <c r="V46"/>
      <c r="AB46"/>
      <c r="AC46"/>
      <c r="AU46" s="45">
        <v>40818</v>
      </c>
      <c r="AV46" s="20" t="s">
        <v>55</v>
      </c>
      <c r="AW46" s="20" t="s">
        <v>63</v>
      </c>
    </row>
    <row r="47" spans="1:49" ht="43.2" x14ac:dyDescent="0.3">
      <c r="A47" s="62">
        <v>14</v>
      </c>
      <c r="B47" s="63">
        <v>40544</v>
      </c>
      <c r="C47" s="64">
        <v>13</v>
      </c>
      <c r="D47" s="64" t="b">
        <f>IF(COUNTIF(AU$36:AU$52,Table8[[#This Row],[Date Day]]) &gt; 0, TRUE, FALSE)</f>
        <v>1</v>
      </c>
      <c r="E47" s="64">
        <f t="shared" si="0"/>
        <v>6</v>
      </c>
      <c r="F47" s="64">
        <v>2</v>
      </c>
      <c r="G47" s="65" t="str">
        <f>IF(Table8[[#This Row],[Weathersit]]=1, "BAD", IF(Table8[[#This Row],[Weathersit]]=2, "MODERATE", IF(Table8[[#This Row],[Weathersit]]=3, "GOOD")))</f>
        <v>MODERATE</v>
      </c>
      <c r="H47" s="64">
        <v>46</v>
      </c>
      <c r="I47" s="65" t="str">
        <f>IF(Table8[[#This Row],[Temp]]&lt;11, "COLD", IF(Table8[[#This Row],[Temp]]&lt;=25, "COMFORTABLE", "WARM"))</f>
        <v>WARM</v>
      </c>
      <c r="J47" s="64">
        <v>0.45450000000000002</v>
      </c>
      <c r="K47" s="64">
        <v>0.72</v>
      </c>
      <c r="L47" s="66">
        <v>29.849999999999998</v>
      </c>
      <c r="M47" s="75" t="s">
        <v>81</v>
      </c>
      <c r="N47" s="64">
        <v>47</v>
      </c>
      <c r="O47" s="64">
        <v>47</v>
      </c>
      <c r="P47" s="64">
        <v>94</v>
      </c>
      <c r="Q47" s="64"/>
      <c r="R47" s="65" t="str">
        <f t="shared" si="1"/>
        <v>Week 1</v>
      </c>
      <c r="S47" s="65" t="str">
        <f>TEXT(Table8[[#This Row],[Date Day]],"mmm,YYYY")</f>
        <v>Jan,2011</v>
      </c>
      <c r="U47"/>
      <c r="V47"/>
      <c r="AB47"/>
      <c r="AC47"/>
      <c r="AU47" s="45">
        <v>40822</v>
      </c>
      <c r="AV47" s="20" t="s">
        <v>64</v>
      </c>
      <c r="AW47" s="20" t="s">
        <v>65</v>
      </c>
    </row>
    <row r="48" spans="1:49" ht="43.2" x14ac:dyDescent="0.3">
      <c r="A48" s="62">
        <v>15</v>
      </c>
      <c r="B48" s="63">
        <v>40544</v>
      </c>
      <c r="C48" s="64">
        <v>14</v>
      </c>
      <c r="D48" s="64" t="b">
        <f>IF(COUNTIF(AU$36:AU$52,Table8[[#This Row],[Date Day]]) &gt; 0, TRUE, FALSE)</f>
        <v>1</v>
      </c>
      <c r="E48" s="64">
        <f t="shared" si="0"/>
        <v>6</v>
      </c>
      <c r="F48" s="64">
        <v>2</v>
      </c>
      <c r="G48" s="65" t="str">
        <f>IF(Table8[[#This Row],[Weathersit]]=1, "BAD", IF(Table8[[#This Row],[Weathersit]]=2, "MODERATE", IF(Table8[[#This Row],[Weathersit]]=3, "GOOD")))</f>
        <v>MODERATE</v>
      </c>
      <c r="H48" s="64">
        <v>46</v>
      </c>
      <c r="I48" s="65" t="str">
        <f>IF(Table8[[#This Row],[Temp]]&lt;11, "COLD", IF(Table8[[#This Row],[Temp]]&lt;=25, "COMFORTABLE", "WARM"))</f>
        <v>WARM</v>
      </c>
      <c r="J48" s="64">
        <v>0.45450000000000002</v>
      </c>
      <c r="K48" s="64">
        <v>0.72</v>
      </c>
      <c r="L48" s="66">
        <v>28.360000000000003</v>
      </c>
      <c r="M48" s="75" t="s">
        <v>81</v>
      </c>
      <c r="N48" s="64">
        <v>35</v>
      </c>
      <c r="O48" s="64">
        <v>71</v>
      </c>
      <c r="P48" s="64">
        <v>106</v>
      </c>
      <c r="Q48" s="64"/>
      <c r="R48" s="65" t="str">
        <f t="shared" si="1"/>
        <v>Week 1</v>
      </c>
      <c r="S48" s="65" t="str">
        <f>TEXT(Table8[[#This Row],[Date Day]],"mmm,YYYY")</f>
        <v>Jan,2011</v>
      </c>
      <c r="U48"/>
      <c r="V48"/>
      <c r="AB48"/>
      <c r="AC48"/>
      <c r="AU48" s="45">
        <v>40842</v>
      </c>
      <c r="AV48" s="20" t="s">
        <v>49</v>
      </c>
      <c r="AW48" s="20" t="s">
        <v>66</v>
      </c>
    </row>
    <row r="49" spans="1:49" ht="43.2" x14ac:dyDescent="0.3">
      <c r="A49" s="62">
        <v>16</v>
      </c>
      <c r="B49" s="63">
        <v>40544</v>
      </c>
      <c r="C49" s="64">
        <v>15</v>
      </c>
      <c r="D49" s="64" t="b">
        <f>IF(COUNTIF(AU$36:AU$52,Table8[[#This Row],[Date Day]]) &gt; 0, TRUE, FALSE)</f>
        <v>1</v>
      </c>
      <c r="E49" s="64">
        <f t="shared" si="0"/>
        <v>6</v>
      </c>
      <c r="F49" s="64">
        <v>2</v>
      </c>
      <c r="G49" s="65" t="str">
        <f>IF(Table8[[#This Row],[Weathersit]]=1, "BAD", IF(Table8[[#This Row],[Weathersit]]=2, "MODERATE", IF(Table8[[#This Row],[Weathersit]]=3, "GOOD")))</f>
        <v>MODERATE</v>
      </c>
      <c r="H49" s="64">
        <v>44</v>
      </c>
      <c r="I49" s="65" t="str">
        <f>IF(Table8[[#This Row],[Temp]]&lt;11, "COLD", IF(Table8[[#This Row],[Temp]]&lt;=25, "COMFORTABLE", "WARM"))</f>
        <v>WARM</v>
      </c>
      <c r="J49" s="64">
        <v>0.43940000000000001</v>
      </c>
      <c r="K49" s="64">
        <v>0.77</v>
      </c>
      <c r="L49" s="66">
        <v>29.849999999999998</v>
      </c>
      <c r="M49" s="75" t="s">
        <v>81</v>
      </c>
      <c r="N49" s="64">
        <v>40</v>
      </c>
      <c r="O49" s="64">
        <v>70</v>
      </c>
      <c r="P49" s="64">
        <v>110</v>
      </c>
      <c r="Q49" s="64"/>
      <c r="R49" s="65" t="str">
        <f t="shared" si="1"/>
        <v>Week 1</v>
      </c>
      <c r="S49" s="65" t="str">
        <f>TEXT(Table8[[#This Row],[Date Day]],"mmm,YYYY")</f>
        <v>Jan,2011</v>
      </c>
      <c r="U49"/>
      <c r="V49"/>
      <c r="AB49"/>
      <c r="AC49"/>
      <c r="AU49" s="45">
        <v>40854</v>
      </c>
      <c r="AV49" s="20" t="s">
        <v>59</v>
      </c>
      <c r="AW49" s="20" t="s">
        <v>67</v>
      </c>
    </row>
    <row r="50" spans="1:49" ht="43.2" x14ac:dyDescent="0.3">
      <c r="A50" s="62">
        <v>17</v>
      </c>
      <c r="B50" s="63">
        <v>40544</v>
      </c>
      <c r="C50" s="64">
        <v>16</v>
      </c>
      <c r="D50" s="64" t="b">
        <f>IF(COUNTIF(AU$36:AU$52,Table8[[#This Row],[Date Day]]) &gt; 0, TRUE, FALSE)</f>
        <v>1</v>
      </c>
      <c r="E50" s="64">
        <f t="shared" si="0"/>
        <v>6</v>
      </c>
      <c r="F50" s="64">
        <v>2</v>
      </c>
      <c r="G50" s="65" t="str">
        <f>IF(Table8[[#This Row],[Weathersit]]=1, "BAD", IF(Table8[[#This Row],[Weathersit]]=2, "MODERATE", IF(Table8[[#This Row],[Weathersit]]=3, "GOOD")))</f>
        <v>MODERATE</v>
      </c>
      <c r="H50" s="64">
        <v>42</v>
      </c>
      <c r="I50" s="65" t="str">
        <f>IF(Table8[[#This Row],[Temp]]&lt;11, "COLD", IF(Table8[[#This Row],[Temp]]&lt;=25, "COMFORTABLE", "WARM"))</f>
        <v>WARM</v>
      </c>
      <c r="J50" s="64">
        <v>0.42420000000000002</v>
      </c>
      <c r="K50" s="64">
        <v>0.82</v>
      </c>
      <c r="L50" s="66">
        <v>29.849999999999998</v>
      </c>
      <c r="M50" s="75" t="s">
        <v>81</v>
      </c>
      <c r="N50" s="64">
        <v>41</v>
      </c>
      <c r="O50" s="64">
        <v>52</v>
      </c>
      <c r="P50" s="64">
        <v>93</v>
      </c>
      <c r="Q50" s="64"/>
      <c r="R50" s="65" t="str">
        <f t="shared" si="1"/>
        <v>Week 1</v>
      </c>
      <c r="S50" s="65" t="str">
        <f>TEXT(Table8[[#This Row],[Date Day]],"mmm,YYYY")</f>
        <v>Jan,2011</v>
      </c>
      <c r="U50"/>
      <c r="V50"/>
      <c r="AB50"/>
      <c r="AC50"/>
      <c r="AU50" s="45">
        <v>40857</v>
      </c>
      <c r="AV50" s="20" t="s">
        <v>64</v>
      </c>
      <c r="AW50" s="20" t="s">
        <v>68</v>
      </c>
    </row>
    <row r="51" spans="1:49" ht="28.8" x14ac:dyDescent="0.3">
      <c r="A51" s="62">
        <v>18</v>
      </c>
      <c r="B51" s="63">
        <v>40544</v>
      </c>
      <c r="C51" s="64">
        <v>17</v>
      </c>
      <c r="D51" s="64" t="b">
        <f>IF(COUNTIF(AU$36:AU$52,Table8[[#This Row],[Date Day]]) &gt; 0, TRUE, FALSE)</f>
        <v>1</v>
      </c>
      <c r="E51" s="64">
        <f t="shared" si="0"/>
        <v>6</v>
      </c>
      <c r="F51" s="64">
        <v>2</v>
      </c>
      <c r="G51" s="65" t="str">
        <f>IF(Table8[[#This Row],[Weathersit]]=1, "BAD", IF(Table8[[#This Row],[Weathersit]]=2, "MODERATE", IF(Table8[[#This Row],[Weathersit]]=3, "GOOD")))</f>
        <v>MODERATE</v>
      </c>
      <c r="H51" s="64">
        <v>44</v>
      </c>
      <c r="I51" s="65" t="str">
        <f>IF(Table8[[#This Row],[Temp]]&lt;11, "COLD", IF(Table8[[#This Row],[Temp]]&lt;=25, "COMFORTABLE", "WARM"))</f>
        <v>WARM</v>
      </c>
      <c r="J51" s="64">
        <v>0.19993489148580987</v>
      </c>
      <c r="K51" s="64">
        <v>0.82</v>
      </c>
      <c r="L51" s="66">
        <v>28.360000000000003</v>
      </c>
      <c r="M51" s="75" t="s">
        <v>81</v>
      </c>
      <c r="N51" s="64">
        <v>15</v>
      </c>
      <c r="O51" s="64">
        <v>52</v>
      </c>
      <c r="P51" s="64">
        <v>67</v>
      </c>
      <c r="Q51" s="64"/>
      <c r="R51" s="65" t="str">
        <f t="shared" si="1"/>
        <v>Week 1</v>
      </c>
      <c r="S51" s="65" t="str">
        <f>TEXT(Table8[[#This Row],[Date Day]],"mmm,YYYY")</f>
        <v>Jan,2011</v>
      </c>
      <c r="U51"/>
      <c r="V51"/>
      <c r="AB51"/>
      <c r="AC51"/>
      <c r="AU51" s="45">
        <v>40883</v>
      </c>
      <c r="AV51" s="20" t="s">
        <v>51</v>
      </c>
      <c r="AW51" s="20" t="s">
        <v>69</v>
      </c>
    </row>
    <row r="52" spans="1:49" ht="28.8" x14ac:dyDescent="0.3">
      <c r="A52" s="62">
        <v>19</v>
      </c>
      <c r="B52" s="63">
        <v>40544</v>
      </c>
      <c r="C52" s="64">
        <v>18</v>
      </c>
      <c r="D52" s="64" t="b">
        <f>IF(COUNTIF(AU$36:AU$52,Table8[[#This Row],[Date Day]]) &gt; 0, TRUE, FALSE)</f>
        <v>1</v>
      </c>
      <c r="E52" s="64">
        <f t="shared" si="0"/>
        <v>6</v>
      </c>
      <c r="F52" s="64">
        <v>3</v>
      </c>
      <c r="G52" s="65" t="str">
        <f>IF(Table8[[#This Row],[Weathersit]]=1, "BAD", IF(Table8[[#This Row],[Weathersit]]=2, "MODERATE", IF(Table8[[#This Row],[Weathersit]]=3, "GOOD")))</f>
        <v>GOOD</v>
      </c>
      <c r="H52" s="64">
        <v>42</v>
      </c>
      <c r="I52" s="65" t="str">
        <f>IF(Table8[[#This Row],[Temp]]&lt;11, "COLD", IF(Table8[[#This Row],[Temp]]&lt;=25, "COMFORTABLE", "WARM"))</f>
        <v>WARM</v>
      </c>
      <c r="J52" s="64">
        <v>0.42420000000000002</v>
      </c>
      <c r="K52" s="64">
        <v>0.88</v>
      </c>
      <c r="L52" s="66">
        <v>25.369999999999997</v>
      </c>
      <c r="M52" s="75" t="s">
        <v>81</v>
      </c>
      <c r="N52" s="64">
        <v>9</v>
      </c>
      <c r="O52" s="64">
        <v>26</v>
      </c>
      <c r="P52" s="64">
        <v>35</v>
      </c>
      <c r="Q52" s="64"/>
      <c r="R52" s="65" t="str">
        <f t="shared" si="1"/>
        <v>Week 1</v>
      </c>
      <c r="S52" s="65" t="str">
        <f>TEXT(Table8[[#This Row],[Date Day]],"mmm,YYYY")</f>
        <v>Jan,2011</v>
      </c>
      <c r="U52"/>
      <c r="V52"/>
      <c r="AB52"/>
      <c r="AC52"/>
      <c r="AU52" s="45">
        <v>40902</v>
      </c>
      <c r="AV52" s="20" t="s">
        <v>55</v>
      </c>
      <c r="AW52" s="20" t="s">
        <v>70</v>
      </c>
    </row>
    <row r="53" spans="1:49" ht="15.6" x14ac:dyDescent="0.3">
      <c r="A53" s="62">
        <v>20</v>
      </c>
      <c r="B53" s="63">
        <v>40544</v>
      </c>
      <c r="C53" s="64">
        <v>19</v>
      </c>
      <c r="D53" s="64" t="b">
        <f>IF(COUNTIF(AU$36:AU$52,Table8[[#This Row],[Date Day]]) &gt; 0, TRUE, FALSE)</f>
        <v>1</v>
      </c>
      <c r="E53" s="64">
        <f t="shared" si="0"/>
        <v>6</v>
      </c>
      <c r="F53" s="64">
        <v>3</v>
      </c>
      <c r="G53" s="65" t="str">
        <f>IF(Table8[[#This Row],[Weathersit]]=1, "BAD", IF(Table8[[#This Row],[Weathersit]]=2, "MODERATE", IF(Table8[[#This Row],[Weathersit]]=3, "GOOD")))</f>
        <v>GOOD</v>
      </c>
      <c r="H53" s="64">
        <v>42</v>
      </c>
      <c r="I53" s="65" t="str">
        <f>IF(Table8[[#This Row],[Temp]]&lt;11, "COLD", IF(Table8[[#This Row],[Temp]]&lt;=25, "COMFORTABLE", "WARM"))</f>
        <v>WARM</v>
      </c>
      <c r="J53" s="64">
        <v>0.42420000000000002</v>
      </c>
      <c r="K53" s="64">
        <v>0.88</v>
      </c>
      <c r="L53" s="66">
        <v>25.369999999999997</v>
      </c>
      <c r="M53" s="75" t="s">
        <v>81</v>
      </c>
      <c r="N53" s="64">
        <v>6</v>
      </c>
      <c r="O53" s="64">
        <v>31</v>
      </c>
      <c r="P53" s="64">
        <v>37</v>
      </c>
      <c r="Q53" s="64"/>
      <c r="R53" s="65" t="str">
        <f t="shared" si="1"/>
        <v>Week 1</v>
      </c>
      <c r="S53" s="65" t="str">
        <f>TEXT(Table8[[#This Row],[Date Day]],"mmm,YYYY")</f>
        <v>Jan,2011</v>
      </c>
      <c r="U53"/>
      <c r="V53"/>
    </row>
    <row r="54" spans="1:49" ht="15.6" x14ac:dyDescent="0.3">
      <c r="A54" s="62">
        <v>21</v>
      </c>
      <c r="B54" s="63">
        <v>40544</v>
      </c>
      <c r="C54" s="64">
        <v>20</v>
      </c>
      <c r="D54" s="64" t="b">
        <f>IF(COUNTIF(AU$36:AU$52,Table8[[#This Row],[Date Day]]) &gt; 0, TRUE, FALSE)</f>
        <v>1</v>
      </c>
      <c r="E54" s="64">
        <f t="shared" si="0"/>
        <v>6</v>
      </c>
      <c r="F54" s="64">
        <v>2</v>
      </c>
      <c r="G54" s="65" t="str">
        <f>IF(Table8[[#This Row],[Weathersit]]=1, "BAD", IF(Table8[[#This Row],[Weathersit]]=2, "MODERATE", IF(Table8[[#This Row],[Weathersit]]=3, "GOOD")))</f>
        <v>MODERATE</v>
      </c>
      <c r="H54" s="64">
        <v>40</v>
      </c>
      <c r="I54" s="65" t="str">
        <f>IF(Table8[[#This Row],[Temp]]&lt;11, "COLD", IF(Table8[[#This Row],[Temp]]&lt;=25, "COMFORTABLE", "WARM"))</f>
        <v>WARM</v>
      </c>
      <c r="J54" s="64">
        <v>0.40910000000000002</v>
      </c>
      <c r="K54" s="64">
        <v>0.87</v>
      </c>
      <c r="L54" s="66">
        <v>25.369999999999997</v>
      </c>
      <c r="M54" s="75" t="s">
        <v>81</v>
      </c>
      <c r="N54" s="64">
        <v>11</v>
      </c>
      <c r="O54" s="64">
        <v>25</v>
      </c>
      <c r="P54" s="64">
        <v>36</v>
      </c>
      <c r="Q54" s="64"/>
      <c r="R54" s="65" t="str">
        <f t="shared" si="1"/>
        <v>Week 1</v>
      </c>
      <c r="S54" s="65" t="str">
        <f>TEXT(Table8[[#This Row],[Date Day]],"mmm,YYYY")</f>
        <v>Jan,2011</v>
      </c>
    </row>
    <row r="55" spans="1:49" ht="15.6" x14ac:dyDescent="0.3">
      <c r="A55" s="62">
        <v>22</v>
      </c>
      <c r="B55" s="63">
        <v>40544</v>
      </c>
      <c r="C55" s="64">
        <v>21</v>
      </c>
      <c r="D55" s="64" t="b">
        <f>IF(COUNTIF(AU$36:AU$52,Table8[[#This Row],[Date Day]]) &gt; 0, TRUE, FALSE)</f>
        <v>1</v>
      </c>
      <c r="E55" s="64">
        <f t="shared" si="0"/>
        <v>6</v>
      </c>
      <c r="F55" s="64">
        <v>2</v>
      </c>
      <c r="G55" s="65" t="str">
        <f>IF(Table8[[#This Row],[Weathersit]]=1, "BAD", IF(Table8[[#This Row],[Weathersit]]=2, "MODERATE", IF(Table8[[#This Row],[Weathersit]]=3, "GOOD")))</f>
        <v>MODERATE</v>
      </c>
      <c r="H55" s="64">
        <v>40</v>
      </c>
      <c r="I55" s="65" t="str">
        <f>IF(Table8[[#This Row],[Temp]]&lt;11, "COLD", IF(Table8[[#This Row],[Temp]]&lt;=25, "COMFORTABLE", "WARM"))</f>
        <v>WARM</v>
      </c>
      <c r="J55" s="64">
        <v>0.40910000000000002</v>
      </c>
      <c r="K55" s="64">
        <v>0.87</v>
      </c>
      <c r="L55" s="66">
        <v>19.400000000000002</v>
      </c>
      <c r="M55" s="75" t="s">
        <v>80</v>
      </c>
      <c r="N55" s="64">
        <v>3</v>
      </c>
      <c r="O55" s="64">
        <v>31</v>
      </c>
      <c r="P55" s="64">
        <v>34</v>
      </c>
      <c r="Q55" s="64"/>
      <c r="R55" s="65" t="str">
        <f t="shared" si="1"/>
        <v>Week 1</v>
      </c>
      <c r="S55" s="65" t="str">
        <f>TEXT(Table8[[#This Row],[Date Day]],"mmm,YYYY")</f>
        <v>Jan,2011</v>
      </c>
    </row>
    <row r="56" spans="1:49" ht="15.6" x14ac:dyDescent="0.3">
      <c r="A56" s="62">
        <v>23</v>
      </c>
      <c r="B56" s="63">
        <v>40544</v>
      </c>
      <c r="C56" s="64">
        <v>22</v>
      </c>
      <c r="D56" s="64" t="b">
        <f>IF(COUNTIF(AU$36:AU$52,Table8[[#This Row],[Date Day]]) &gt; 0, TRUE, FALSE)</f>
        <v>1</v>
      </c>
      <c r="E56" s="64">
        <f t="shared" si="0"/>
        <v>6</v>
      </c>
      <c r="F56" s="64">
        <v>2</v>
      </c>
      <c r="G56" s="65" t="str">
        <f>IF(Table8[[#This Row],[Weathersit]]=1, "BAD", IF(Table8[[#This Row],[Weathersit]]=2, "MODERATE", IF(Table8[[#This Row],[Weathersit]]=3, "GOOD")))</f>
        <v>MODERATE</v>
      </c>
      <c r="H56" s="64">
        <v>40</v>
      </c>
      <c r="I56" s="65" t="str">
        <f>IF(Table8[[#This Row],[Temp]]&lt;11, "COLD", IF(Table8[[#This Row],[Temp]]&lt;=25, "COMFORTABLE", "WARM"))</f>
        <v>WARM</v>
      </c>
      <c r="J56" s="64">
        <v>0.40910000000000002</v>
      </c>
      <c r="K56" s="64">
        <v>0.94</v>
      </c>
      <c r="L56" s="66">
        <v>22.39</v>
      </c>
      <c r="M56" s="75" t="s">
        <v>81</v>
      </c>
      <c r="N56" s="64">
        <v>11</v>
      </c>
      <c r="O56" s="64">
        <v>17</v>
      </c>
      <c r="P56" s="64">
        <v>28</v>
      </c>
      <c r="Q56" s="64"/>
      <c r="R56" s="65" t="str">
        <f t="shared" si="1"/>
        <v>Week 1</v>
      </c>
      <c r="S56" s="65" t="str">
        <f>TEXT(Table8[[#This Row],[Date Day]],"mmm,YYYY")</f>
        <v>Jan,2011</v>
      </c>
    </row>
    <row r="57" spans="1:49" ht="15.6" x14ac:dyDescent="0.3">
      <c r="A57" s="62">
        <v>24</v>
      </c>
      <c r="B57" s="63">
        <v>40544</v>
      </c>
      <c r="C57" s="64">
        <v>23</v>
      </c>
      <c r="D57" s="64" t="b">
        <f>IF(COUNTIF(AU$36:AU$52,Table8[[#This Row],[Date Day]]) &gt; 0, TRUE, FALSE)</f>
        <v>1</v>
      </c>
      <c r="E57" s="64">
        <f t="shared" si="0"/>
        <v>6</v>
      </c>
      <c r="F57" s="64">
        <v>2</v>
      </c>
      <c r="G57" s="65" t="str">
        <f>IF(Table8[[#This Row],[Weathersit]]=1, "BAD", IF(Table8[[#This Row],[Weathersit]]=2, "MODERATE", IF(Table8[[#This Row],[Weathersit]]=3, "GOOD")))</f>
        <v>MODERATE</v>
      </c>
      <c r="H57" s="64">
        <v>46</v>
      </c>
      <c r="I57" s="65" t="str">
        <f>IF(Table8[[#This Row],[Temp]]&lt;11, "COLD", IF(Table8[[#This Row],[Temp]]&lt;=25, "COMFORTABLE", "WARM"))</f>
        <v>WARM</v>
      </c>
      <c r="J57" s="64">
        <v>0.19993489148580987</v>
      </c>
      <c r="K57" s="64">
        <v>0.88</v>
      </c>
      <c r="L57" s="66">
        <v>29.849999999999998</v>
      </c>
      <c r="M57" s="75" t="s">
        <v>81</v>
      </c>
      <c r="N57" s="64">
        <v>15</v>
      </c>
      <c r="O57" s="64">
        <v>24</v>
      </c>
      <c r="P57" s="64">
        <v>39</v>
      </c>
      <c r="Q57" s="64"/>
      <c r="R57" s="65" t="str">
        <f t="shared" si="1"/>
        <v>Week 1</v>
      </c>
      <c r="S57" s="65" t="str">
        <f>TEXT(Table8[[#This Row],[Date Day]],"mmm,YYYY")</f>
        <v>Jan,2011</v>
      </c>
    </row>
    <row r="58" spans="1:49" ht="15.6" x14ac:dyDescent="0.3">
      <c r="A58" s="62">
        <v>25</v>
      </c>
      <c r="B58" s="63">
        <v>40545</v>
      </c>
      <c r="C58" s="64">
        <v>0</v>
      </c>
      <c r="D58" s="64" t="b">
        <f>IF(COUNTIF(AU$36:AU$52,Table8[[#This Row],[Date Day]]) &gt; 0, TRUE, FALSE)</f>
        <v>0</v>
      </c>
      <c r="E58" s="64">
        <f t="shared" si="0"/>
        <v>7</v>
      </c>
      <c r="F58" s="64">
        <v>2</v>
      </c>
      <c r="G58" s="65" t="str">
        <f>IF(Table8[[#This Row],[Weathersit]]=1, "BAD", IF(Table8[[#This Row],[Weathersit]]=2, "MODERATE", IF(Table8[[#This Row],[Weathersit]]=3, "GOOD")))</f>
        <v>MODERATE</v>
      </c>
      <c r="H58" s="64">
        <v>46</v>
      </c>
      <c r="I58" s="65" t="str">
        <f>IF(Table8[[#This Row],[Temp]]&lt;11, "COLD", IF(Table8[[#This Row],[Temp]]&lt;=25, "COMFORTABLE", "WARM"))</f>
        <v>WARM</v>
      </c>
      <c r="J58" s="64">
        <v>0.45450000000000002</v>
      </c>
      <c r="K58" s="64">
        <v>0.88</v>
      </c>
      <c r="L58" s="66">
        <v>29.849999999999998</v>
      </c>
      <c r="M58" s="75" t="s">
        <v>81</v>
      </c>
      <c r="N58" s="64">
        <v>4</v>
      </c>
      <c r="O58" s="64">
        <v>13</v>
      </c>
      <c r="P58" s="64">
        <v>17</v>
      </c>
      <c r="Q58" s="64"/>
      <c r="R58" s="65" t="str">
        <f t="shared" si="1"/>
        <v>Week 1</v>
      </c>
      <c r="S58" s="65" t="str">
        <f>TEXT(Table8[[#This Row],[Date Day]],"mmm,YYYY")</f>
        <v>Jan,2011</v>
      </c>
    </row>
    <row r="59" spans="1:49" ht="15.6" x14ac:dyDescent="0.3">
      <c r="A59" s="62">
        <v>26</v>
      </c>
      <c r="B59" s="63">
        <v>40545</v>
      </c>
      <c r="C59" s="64">
        <v>1</v>
      </c>
      <c r="D59" s="64" t="b">
        <f>IF(COUNTIF(AU$36:AU$52,Table8[[#This Row],[Date Day]]) &gt; 0, TRUE, FALSE)</f>
        <v>0</v>
      </c>
      <c r="E59" s="64">
        <f t="shared" si="0"/>
        <v>7</v>
      </c>
      <c r="F59" s="64">
        <v>2</v>
      </c>
      <c r="G59" s="65" t="str">
        <f>IF(Table8[[#This Row],[Weathersit]]=1, "BAD", IF(Table8[[#This Row],[Weathersit]]=2, "MODERATE", IF(Table8[[#This Row],[Weathersit]]=3, "GOOD")))</f>
        <v>MODERATE</v>
      </c>
      <c r="H59" s="64">
        <v>44</v>
      </c>
      <c r="I59" s="65" t="str">
        <f>IF(Table8[[#This Row],[Temp]]&lt;11, "COLD", IF(Table8[[#This Row],[Temp]]&lt;=25, "COMFORTABLE", "WARM"))</f>
        <v>WARM</v>
      </c>
      <c r="J59" s="64">
        <v>0.43940000000000001</v>
      </c>
      <c r="K59" s="64">
        <v>0.94</v>
      </c>
      <c r="L59" s="66">
        <v>25.369999999999997</v>
      </c>
      <c r="M59" s="75" t="s">
        <v>81</v>
      </c>
      <c r="N59" s="64">
        <v>1</v>
      </c>
      <c r="O59" s="64">
        <v>16</v>
      </c>
      <c r="P59" s="64">
        <v>17</v>
      </c>
      <c r="Q59" s="64"/>
      <c r="R59" s="65" t="str">
        <f t="shared" si="1"/>
        <v>Week 1</v>
      </c>
      <c r="S59" s="65" t="str">
        <f>TEXT(Table8[[#This Row],[Date Day]],"mmm,YYYY")</f>
        <v>Jan,2011</v>
      </c>
    </row>
    <row r="60" spans="1:49" ht="15.6" x14ac:dyDescent="0.3">
      <c r="A60" s="62">
        <v>27</v>
      </c>
      <c r="B60" s="63">
        <v>40545</v>
      </c>
      <c r="C60" s="64">
        <v>2</v>
      </c>
      <c r="D60" s="64" t="b">
        <f>IF(COUNTIF(AU$36:AU$52,Table8[[#This Row],[Date Day]]) &gt; 0, TRUE, FALSE)</f>
        <v>0</v>
      </c>
      <c r="E60" s="64">
        <f t="shared" si="0"/>
        <v>7</v>
      </c>
      <c r="F60" s="64">
        <v>2</v>
      </c>
      <c r="G60" s="65" t="str">
        <f>IF(Table8[[#This Row],[Weathersit]]=1, "BAD", IF(Table8[[#This Row],[Weathersit]]=2, "MODERATE", IF(Table8[[#This Row],[Weathersit]]=3, "GOOD")))</f>
        <v>MODERATE</v>
      </c>
      <c r="H60" s="64">
        <v>42</v>
      </c>
      <c r="I60" s="65" t="str">
        <f>IF(Table8[[#This Row],[Temp]]&lt;11, "COLD", IF(Table8[[#This Row],[Temp]]&lt;=25, "COMFORTABLE", "WARM"))</f>
        <v>WARM</v>
      </c>
      <c r="J60" s="64">
        <v>0.42420000000000002</v>
      </c>
      <c r="K60" s="64">
        <v>1</v>
      </c>
      <c r="L60" s="66">
        <v>28.360000000000003</v>
      </c>
      <c r="M60" s="75" t="s">
        <v>81</v>
      </c>
      <c r="N60" s="64">
        <v>1</v>
      </c>
      <c r="O60" s="64">
        <v>8</v>
      </c>
      <c r="P60" s="64">
        <v>9</v>
      </c>
      <c r="Q60" s="64"/>
      <c r="R60" s="65" t="str">
        <f t="shared" si="1"/>
        <v>Week 1</v>
      </c>
      <c r="S60" s="65" t="str">
        <f>TEXT(Table8[[#This Row],[Date Day]],"mmm,YYYY")</f>
        <v>Jan,2011</v>
      </c>
    </row>
    <row r="61" spans="1:49" ht="15.6" x14ac:dyDescent="0.3">
      <c r="A61" s="62">
        <v>28</v>
      </c>
      <c r="B61" s="63">
        <v>40545</v>
      </c>
      <c r="C61" s="64">
        <v>3</v>
      </c>
      <c r="D61" s="64" t="b">
        <f>IF(COUNTIF(AU$36:AU$52,Table8[[#This Row],[Date Day]]) &gt; 0, TRUE, FALSE)</f>
        <v>0</v>
      </c>
      <c r="E61" s="64">
        <f t="shared" si="0"/>
        <v>7</v>
      </c>
      <c r="F61" s="64">
        <v>2</v>
      </c>
      <c r="G61" s="65" t="str">
        <f>IF(Table8[[#This Row],[Weathersit]]=1, "BAD", IF(Table8[[#This Row],[Weathersit]]=2, "MODERATE", IF(Table8[[#This Row],[Weathersit]]=3, "GOOD")))</f>
        <v>MODERATE</v>
      </c>
      <c r="H61" s="64">
        <v>46</v>
      </c>
      <c r="I61" s="65" t="str">
        <f>IF(Table8[[#This Row],[Temp]]&lt;11, "COLD", IF(Table8[[#This Row],[Temp]]&lt;=25, "COMFORTABLE", "WARM"))</f>
        <v>WARM</v>
      </c>
      <c r="J61" s="64">
        <v>0.45450000000000002</v>
      </c>
      <c r="K61" s="64">
        <v>0.94</v>
      </c>
      <c r="L61" s="66">
        <v>19.400000000000002</v>
      </c>
      <c r="M61" s="75" t="s">
        <v>80</v>
      </c>
      <c r="N61" s="64">
        <v>2</v>
      </c>
      <c r="O61" s="64">
        <v>4</v>
      </c>
      <c r="P61" s="64">
        <v>6</v>
      </c>
      <c r="Q61" s="64"/>
      <c r="R61" s="65" t="str">
        <f t="shared" si="1"/>
        <v>Week 1</v>
      </c>
      <c r="S61" s="65" t="str">
        <f>TEXT(Table8[[#This Row],[Date Day]],"mmm,YYYY")</f>
        <v>Jan,2011</v>
      </c>
    </row>
    <row r="62" spans="1:49" ht="15.6" x14ac:dyDescent="0.3">
      <c r="A62" s="62">
        <v>29</v>
      </c>
      <c r="B62" s="63">
        <v>40545</v>
      </c>
      <c r="C62" s="64">
        <v>4</v>
      </c>
      <c r="D62" s="64" t="b">
        <f>IF(COUNTIF(AU$36:AU$52,Table8[[#This Row],[Date Day]]) &gt; 0, TRUE, FALSE)</f>
        <v>0</v>
      </c>
      <c r="E62" s="64">
        <f t="shared" si="0"/>
        <v>7</v>
      </c>
      <c r="F62" s="64">
        <v>2</v>
      </c>
      <c r="G62" s="65" t="str">
        <f>IF(Table8[[#This Row],[Weathersit]]=1, "BAD", IF(Table8[[#This Row],[Weathersit]]=2, "MODERATE", IF(Table8[[#This Row],[Weathersit]]=3, "GOOD")))</f>
        <v>MODERATE</v>
      </c>
      <c r="H62" s="64">
        <v>46</v>
      </c>
      <c r="I62" s="65" t="str">
        <f>IF(Table8[[#This Row],[Temp]]&lt;11, "COLD", IF(Table8[[#This Row],[Temp]]&lt;=25, "COMFORTABLE", "WARM"))</f>
        <v>WARM</v>
      </c>
      <c r="J62" s="64">
        <v>0.19993489148580987</v>
      </c>
      <c r="K62" s="64">
        <v>0.94</v>
      </c>
      <c r="L62" s="66">
        <v>19.400000000000002</v>
      </c>
      <c r="M62" s="75" t="s">
        <v>80</v>
      </c>
      <c r="N62" s="64">
        <v>2</v>
      </c>
      <c r="O62" s="64">
        <v>1</v>
      </c>
      <c r="P62" s="64">
        <v>3</v>
      </c>
      <c r="Q62" s="64"/>
      <c r="R62" s="65" t="str">
        <f t="shared" si="1"/>
        <v>Week 1</v>
      </c>
      <c r="S62" s="65" t="str">
        <f>TEXT(Table8[[#This Row],[Date Day]],"mmm,YYYY")</f>
        <v>Jan,2011</v>
      </c>
    </row>
    <row r="63" spans="1:49" ht="15.6" x14ac:dyDescent="0.3">
      <c r="A63" s="62">
        <v>30</v>
      </c>
      <c r="B63" s="63">
        <v>40545</v>
      </c>
      <c r="C63" s="64">
        <v>6</v>
      </c>
      <c r="D63" s="64" t="b">
        <f>IF(COUNTIF(AU$36:AU$52,Table8[[#This Row],[Date Day]]) &gt; 0, TRUE, FALSE)</f>
        <v>0</v>
      </c>
      <c r="E63" s="64">
        <f t="shared" si="0"/>
        <v>7</v>
      </c>
      <c r="F63" s="64">
        <v>3</v>
      </c>
      <c r="G63" s="65" t="str">
        <f>IF(Table8[[#This Row],[Weathersit]]=1, "BAD", IF(Table8[[#This Row],[Weathersit]]=2, "MODERATE", IF(Table8[[#This Row],[Weathersit]]=3, "GOOD")))</f>
        <v>GOOD</v>
      </c>
      <c r="H63" s="64">
        <v>42</v>
      </c>
      <c r="I63" s="65" t="str">
        <f>IF(Table8[[#This Row],[Temp]]&lt;11, "COLD", IF(Table8[[#This Row],[Temp]]&lt;=25, "COMFORTABLE", "WARM"))</f>
        <v>WARM</v>
      </c>
      <c r="J63" s="64">
        <v>0.42420000000000002</v>
      </c>
      <c r="K63" s="64">
        <v>0.77</v>
      </c>
      <c r="L63" s="66">
        <v>29.849999999999998</v>
      </c>
      <c r="M63" s="75" t="s">
        <v>81</v>
      </c>
      <c r="N63" s="64">
        <v>0</v>
      </c>
      <c r="O63" s="64">
        <v>2</v>
      </c>
      <c r="P63" s="64">
        <v>2</v>
      </c>
      <c r="Q63" s="64"/>
      <c r="R63" s="65" t="str">
        <f t="shared" si="1"/>
        <v>Week 1</v>
      </c>
      <c r="S63" s="65" t="str">
        <f>TEXT(Table8[[#This Row],[Date Day]],"mmm,YYYY")</f>
        <v>Jan,2011</v>
      </c>
    </row>
    <row r="64" spans="1:49" ht="15.6" x14ac:dyDescent="0.3">
      <c r="A64" s="62">
        <v>31</v>
      </c>
      <c r="B64" s="63">
        <v>40545</v>
      </c>
      <c r="C64" s="64">
        <v>7</v>
      </c>
      <c r="D64" s="64" t="b">
        <f>IF(COUNTIF(AU$36:AU$52,Table8[[#This Row],[Date Day]]) &gt; 0, TRUE, FALSE)</f>
        <v>0</v>
      </c>
      <c r="E64" s="64">
        <f t="shared" si="0"/>
        <v>7</v>
      </c>
      <c r="F64" s="64">
        <v>2</v>
      </c>
      <c r="G64" s="65" t="str">
        <f>IF(Table8[[#This Row],[Weathersit]]=1, "BAD", IF(Table8[[#This Row],[Weathersit]]=2, "MODERATE", IF(Table8[[#This Row],[Weathersit]]=3, "GOOD")))</f>
        <v>MODERATE</v>
      </c>
      <c r="H64" s="64">
        <v>40</v>
      </c>
      <c r="I64" s="65" t="str">
        <f>IF(Table8[[#This Row],[Temp]]&lt;11, "COLD", IF(Table8[[#This Row],[Temp]]&lt;=25, "COMFORTABLE", "WARM"))</f>
        <v>WARM</v>
      </c>
      <c r="J64" s="64">
        <v>0.40910000000000002</v>
      </c>
      <c r="K64" s="64">
        <v>0.76</v>
      </c>
      <c r="L64" s="66">
        <v>19.400000000000002</v>
      </c>
      <c r="M64" s="75" t="s">
        <v>80</v>
      </c>
      <c r="N64" s="64">
        <v>0</v>
      </c>
      <c r="O64" s="64">
        <v>1</v>
      </c>
      <c r="P64" s="64">
        <v>1</v>
      </c>
      <c r="Q64" s="64"/>
      <c r="R64" s="65" t="str">
        <f t="shared" si="1"/>
        <v>Week 1</v>
      </c>
      <c r="S64" s="65" t="str">
        <f>TEXT(Table8[[#This Row],[Date Day]],"mmm,YYYY")</f>
        <v>Jan,2011</v>
      </c>
    </row>
    <row r="65" spans="1:19" ht="15.6" x14ac:dyDescent="0.3">
      <c r="A65" s="62">
        <v>32</v>
      </c>
      <c r="B65" s="63">
        <v>40545</v>
      </c>
      <c r="C65" s="64">
        <v>8</v>
      </c>
      <c r="D65" s="64" t="b">
        <f>IF(COUNTIF(AU$36:AU$52,Table8[[#This Row],[Date Day]]) &gt; 0, TRUE, FALSE)</f>
        <v>0</v>
      </c>
      <c r="E65" s="64">
        <f t="shared" si="0"/>
        <v>7</v>
      </c>
      <c r="F65" s="64">
        <v>3</v>
      </c>
      <c r="G65" s="65" t="str">
        <f>IF(Table8[[#This Row],[Weathersit]]=1, "BAD", IF(Table8[[#This Row],[Weathersit]]=2, "MODERATE", IF(Table8[[#This Row],[Weathersit]]=3, "GOOD")))</f>
        <v>GOOD</v>
      </c>
      <c r="H65" s="64">
        <v>40</v>
      </c>
      <c r="I65" s="65" t="str">
        <f>IF(Table8[[#This Row],[Temp]]&lt;11, "COLD", IF(Table8[[#This Row],[Temp]]&lt;=25, "COMFORTABLE", "WARM"))</f>
        <v>WARM</v>
      </c>
      <c r="J65" s="64">
        <v>0.40910000000000002</v>
      </c>
      <c r="K65" s="64">
        <v>0.71</v>
      </c>
      <c r="L65" s="66">
        <v>22.39</v>
      </c>
      <c r="M65" s="75" t="s">
        <v>81</v>
      </c>
      <c r="N65" s="64">
        <v>0</v>
      </c>
      <c r="O65" s="64">
        <v>8</v>
      </c>
      <c r="P65" s="64">
        <v>8</v>
      </c>
      <c r="Q65" s="64"/>
      <c r="R65" s="65" t="str">
        <f t="shared" si="1"/>
        <v>Week 1</v>
      </c>
      <c r="S65" s="65" t="str">
        <f>TEXT(Table8[[#This Row],[Date Day]],"mmm,YYYY")</f>
        <v>Jan,2011</v>
      </c>
    </row>
    <row r="66" spans="1:19" ht="15.6" x14ac:dyDescent="0.3">
      <c r="A66" s="62">
        <v>33</v>
      </c>
      <c r="B66" s="63">
        <v>40545</v>
      </c>
      <c r="C66" s="64">
        <v>9</v>
      </c>
      <c r="D66" s="64" t="b">
        <f>IF(COUNTIF(AU$36:AU$52,Table8[[#This Row],[Date Day]]) &gt; 0, TRUE, FALSE)</f>
        <v>0</v>
      </c>
      <c r="E66" s="64">
        <f t="shared" si="0"/>
        <v>7</v>
      </c>
      <c r="F66" s="64">
        <v>2</v>
      </c>
      <c r="G66" s="65" t="str">
        <f>IF(Table8[[#This Row],[Weathersit]]=1, "BAD", IF(Table8[[#This Row],[Weathersit]]=2, "MODERATE", IF(Table8[[#This Row],[Weathersit]]=3, "GOOD")))</f>
        <v>MODERATE</v>
      </c>
      <c r="H66" s="64">
        <v>38</v>
      </c>
      <c r="I66" s="65" t="str">
        <f>IF(Table8[[#This Row],[Temp]]&lt;11, "COLD", IF(Table8[[#This Row],[Temp]]&lt;=25, "COMFORTABLE", "WARM"))</f>
        <v>WARM</v>
      </c>
      <c r="J66" s="64">
        <v>0.19993489148580987</v>
      </c>
      <c r="K66" s="64">
        <v>0.76</v>
      </c>
      <c r="L66" s="66">
        <v>22.39</v>
      </c>
      <c r="M66" s="75" t="s">
        <v>81</v>
      </c>
      <c r="N66" s="64">
        <v>1</v>
      </c>
      <c r="O66" s="64">
        <v>19</v>
      </c>
      <c r="P66" s="64">
        <v>20</v>
      </c>
      <c r="Q66" s="64"/>
      <c r="R66" s="65" t="str">
        <f t="shared" si="1"/>
        <v>Week 1</v>
      </c>
      <c r="S66" s="65" t="str">
        <f>TEXT(Table8[[#This Row],[Date Day]],"mmm,YYYY")</f>
        <v>Jan,2011</v>
      </c>
    </row>
    <row r="67" spans="1:19" ht="15.6" x14ac:dyDescent="0.3">
      <c r="A67" s="62">
        <v>34</v>
      </c>
      <c r="B67" s="63">
        <v>40545</v>
      </c>
      <c r="C67" s="64">
        <v>10</v>
      </c>
      <c r="D67" s="64" t="b">
        <f>IF(COUNTIF(AU$36:AU$52,Table8[[#This Row],[Date Day]]) &gt; 0, TRUE, FALSE)</f>
        <v>0</v>
      </c>
      <c r="E67" s="64">
        <f t="shared" si="0"/>
        <v>7</v>
      </c>
      <c r="F67" s="64">
        <v>2</v>
      </c>
      <c r="G67" s="65" t="str">
        <f>IF(Table8[[#This Row],[Weathersit]]=1, "BAD", IF(Table8[[#This Row],[Weathersit]]=2, "MODERATE", IF(Table8[[#This Row],[Weathersit]]=3, "GOOD")))</f>
        <v>MODERATE</v>
      </c>
      <c r="H67" s="64">
        <v>36</v>
      </c>
      <c r="I67" s="65" t="str">
        <f>IF(Table8[[#This Row],[Temp]]&lt;11, "COLD", IF(Table8[[#This Row],[Temp]]&lt;=25, "COMFORTABLE", "WARM"))</f>
        <v>WARM</v>
      </c>
      <c r="J67" s="64">
        <v>0.34849999999999998</v>
      </c>
      <c r="K67" s="64">
        <v>0.81</v>
      </c>
      <c r="L67" s="66">
        <v>22.39</v>
      </c>
      <c r="M67" s="75" t="s">
        <v>81</v>
      </c>
      <c r="N67" s="64">
        <v>7</v>
      </c>
      <c r="O67" s="64">
        <v>46</v>
      </c>
      <c r="P67" s="64">
        <v>53</v>
      </c>
      <c r="Q67" s="64"/>
      <c r="R67" s="65" t="str">
        <f t="shared" si="1"/>
        <v>Week 1</v>
      </c>
      <c r="S67" s="65" t="str">
        <f>TEXT(Table8[[#This Row],[Date Day]],"mmm,YYYY")</f>
        <v>Jan,2011</v>
      </c>
    </row>
    <row r="68" spans="1:19" ht="15.6" x14ac:dyDescent="0.3">
      <c r="A68" s="62">
        <v>35</v>
      </c>
      <c r="B68" s="63">
        <v>40545</v>
      </c>
      <c r="C68" s="64">
        <v>11</v>
      </c>
      <c r="D68" s="64" t="b">
        <f>IF(COUNTIF(AU$36:AU$52,Table8[[#This Row],[Date Day]]) &gt; 0, TRUE, FALSE)</f>
        <v>0</v>
      </c>
      <c r="E68" s="64">
        <f t="shared" si="0"/>
        <v>7</v>
      </c>
      <c r="F68" s="64">
        <v>2</v>
      </c>
      <c r="G68" s="65" t="str">
        <f>IF(Table8[[#This Row],[Weathersit]]=1, "BAD", IF(Table8[[#This Row],[Weathersit]]=2, "MODERATE", IF(Table8[[#This Row],[Weathersit]]=3, "GOOD")))</f>
        <v>MODERATE</v>
      </c>
      <c r="H68" s="64">
        <v>36</v>
      </c>
      <c r="I68" s="65" t="str">
        <f>IF(Table8[[#This Row],[Temp]]&lt;11, "COLD", IF(Table8[[#This Row],[Temp]]&lt;=25, "COMFORTABLE", "WARM"))</f>
        <v>WARM</v>
      </c>
      <c r="J68" s="64">
        <v>0.33329999999999999</v>
      </c>
      <c r="K68" s="64">
        <v>0.71</v>
      </c>
      <c r="L68" s="66">
        <v>25.369999999999997</v>
      </c>
      <c r="M68" s="75" t="s">
        <v>81</v>
      </c>
      <c r="N68" s="64">
        <v>16</v>
      </c>
      <c r="O68" s="64">
        <v>54</v>
      </c>
      <c r="P68" s="64">
        <v>70</v>
      </c>
      <c r="Q68" s="64"/>
      <c r="R68" s="65" t="str">
        <f t="shared" si="1"/>
        <v>Week 1</v>
      </c>
      <c r="S68" s="65" t="str">
        <f>TEXT(Table8[[#This Row],[Date Day]],"mmm,YYYY")</f>
        <v>Jan,2011</v>
      </c>
    </row>
    <row r="69" spans="1:19" ht="15.6" x14ac:dyDescent="0.3">
      <c r="A69" s="62">
        <v>36</v>
      </c>
      <c r="B69" s="63">
        <v>40545</v>
      </c>
      <c r="C69" s="64">
        <v>12</v>
      </c>
      <c r="D69" s="64" t="b">
        <f>IF(COUNTIF(AU$36:AU$52,Table8[[#This Row],[Date Day]]) &gt; 0, TRUE, FALSE)</f>
        <v>0</v>
      </c>
      <c r="E69" s="64">
        <f t="shared" si="0"/>
        <v>7</v>
      </c>
      <c r="F69" s="64">
        <v>2</v>
      </c>
      <c r="G69" s="65" t="str">
        <f>IF(Table8[[#This Row],[Weathersit]]=1, "BAD", IF(Table8[[#This Row],[Weathersit]]=2, "MODERATE", IF(Table8[[#This Row],[Weathersit]]=3, "GOOD")))</f>
        <v>MODERATE</v>
      </c>
      <c r="H69" s="64">
        <v>36</v>
      </c>
      <c r="I69" s="65" t="str">
        <f>IF(Table8[[#This Row],[Temp]]&lt;11, "COLD", IF(Table8[[#This Row],[Temp]]&lt;=25, "COMFORTABLE", "WARM"))</f>
        <v>WARM</v>
      </c>
      <c r="J69" s="64">
        <v>0.33329999999999999</v>
      </c>
      <c r="K69" s="64">
        <v>0.66</v>
      </c>
      <c r="L69" s="66">
        <v>29.849999999999998</v>
      </c>
      <c r="M69" s="75" t="s">
        <v>81</v>
      </c>
      <c r="N69" s="64">
        <v>20</v>
      </c>
      <c r="O69" s="64">
        <v>73</v>
      </c>
      <c r="P69" s="64">
        <v>93</v>
      </c>
      <c r="Q69" s="64"/>
      <c r="R69" s="65" t="str">
        <f t="shared" si="1"/>
        <v>Week 1</v>
      </c>
      <c r="S69" s="65" t="str">
        <f>TEXT(Table8[[#This Row],[Date Day]],"mmm,YYYY")</f>
        <v>Jan,2011</v>
      </c>
    </row>
    <row r="70" spans="1:19" ht="15.6" x14ac:dyDescent="0.3">
      <c r="A70" s="62">
        <v>37</v>
      </c>
      <c r="B70" s="63">
        <v>40545</v>
      </c>
      <c r="C70" s="64">
        <v>13</v>
      </c>
      <c r="D70" s="64" t="b">
        <f>IF(COUNTIF(AU$36:AU$52,Table8[[#This Row],[Date Day]]) &gt; 0, TRUE, FALSE)</f>
        <v>0</v>
      </c>
      <c r="E70" s="64">
        <f t="shared" si="0"/>
        <v>7</v>
      </c>
      <c r="F70" s="64">
        <v>2</v>
      </c>
      <c r="G70" s="65" t="str">
        <f>IF(Table8[[#This Row],[Weathersit]]=1, "BAD", IF(Table8[[#This Row],[Weathersit]]=2, "MODERATE", IF(Table8[[#This Row],[Weathersit]]=3, "GOOD")))</f>
        <v>MODERATE</v>
      </c>
      <c r="H70" s="64">
        <v>36</v>
      </c>
      <c r="I70" s="65" t="str">
        <f>IF(Table8[[#This Row],[Temp]]&lt;11, "COLD", IF(Table8[[#This Row],[Temp]]&lt;=25, "COMFORTABLE", "WARM"))</f>
        <v>WARM</v>
      </c>
      <c r="J70" s="64">
        <v>0.34849999999999998</v>
      </c>
      <c r="K70" s="64">
        <v>0.66</v>
      </c>
      <c r="L70" s="66">
        <v>13.43</v>
      </c>
      <c r="M70" s="75" t="s">
        <v>80</v>
      </c>
      <c r="N70" s="64">
        <v>11</v>
      </c>
      <c r="O70" s="64">
        <v>64</v>
      </c>
      <c r="P70" s="64">
        <v>75</v>
      </c>
      <c r="Q70" s="64"/>
      <c r="R70" s="65" t="str">
        <f t="shared" si="1"/>
        <v>Week 1</v>
      </c>
      <c r="S70" s="65" t="str">
        <f>TEXT(Table8[[#This Row],[Date Day]],"mmm,YYYY")</f>
        <v>Jan,2011</v>
      </c>
    </row>
    <row r="71" spans="1:19" ht="15.6" x14ac:dyDescent="0.3">
      <c r="A71" s="62">
        <v>38</v>
      </c>
      <c r="B71" s="63">
        <v>40545</v>
      </c>
      <c r="C71" s="64">
        <v>14</v>
      </c>
      <c r="D71" s="64" t="b">
        <f>IF(COUNTIF(AU$36:AU$52,Table8[[#This Row],[Date Day]]) &gt; 0, TRUE, FALSE)</f>
        <v>0</v>
      </c>
      <c r="E71" s="64">
        <f t="shared" si="0"/>
        <v>7</v>
      </c>
      <c r="F71" s="64">
        <v>3</v>
      </c>
      <c r="G71" s="65" t="str">
        <f>IF(Table8[[#This Row],[Weathersit]]=1, "BAD", IF(Table8[[#This Row],[Weathersit]]=2, "MODERATE", IF(Table8[[#This Row],[Weathersit]]=3, "GOOD")))</f>
        <v>GOOD</v>
      </c>
      <c r="H71" s="64">
        <v>36</v>
      </c>
      <c r="I71" s="65" t="str">
        <f>IF(Table8[[#This Row],[Temp]]&lt;11, "COLD", IF(Table8[[#This Row],[Temp]]&lt;=25, "COMFORTABLE", "WARM"))</f>
        <v>WARM</v>
      </c>
      <c r="J71" s="64">
        <v>0.19993489148580987</v>
      </c>
      <c r="K71" s="64">
        <v>0.76</v>
      </c>
      <c r="L71" s="66">
        <v>19.400000000000002</v>
      </c>
      <c r="M71" s="75" t="s">
        <v>80</v>
      </c>
      <c r="N71" s="64">
        <v>4</v>
      </c>
      <c r="O71" s="64">
        <v>55</v>
      </c>
      <c r="P71" s="64">
        <v>59</v>
      </c>
      <c r="Q71" s="64"/>
      <c r="R71" s="65" t="str">
        <f t="shared" si="1"/>
        <v>Week 1</v>
      </c>
      <c r="S71" s="65" t="str">
        <f>TEXT(Table8[[#This Row],[Date Day]],"mmm,YYYY")</f>
        <v>Jan,2011</v>
      </c>
    </row>
    <row r="72" spans="1:19" ht="15.6" x14ac:dyDescent="0.3">
      <c r="A72" s="62">
        <v>39</v>
      </c>
      <c r="B72" s="63">
        <v>40545</v>
      </c>
      <c r="C72" s="64">
        <v>15</v>
      </c>
      <c r="D72" s="64" t="b">
        <f>IF(COUNTIF(AU$36:AU$52,Table8[[#This Row],[Date Day]]) &gt; 0, TRUE, FALSE)</f>
        <v>0</v>
      </c>
      <c r="E72" s="64">
        <f t="shared" si="0"/>
        <v>7</v>
      </c>
      <c r="F72" s="64">
        <v>3</v>
      </c>
      <c r="G72" s="65" t="str">
        <f>IF(Table8[[#This Row],[Weathersit]]=1, "BAD", IF(Table8[[#This Row],[Weathersit]]=2, "MODERATE", IF(Table8[[#This Row],[Weathersit]]=3, "GOOD")))</f>
        <v>GOOD</v>
      </c>
      <c r="H72" s="64">
        <v>34</v>
      </c>
      <c r="I72" s="65" t="str">
        <f>IF(Table8[[#This Row],[Temp]]&lt;11, "COLD", IF(Table8[[#This Row],[Temp]]&lt;=25, "COMFORTABLE", "WARM"))</f>
        <v>WARM</v>
      </c>
      <c r="J72" s="64">
        <v>0.33329999999999999</v>
      </c>
      <c r="K72" s="64">
        <v>0.81</v>
      </c>
      <c r="L72" s="66">
        <v>16.420000000000002</v>
      </c>
      <c r="M72" s="75" t="s">
        <v>80</v>
      </c>
      <c r="N72" s="64">
        <v>19</v>
      </c>
      <c r="O72" s="64">
        <v>55</v>
      </c>
      <c r="P72" s="64">
        <v>74</v>
      </c>
      <c r="Q72" s="64"/>
      <c r="R72" s="65" t="str">
        <f t="shared" si="1"/>
        <v>Week 1</v>
      </c>
      <c r="S72" s="65" t="str">
        <f>TEXT(Table8[[#This Row],[Date Day]],"mmm,YYYY")</f>
        <v>Jan,2011</v>
      </c>
    </row>
    <row r="73" spans="1:19" ht="15.6" x14ac:dyDescent="0.3">
      <c r="A73" s="62">
        <v>40</v>
      </c>
      <c r="B73" s="63">
        <v>40545</v>
      </c>
      <c r="C73" s="64">
        <v>16</v>
      </c>
      <c r="D73" s="64" t="b">
        <f>IF(COUNTIF(AU$36:AU$52,Table8[[#This Row],[Date Day]]) &gt; 0, TRUE, FALSE)</f>
        <v>0</v>
      </c>
      <c r="E73" s="64">
        <f t="shared" si="0"/>
        <v>7</v>
      </c>
      <c r="F73" s="64">
        <v>3</v>
      </c>
      <c r="G73" s="65" t="str">
        <f>IF(Table8[[#This Row],[Weathersit]]=1, "BAD", IF(Table8[[#This Row],[Weathersit]]=2, "MODERATE", IF(Table8[[#This Row],[Weathersit]]=3, "GOOD")))</f>
        <v>GOOD</v>
      </c>
      <c r="H73" s="64">
        <v>34</v>
      </c>
      <c r="I73" s="65" t="str">
        <f>IF(Table8[[#This Row],[Temp]]&lt;11, "COLD", IF(Table8[[#This Row],[Temp]]&lt;=25, "COMFORTABLE", "WARM"))</f>
        <v>WARM</v>
      </c>
      <c r="J73" s="64">
        <v>0.33329999999999999</v>
      </c>
      <c r="K73" s="64">
        <v>0.71</v>
      </c>
      <c r="L73" s="66">
        <v>16.420000000000002</v>
      </c>
      <c r="M73" s="75" t="s">
        <v>80</v>
      </c>
      <c r="N73" s="64">
        <v>9</v>
      </c>
      <c r="O73" s="64">
        <v>67</v>
      </c>
      <c r="P73" s="64">
        <v>76</v>
      </c>
      <c r="Q73" s="64"/>
      <c r="R73" s="65" t="str">
        <f t="shared" si="1"/>
        <v>Week 1</v>
      </c>
      <c r="S73" s="65" t="str">
        <f>TEXT(Table8[[#This Row],[Date Day]],"mmm,YYYY")</f>
        <v>Jan,2011</v>
      </c>
    </row>
    <row r="74" spans="1:19" ht="15.6" x14ac:dyDescent="0.3">
      <c r="A74" s="62">
        <v>41</v>
      </c>
      <c r="B74" s="63">
        <v>40545</v>
      </c>
      <c r="C74" s="64">
        <v>17</v>
      </c>
      <c r="D74" s="64" t="b">
        <f>IF(COUNTIF(AU$36:AU$52,Table8[[#This Row],[Date Day]]) &gt; 0, TRUE, FALSE)</f>
        <v>0</v>
      </c>
      <c r="E74" s="64">
        <f t="shared" si="0"/>
        <v>7</v>
      </c>
      <c r="F74" s="64">
        <v>1</v>
      </c>
      <c r="G74" s="65" t="str">
        <f>IF(Table8[[#This Row],[Weathersit]]=1, "BAD", IF(Table8[[#This Row],[Weathersit]]=2, "MODERATE", IF(Table8[[#This Row],[Weathersit]]=3, "GOOD")))</f>
        <v>BAD</v>
      </c>
      <c r="H74" s="64">
        <v>34</v>
      </c>
      <c r="I74" s="65" t="str">
        <f>IF(Table8[[#This Row],[Temp]]&lt;11, "COLD", IF(Table8[[#This Row],[Temp]]&lt;=25, "COMFORTABLE", "WARM"))</f>
        <v>WARM</v>
      </c>
      <c r="J74" s="64">
        <v>0.33329999999999999</v>
      </c>
      <c r="K74" s="64">
        <v>0.56999999999999995</v>
      </c>
      <c r="L74" s="66">
        <v>19.400000000000002</v>
      </c>
      <c r="M74" s="75" t="s">
        <v>80</v>
      </c>
      <c r="N74" s="64">
        <v>7</v>
      </c>
      <c r="O74" s="64">
        <v>58</v>
      </c>
      <c r="P74" s="64">
        <v>65</v>
      </c>
      <c r="Q74" s="64"/>
      <c r="R74" s="65" t="str">
        <f t="shared" si="1"/>
        <v>Week 1</v>
      </c>
      <c r="S74" s="65" t="str">
        <f>TEXT(Table8[[#This Row],[Date Day]],"mmm,YYYY")</f>
        <v>Jan,2011</v>
      </c>
    </row>
    <row r="75" spans="1:19" ht="15.6" x14ac:dyDescent="0.3">
      <c r="A75" s="62">
        <v>42</v>
      </c>
      <c r="B75" s="63">
        <v>40545</v>
      </c>
      <c r="C75" s="64">
        <v>18</v>
      </c>
      <c r="D75" s="64" t="b">
        <f>IF(COUNTIF(AU$36:AU$52,Table8[[#This Row],[Date Day]]) &gt; 0, TRUE, FALSE)</f>
        <v>0</v>
      </c>
      <c r="E75" s="64">
        <f t="shared" si="0"/>
        <v>7</v>
      </c>
      <c r="F75" s="64">
        <v>2</v>
      </c>
      <c r="G75" s="65" t="str">
        <f>IF(Table8[[#This Row],[Weathersit]]=1, "BAD", IF(Table8[[#This Row],[Weathersit]]=2, "MODERATE", IF(Table8[[#This Row],[Weathersit]]=3, "GOOD")))</f>
        <v>MODERATE</v>
      </c>
      <c r="H75" s="64">
        <v>36</v>
      </c>
      <c r="I75" s="65" t="str">
        <f>IF(Table8[[#This Row],[Temp]]&lt;11, "COLD", IF(Table8[[#This Row],[Temp]]&lt;=25, "COMFORTABLE", "WARM"))</f>
        <v>WARM</v>
      </c>
      <c r="J75" s="64">
        <v>0.33329999999999999</v>
      </c>
      <c r="K75" s="64">
        <v>0.46</v>
      </c>
      <c r="L75" s="66">
        <v>32.840000000000003</v>
      </c>
      <c r="M75" s="75" t="s">
        <v>84</v>
      </c>
      <c r="N75" s="64">
        <v>10</v>
      </c>
      <c r="O75" s="64">
        <v>43</v>
      </c>
      <c r="P75" s="64">
        <v>53</v>
      </c>
      <c r="Q75" s="64"/>
      <c r="R75" s="65" t="str">
        <f t="shared" si="1"/>
        <v>Week 1</v>
      </c>
      <c r="S75" s="65" t="str">
        <f>TEXT(Table8[[#This Row],[Date Day]],"mmm,YYYY")</f>
        <v>Jan,2011</v>
      </c>
    </row>
    <row r="76" spans="1:19" ht="15.6" x14ac:dyDescent="0.3">
      <c r="A76" s="62">
        <v>43</v>
      </c>
      <c r="B76" s="63">
        <v>40545</v>
      </c>
      <c r="C76" s="64">
        <v>19</v>
      </c>
      <c r="D76" s="64" t="b">
        <f>IF(COUNTIF(AU$36:AU$52,Table8[[#This Row],[Date Day]]) &gt; 0, TRUE, FALSE)</f>
        <v>0</v>
      </c>
      <c r="E76" s="64">
        <f t="shared" si="0"/>
        <v>7</v>
      </c>
      <c r="F76" s="64">
        <v>1</v>
      </c>
      <c r="G76" s="65" t="str">
        <f>IF(Table8[[#This Row],[Weathersit]]=1, "BAD", IF(Table8[[#This Row],[Weathersit]]=2, "MODERATE", IF(Table8[[#This Row],[Weathersit]]=3, "GOOD")))</f>
        <v>BAD</v>
      </c>
      <c r="H76" s="64">
        <v>32</v>
      </c>
      <c r="I76" s="65" t="str">
        <f>IF(Table8[[#This Row],[Temp]]&lt;11, "COLD", IF(Table8[[#This Row],[Temp]]&lt;=25, "COMFORTABLE", "WARM"))</f>
        <v>WARM</v>
      </c>
      <c r="J76" s="64">
        <v>0.28789999999999999</v>
      </c>
      <c r="K76" s="64">
        <v>0.42</v>
      </c>
      <c r="L76" s="66">
        <v>44.78</v>
      </c>
      <c r="M76" s="75" t="s">
        <v>84</v>
      </c>
      <c r="N76" s="64">
        <v>1</v>
      </c>
      <c r="O76" s="64">
        <v>29</v>
      </c>
      <c r="P76" s="64">
        <v>30</v>
      </c>
      <c r="Q76" s="64"/>
      <c r="R76" s="65" t="str">
        <f t="shared" si="1"/>
        <v>Week 1</v>
      </c>
      <c r="S76" s="65" t="str">
        <f>TEXT(Table8[[#This Row],[Date Day]],"mmm,YYYY")</f>
        <v>Jan,2011</v>
      </c>
    </row>
    <row r="77" spans="1:19" ht="15.6" x14ac:dyDescent="0.3">
      <c r="A77" s="62">
        <v>44</v>
      </c>
      <c r="B77" s="63">
        <v>40545</v>
      </c>
      <c r="C77" s="64">
        <v>20</v>
      </c>
      <c r="D77" s="64" t="b">
        <f>IF(COUNTIF(AU$36:AU$52,Table8[[#This Row],[Date Day]]) &gt; 0, TRUE, FALSE)</f>
        <v>0</v>
      </c>
      <c r="E77" s="64">
        <f t="shared" si="0"/>
        <v>7</v>
      </c>
      <c r="F77" s="64">
        <v>1</v>
      </c>
      <c r="G77" s="65" t="str">
        <f>IF(Table8[[#This Row],[Weathersit]]=1, "BAD", IF(Table8[[#This Row],[Weathersit]]=2, "MODERATE", IF(Table8[[#This Row],[Weathersit]]=3, "GOOD")))</f>
        <v>BAD</v>
      </c>
      <c r="H77" s="64">
        <v>30</v>
      </c>
      <c r="I77" s="65" t="str">
        <f>IF(Table8[[#This Row],[Temp]]&lt;11, "COLD", IF(Table8[[#This Row],[Temp]]&lt;=25, "COMFORTABLE", "WARM"))</f>
        <v>WARM</v>
      </c>
      <c r="J77" s="64">
        <v>0.19993489148580987</v>
      </c>
      <c r="K77" s="64">
        <v>0.39</v>
      </c>
      <c r="L77" s="66">
        <v>35.82</v>
      </c>
      <c r="M77" s="75" t="s">
        <v>84</v>
      </c>
      <c r="N77" s="64">
        <v>5</v>
      </c>
      <c r="O77" s="64">
        <v>17</v>
      </c>
      <c r="P77" s="64">
        <v>22</v>
      </c>
      <c r="Q77" s="64"/>
      <c r="R77" s="65" t="str">
        <f t="shared" si="1"/>
        <v>Week 1</v>
      </c>
      <c r="S77" s="65" t="str">
        <f>TEXT(Table8[[#This Row],[Date Day]],"mmm,YYYY")</f>
        <v>Jan,2011</v>
      </c>
    </row>
    <row r="78" spans="1:19" ht="15.6" x14ac:dyDescent="0.3">
      <c r="A78" s="62">
        <v>45</v>
      </c>
      <c r="B78" s="63">
        <v>40545</v>
      </c>
      <c r="C78" s="64">
        <v>21</v>
      </c>
      <c r="D78" s="64" t="b">
        <f>IF(COUNTIF(AU$36:AU$52,Table8[[#This Row],[Date Day]]) &gt; 0, TRUE, FALSE)</f>
        <v>0</v>
      </c>
      <c r="E78" s="64">
        <f t="shared" si="0"/>
        <v>7</v>
      </c>
      <c r="F78" s="64">
        <v>1</v>
      </c>
      <c r="G78" s="65" t="str">
        <f>IF(Table8[[#This Row],[Weathersit]]=1, "BAD", IF(Table8[[#This Row],[Weathersit]]=2, "MODERATE", IF(Table8[[#This Row],[Weathersit]]=3, "GOOD")))</f>
        <v>BAD</v>
      </c>
      <c r="H78" s="64">
        <v>26</v>
      </c>
      <c r="I78" s="65" t="str">
        <f>IF(Table8[[#This Row],[Temp]]&lt;11, "COLD", IF(Table8[[#This Row],[Temp]]&lt;=25, "COMFORTABLE", "WARM"))</f>
        <v>WARM</v>
      </c>
      <c r="J78" s="64">
        <v>0.2273</v>
      </c>
      <c r="K78" s="64">
        <v>0.44</v>
      </c>
      <c r="L78" s="66">
        <v>32.840000000000003</v>
      </c>
      <c r="M78" s="75" t="s">
        <v>84</v>
      </c>
      <c r="N78" s="64">
        <v>11</v>
      </c>
      <c r="O78" s="64">
        <v>20</v>
      </c>
      <c r="P78" s="64">
        <v>31</v>
      </c>
      <c r="Q78" s="64"/>
      <c r="R78" s="65" t="str">
        <f t="shared" si="1"/>
        <v>Week 1</v>
      </c>
      <c r="S78" s="65" t="str">
        <f>TEXT(Table8[[#This Row],[Date Day]],"mmm,YYYY")</f>
        <v>Jan,2011</v>
      </c>
    </row>
    <row r="79" spans="1:19" ht="15.6" x14ac:dyDescent="0.3">
      <c r="A79" s="62">
        <v>46</v>
      </c>
      <c r="B79" s="63">
        <v>40545</v>
      </c>
      <c r="C79" s="64">
        <v>22</v>
      </c>
      <c r="D79" s="64" t="b">
        <f>IF(COUNTIF(AU$36:AU$52,Table8[[#This Row],[Date Day]]) &gt; 0, TRUE, FALSE)</f>
        <v>0</v>
      </c>
      <c r="E79" s="64">
        <f t="shared" si="0"/>
        <v>7</v>
      </c>
      <c r="F79" s="64">
        <v>1</v>
      </c>
      <c r="G79" s="65" t="str">
        <f>IF(Table8[[#This Row],[Weathersit]]=1, "BAD", IF(Table8[[#This Row],[Weathersit]]=2, "MODERATE", IF(Table8[[#This Row],[Weathersit]]=3, "GOOD")))</f>
        <v>BAD</v>
      </c>
      <c r="H79" s="64">
        <v>24</v>
      </c>
      <c r="I79" s="65" t="str">
        <f>IF(Table8[[#This Row],[Temp]]&lt;11, "COLD", IF(Table8[[#This Row],[Temp]]&lt;=25, "COMFORTABLE", "WARM"))</f>
        <v>COMFORTABLE</v>
      </c>
      <c r="J79" s="64">
        <v>0.21210000000000001</v>
      </c>
      <c r="K79" s="64">
        <v>0.44</v>
      </c>
      <c r="L79" s="66">
        <v>29.849999999999998</v>
      </c>
      <c r="M79" s="75" t="s">
        <v>81</v>
      </c>
      <c r="N79" s="64">
        <v>0</v>
      </c>
      <c r="O79" s="64">
        <v>9</v>
      </c>
      <c r="P79" s="64">
        <v>9</v>
      </c>
      <c r="Q79" s="64"/>
      <c r="R79" s="65" t="str">
        <f t="shared" si="1"/>
        <v>Week 1</v>
      </c>
      <c r="S79" s="65" t="str">
        <f>TEXT(Table8[[#This Row],[Date Day]],"mmm,YYYY")</f>
        <v>Jan,2011</v>
      </c>
    </row>
    <row r="80" spans="1:19" ht="15.6" x14ac:dyDescent="0.3">
      <c r="A80" s="62">
        <v>47</v>
      </c>
      <c r="B80" s="63">
        <v>40545</v>
      </c>
      <c r="C80" s="64">
        <v>23</v>
      </c>
      <c r="D80" s="64" t="b">
        <f>IF(COUNTIF(AU$36:AU$52,Table8[[#This Row],[Date Day]]) &gt; 0, TRUE, FALSE)</f>
        <v>0</v>
      </c>
      <c r="E80" s="64">
        <f t="shared" si="0"/>
        <v>7</v>
      </c>
      <c r="F80" s="64">
        <v>1</v>
      </c>
      <c r="G80" s="65" t="str">
        <f>IF(Table8[[#This Row],[Weathersit]]=1, "BAD", IF(Table8[[#This Row],[Weathersit]]=2, "MODERATE", IF(Table8[[#This Row],[Weathersit]]=3, "GOOD")))</f>
        <v>BAD</v>
      </c>
      <c r="H80" s="64">
        <v>22</v>
      </c>
      <c r="I80" s="65" t="str">
        <f>IF(Table8[[#This Row],[Temp]]&lt;11, "COLD", IF(Table8[[#This Row],[Temp]]&lt;=25, "COMFORTABLE", "WARM"))</f>
        <v>COMFORTABLE</v>
      </c>
      <c r="J80" s="64">
        <v>0.2273</v>
      </c>
      <c r="K80" s="64">
        <v>0.47</v>
      </c>
      <c r="L80" s="66">
        <v>16.420000000000002</v>
      </c>
      <c r="M80" s="75" t="s">
        <v>80</v>
      </c>
      <c r="N80" s="64">
        <v>0</v>
      </c>
      <c r="O80" s="64">
        <v>8</v>
      </c>
      <c r="P80" s="64">
        <v>8</v>
      </c>
      <c r="Q80" s="64"/>
      <c r="R80" s="65" t="str">
        <f t="shared" si="1"/>
        <v>Week 1</v>
      </c>
      <c r="S80" s="65" t="str">
        <f>TEXT(Table8[[#This Row],[Date Day]],"mmm,YYYY")</f>
        <v>Jan,2011</v>
      </c>
    </row>
    <row r="81" spans="1:19" ht="15.6" x14ac:dyDescent="0.3">
      <c r="A81" s="62">
        <v>48</v>
      </c>
      <c r="B81" s="63">
        <v>40546</v>
      </c>
      <c r="C81" s="64">
        <v>0</v>
      </c>
      <c r="D81" s="64" t="b">
        <f>IF(COUNTIF(AU$36:AU$52,Table8[[#This Row],[Date Day]]) &gt; 0, TRUE, FALSE)</f>
        <v>0</v>
      </c>
      <c r="E81" s="64">
        <f t="shared" si="0"/>
        <v>1</v>
      </c>
      <c r="F81" s="64">
        <v>1</v>
      </c>
      <c r="G81" s="65" t="str">
        <f>IF(Table8[[#This Row],[Weathersit]]=1, "BAD", IF(Table8[[#This Row],[Weathersit]]=2, "MODERATE", IF(Table8[[#This Row],[Weathersit]]=3, "GOOD")))</f>
        <v>BAD</v>
      </c>
      <c r="H81" s="64">
        <v>22</v>
      </c>
      <c r="I81" s="65" t="str">
        <f>IF(Table8[[#This Row],[Temp]]&lt;11, "COLD", IF(Table8[[#This Row],[Temp]]&lt;=25, "COMFORTABLE", "WARM"))</f>
        <v>COMFORTABLE</v>
      </c>
      <c r="J81" s="64">
        <v>0.19700000000000001</v>
      </c>
      <c r="K81" s="64">
        <v>0.44</v>
      </c>
      <c r="L81" s="66">
        <v>35.82</v>
      </c>
      <c r="M81" s="75" t="s">
        <v>84</v>
      </c>
      <c r="N81" s="64">
        <v>0</v>
      </c>
      <c r="O81" s="64">
        <v>5</v>
      </c>
      <c r="P81" s="64">
        <v>5</v>
      </c>
      <c r="Q81" s="64"/>
      <c r="R81" s="65" t="str">
        <f t="shared" si="1"/>
        <v>Week 1</v>
      </c>
      <c r="S81" s="65" t="str">
        <f>TEXT(Table8[[#This Row],[Date Day]],"mmm,YYYY")</f>
        <v>Jan,2011</v>
      </c>
    </row>
    <row r="82" spans="1:19" ht="15.6" x14ac:dyDescent="0.3">
      <c r="A82" s="62">
        <v>49</v>
      </c>
      <c r="B82" s="63">
        <v>40546</v>
      </c>
      <c r="C82" s="64">
        <v>1</v>
      </c>
      <c r="D82" s="64" t="b">
        <f>IF(COUNTIF(AU$36:AU$52,Table8[[#This Row],[Date Day]]) &gt; 0, TRUE, FALSE)</f>
        <v>0</v>
      </c>
      <c r="E82" s="64">
        <f t="shared" si="0"/>
        <v>1</v>
      </c>
      <c r="F82" s="64">
        <v>1</v>
      </c>
      <c r="G82" s="65" t="str">
        <f>IF(Table8[[#This Row],[Weathersit]]=1, "BAD", IF(Table8[[#This Row],[Weathersit]]=2, "MODERATE", IF(Table8[[#This Row],[Weathersit]]=3, "GOOD")))</f>
        <v>BAD</v>
      </c>
      <c r="H82" s="64">
        <v>20</v>
      </c>
      <c r="I82" s="65" t="str">
        <f>IF(Table8[[#This Row],[Temp]]&lt;11, "COLD", IF(Table8[[#This Row],[Temp]]&lt;=25, "COMFORTABLE", "WARM"))</f>
        <v>COMFORTABLE</v>
      </c>
      <c r="J82" s="64">
        <v>0.19993489148580987</v>
      </c>
      <c r="K82" s="64">
        <v>0.44</v>
      </c>
      <c r="L82" s="66">
        <v>41.79</v>
      </c>
      <c r="M82" s="75" t="s">
        <v>84</v>
      </c>
      <c r="N82" s="64">
        <v>0</v>
      </c>
      <c r="O82" s="64">
        <v>2</v>
      </c>
      <c r="P82" s="64">
        <v>2</v>
      </c>
      <c r="Q82" s="64"/>
      <c r="R82" s="65" t="str">
        <f t="shared" si="1"/>
        <v>Week 1</v>
      </c>
      <c r="S82" s="65" t="str">
        <f>TEXT(Table8[[#This Row],[Date Day]],"mmm,YYYY")</f>
        <v>Jan,2011</v>
      </c>
    </row>
    <row r="83" spans="1:19" ht="15.6" x14ac:dyDescent="0.3">
      <c r="A83" s="62">
        <v>50</v>
      </c>
      <c r="B83" s="63">
        <v>40546</v>
      </c>
      <c r="C83" s="64">
        <v>4</v>
      </c>
      <c r="D83" s="64" t="b">
        <f>IF(COUNTIF(AU$36:AU$52,Table8[[#This Row],[Date Day]]) &gt; 0, TRUE, FALSE)</f>
        <v>0</v>
      </c>
      <c r="E83" s="64">
        <f t="shared" si="0"/>
        <v>1</v>
      </c>
      <c r="F83" s="64">
        <v>1</v>
      </c>
      <c r="G83" s="65" t="str">
        <f>IF(Table8[[#This Row],[Weathersit]]=1, "BAD", IF(Table8[[#This Row],[Weathersit]]=2, "MODERATE", IF(Table8[[#This Row],[Weathersit]]=3, "GOOD")))</f>
        <v>BAD</v>
      </c>
      <c r="H83" s="64">
        <v>16</v>
      </c>
      <c r="I83" s="65" t="str">
        <f>IF(Table8[[#This Row],[Temp]]&lt;11, "COLD", IF(Table8[[#This Row],[Temp]]&lt;=25, "COMFORTABLE", "WARM"))</f>
        <v>COMFORTABLE</v>
      </c>
      <c r="J83" s="64">
        <v>0.13639999999999999</v>
      </c>
      <c r="K83" s="64">
        <v>0.47</v>
      </c>
      <c r="L83" s="66">
        <v>38.81</v>
      </c>
      <c r="M83" s="75" t="s">
        <v>84</v>
      </c>
      <c r="N83" s="64">
        <v>0</v>
      </c>
      <c r="O83" s="64">
        <v>1</v>
      </c>
      <c r="P83" s="64">
        <v>1</v>
      </c>
      <c r="Q83" s="64"/>
      <c r="R83" s="65" t="str">
        <f t="shared" si="1"/>
        <v>Week 1</v>
      </c>
      <c r="S83" s="65" t="str">
        <f>TEXT(Table8[[#This Row],[Date Day]],"mmm,YYYY")</f>
        <v>Jan,2011</v>
      </c>
    </row>
    <row r="84" spans="1:19" ht="15.6" x14ac:dyDescent="0.3">
      <c r="A84" s="62">
        <v>51</v>
      </c>
      <c r="B84" s="63">
        <v>40546</v>
      </c>
      <c r="C84" s="64">
        <v>5</v>
      </c>
      <c r="D84" s="64" t="b">
        <f>IF(COUNTIF(AU$36:AU$52,Table8[[#This Row],[Date Day]]) &gt; 0, TRUE, FALSE)</f>
        <v>0</v>
      </c>
      <c r="E84" s="64">
        <f t="shared" si="0"/>
        <v>1</v>
      </c>
      <c r="F84" s="64">
        <v>1</v>
      </c>
      <c r="G84" s="65" t="str">
        <f>IF(Table8[[#This Row],[Weathersit]]=1, "BAD", IF(Table8[[#This Row],[Weathersit]]=2, "MODERATE", IF(Table8[[#This Row],[Weathersit]]=3, "GOOD")))</f>
        <v>BAD</v>
      </c>
      <c r="H84" s="64">
        <v>16</v>
      </c>
      <c r="I84" s="65" t="str">
        <f>IF(Table8[[#This Row],[Temp]]&lt;11, "COLD", IF(Table8[[#This Row],[Temp]]&lt;=25, "COMFORTABLE", "WARM"))</f>
        <v>COMFORTABLE</v>
      </c>
      <c r="J84" s="64">
        <v>0.13639999999999999</v>
      </c>
      <c r="K84" s="64">
        <v>0.47</v>
      </c>
      <c r="L84" s="66">
        <v>28.360000000000003</v>
      </c>
      <c r="M84" s="75" t="s">
        <v>81</v>
      </c>
      <c r="N84" s="64">
        <v>0</v>
      </c>
      <c r="O84" s="64">
        <v>3</v>
      </c>
      <c r="P84" s="64">
        <v>3</v>
      </c>
      <c r="Q84" s="64"/>
      <c r="R84" s="65" t="str">
        <f t="shared" si="1"/>
        <v>Week 1</v>
      </c>
      <c r="S84" s="65" t="str">
        <f>TEXT(Table8[[#This Row],[Date Day]],"mmm,YYYY")</f>
        <v>Jan,2011</v>
      </c>
    </row>
    <row r="85" spans="1:19" ht="15.6" x14ac:dyDescent="0.3">
      <c r="A85" s="62">
        <v>52</v>
      </c>
      <c r="B85" s="63">
        <v>40546</v>
      </c>
      <c r="C85" s="64">
        <v>6</v>
      </c>
      <c r="D85" s="64" t="b">
        <f>IF(COUNTIF(AU$36:AU$52,Table8[[#This Row],[Date Day]]) &gt; 0, TRUE, FALSE)</f>
        <v>0</v>
      </c>
      <c r="E85" s="64">
        <f t="shared" si="0"/>
        <v>1</v>
      </c>
      <c r="F85" s="64">
        <v>1</v>
      </c>
      <c r="G85" s="65" t="str">
        <f>IF(Table8[[#This Row],[Weathersit]]=1, "BAD", IF(Table8[[#This Row],[Weathersit]]=2, "MODERATE", IF(Table8[[#This Row],[Weathersit]]=3, "GOOD")))</f>
        <v>BAD</v>
      </c>
      <c r="H85" s="64">
        <v>14.000000000000002</v>
      </c>
      <c r="I85" s="65" t="str">
        <f>IF(Table8[[#This Row],[Temp]]&lt;11, "COLD", IF(Table8[[#This Row],[Temp]]&lt;=25, "COMFORTABLE", "WARM"))</f>
        <v>COMFORTABLE</v>
      </c>
      <c r="J85" s="64">
        <v>0.1061</v>
      </c>
      <c r="K85" s="64">
        <v>0.5</v>
      </c>
      <c r="L85" s="66">
        <v>38.81</v>
      </c>
      <c r="M85" s="75" t="s">
        <v>84</v>
      </c>
      <c r="N85" s="64">
        <v>0</v>
      </c>
      <c r="O85" s="64">
        <v>30</v>
      </c>
      <c r="P85" s="64">
        <v>30</v>
      </c>
      <c r="Q85" s="64"/>
      <c r="R85" s="65" t="str">
        <f t="shared" si="1"/>
        <v>Week 1</v>
      </c>
      <c r="S85" s="65" t="str">
        <f>TEXT(Table8[[#This Row],[Date Day]],"mmm,YYYY")</f>
        <v>Jan,2011</v>
      </c>
    </row>
    <row r="86" spans="1:19" ht="15.6" x14ac:dyDescent="0.3">
      <c r="A86" s="62">
        <v>53</v>
      </c>
      <c r="B86" s="63">
        <v>40546</v>
      </c>
      <c r="C86" s="64">
        <v>7</v>
      </c>
      <c r="D86" s="64" t="b">
        <f>IF(COUNTIF(AU$36:AU$52,Table8[[#This Row],[Date Day]]) &gt; 0, TRUE, FALSE)</f>
        <v>0</v>
      </c>
      <c r="E86" s="64">
        <f t="shared" si="0"/>
        <v>1</v>
      </c>
      <c r="F86" s="64">
        <v>1</v>
      </c>
      <c r="G86" s="65" t="str">
        <f>IF(Table8[[#This Row],[Weathersit]]=1, "BAD", IF(Table8[[#This Row],[Weathersit]]=2, "MODERATE", IF(Table8[[#This Row],[Weathersit]]=3, "GOOD")))</f>
        <v>BAD</v>
      </c>
      <c r="H86" s="64">
        <v>14.000000000000002</v>
      </c>
      <c r="I86" s="65" t="str">
        <f>IF(Table8[[#This Row],[Temp]]&lt;11, "COLD", IF(Table8[[#This Row],[Temp]]&lt;=25, "COMFORTABLE", "WARM"))</f>
        <v>COMFORTABLE</v>
      </c>
      <c r="J86" s="64">
        <v>0.13639999999999999</v>
      </c>
      <c r="K86" s="64">
        <v>0.5</v>
      </c>
      <c r="L86" s="66">
        <v>19.400000000000002</v>
      </c>
      <c r="M86" s="75" t="s">
        <v>80</v>
      </c>
      <c r="N86" s="64">
        <v>1</v>
      </c>
      <c r="O86" s="64">
        <v>63</v>
      </c>
      <c r="P86" s="64">
        <v>64</v>
      </c>
      <c r="Q86" s="64"/>
      <c r="R86" s="65" t="str">
        <f t="shared" si="1"/>
        <v>Week 1</v>
      </c>
      <c r="S86" s="65" t="str">
        <f>TEXT(Table8[[#This Row],[Date Day]],"mmm,YYYY")</f>
        <v>Jan,2011</v>
      </c>
    </row>
    <row r="87" spans="1:19" ht="15.6" x14ac:dyDescent="0.3">
      <c r="A87" s="62">
        <v>54</v>
      </c>
      <c r="B87" s="63">
        <v>40546</v>
      </c>
      <c r="C87" s="64">
        <v>8</v>
      </c>
      <c r="D87" s="64" t="b">
        <f>IF(COUNTIF(AU$36:AU$52,Table8[[#This Row],[Date Day]]) &gt; 0, TRUE, FALSE)</f>
        <v>0</v>
      </c>
      <c r="E87" s="64">
        <f t="shared" si="0"/>
        <v>1</v>
      </c>
      <c r="F87" s="64">
        <v>1</v>
      </c>
      <c r="G87" s="65" t="str">
        <f>IF(Table8[[#This Row],[Weathersit]]=1, "BAD", IF(Table8[[#This Row],[Weathersit]]=2, "MODERATE", IF(Table8[[#This Row],[Weathersit]]=3, "GOOD")))</f>
        <v>BAD</v>
      </c>
      <c r="H87" s="64">
        <v>14.000000000000002</v>
      </c>
      <c r="I87" s="65" t="str">
        <f>IF(Table8[[#This Row],[Temp]]&lt;11, "COLD", IF(Table8[[#This Row],[Temp]]&lt;=25, "COMFORTABLE", "WARM"))</f>
        <v>COMFORTABLE</v>
      </c>
      <c r="J87" s="64">
        <v>0.1212</v>
      </c>
      <c r="K87" s="64">
        <v>0.5</v>
      </c>
      <c r="L87" s="66">
        <v>28.360000000000003</v>
      </c>
      <c r="M87" s="75" t="s">
        <v>81</v>
      </c>
      <c r="N87" s="64">
        <v>1</v>
      </c>
      <c r="O87" s="64">
        <v>153</v>
      </c>
      <c r="P87" s="64">
        <v>154</v>
      </c>
      <c r="Q87" s="64"/>
      <c r="R87" s="65" t="str">
        <f t="shared" si="1"/>
        <v>Week 1</v>
      </c>
      <c r="S87" s="65" t="str">
        <f>TEXT(Table8[[#This Row],[Date Day]],"mmm,YYYY")</f>
        <v>Jan,2011</v>
      </c>
    </row>
    <row r="88" spans="1:19" ht="15.6" x14ac:dyDescent="0.3">
      <c r="A88" s="62">
        <v>55</v>
      </c>
      <c r="B88" s="63">
        <v>40546</v>
      </c>
      <c r="C88" s="64">
        <v>9</v>
      </c>
      <c r="D88" s="64" t="b">
        <f>IF(COUNTIF(AU$36:AU$52,Table8[[#This Row],[Date Day]]) &gt; 0, TRUE, FALSE)</f>
        <v>0</v>
      </c>
      <c r="E88" s="64">
        <f t="shared" si="0"/>
        <v>1</v>
      </c>
      <c r="F88" s="64">
        <v>1</v>
      </c>
      <c r="G88" s="65" t="str">
        <f>IF(Table8[[#This Row],[Weathersit]]=1, "BAD", IF(Table8[[#This Row],[Weathersit]]=2, "MODERATE", IF(Table8[[#This Row],[Weathersit]]=3, "GOOD")))</f>
        <v>BAD</v>
      </c>
      <c r="H88" s="64">
        <v>16</v>
      </c>
      <c r="I88" s="65" t="str">
        <f>IF(Table8[[#This Row],[Temp]]&lt;11, "COLD", IF(Table8[[#This Row],[Temp]]&lt;=25, "COMFORTABLE", "WARM"))</f>
        <v>COMFORTABLE</v>
      </c>
      <c r="J88" s="64">
        <v>0.13639999999999999</v>
      </c>
      <c r="K88" s="64">
        <v>0.43</v>
      </c>
      <c r="L88" s="66">
        <v>38.81</v>
      </c>
      <c r="M88" s="75" t="s">
        <v>84</v>
      </c>
      <c r="N88" s="64">
        <v>7</v>
      </c>
      <c r="O88" s="64">
        <v>81</v>
      </c>
      <c r="P88" s="64">
        <v>88</v>
      </c>
      <c r="Q88" s="64"/>
      <c r="R88" s="65" t="str">
        <f t="shared" si="1"/>
        <v>Week 1</v>
      </c>
      <c r="S88" s="65" t="str">
        <f>TEXT(Table8[[#This Row],[Date Day]],"mmm,YYYY")</f>
        <v>Jan,2011</v>
      </c>
    </row>
    <row r="89" spans="1:19" ht="15.6" x14ac:dyDescent="0.3">
      <c r="A89" s="62">
        <v>56</v>
      </c>
      <c r="B89" s="63">
        <v>40546</v>
      </c>
      <c r="C89" s="64">
        <v>10</v>
      </c>
      <c r="D89" s="64" t="b">
        <f>IF(COUNTIF(AU$36:AU$52,Table8[[#This Row],[Date Day]]) &gt; 0, TRUE, FALSE)</f>
        <v>0</v>
      </c>
      <c r="E89" s="64">
        <f t="shared" si="0"/>
        <v>1</v>
      </c>
      <c r="F89" s="64">
        <v>1</v>
      </c>
      <c r="G89" s="65" t="str">
        <f>IF(Table8[[#This Row],[Weathersit]]=1, "BAD", IF(Table8[[#This Row],[Weathersit]]=2, "MODERATE", IF(Table8[[#This Row],[Weathersit]]=3, "GOOD")))</f>
        <v>BAD</v>
      </c>
      <c r="H89" s="64">
        <v>18</v>
      </c>
      <c r="I89" s="65" t="str">
        <f>IF(Table8[[#This Row],[Temp]]&lt;11, "COLD", IF(Table8[[#This Row],[Temp]]&lt;=25, "COMFORTABLE", "WARM"))</f>
        <v>COMFORTABLE</v>
      </c>
      <c r="J89" s="64">
        <v>0.16669999999999999</v>
      </c>
      <c r="K89" s="64">
        <v>0.43</v>
      </c>
      <c r="L89" s="66">
        <v>25.369999999999997</v>
      </c>
      <c r="M89" s="75" t="s">
        <v>81</v>
      </c>
      <c r="N89" s="64">
        <v>11</v>
      </c>
      <c r="O89" s="64">
        <v>33</v>
      </c>
      <c r="P89" s="64">
        <v>44</v>
      </c>
      <c r="Q89" s="64"/>
      <c r="R89" s="65" t="str">
        <f t="shared" si="1"/>
        <v>Week 1</v>
      </c>
      <c r="S89" s="65" t="str">
        <f>TEXT(Table8[[#This Row],[Date Day]],"mmm,YYYY")</f>
        <v>Jan,2011</v>
      </c>
    </row>
    <row r="90" spans="1:19" ht="15.6" x14ac:dyDescent="0.3">
      <c r="A90" s="62">
        <v>57</v>
      </c>
      <c r="B90" s="63">
        <v>40546</v>
      </c>
      <c r="C90" s="64">
        <v>11</v>
      </c>
      <c r="D90" s="64" t="b">
        <f>IF(COUNTIF(AU$36:AU$52,Table8[[#This Row],[Date Day]]) &gt; 0, TRUE, FALSE)</f>
        <v>0</v>
      </c>
      <c r="E90" s="64">
        <f t="shared" si="0"/>
        <v>1</v>
      </c>
      <c r="F90" s="64">
        <v>1</v>
      </c>
      <c r="G90" s="65" t="str">
        <f>IF(Table8[[#This Row],[Weathersit]]=1, "BAD", IF(Table8[[#This Row],[Weathersit]]=2, "MODERATE", IF(Table8[[#This Row],[Weathersit]]=3, "GOOD")))</f>
        <v>BAD</v>
      </c>
      <c r="H90" s="64">
        <v>20</v>
      </c>
      <c r="I90" s="65" t="str">
        <f>IF(Table8[[#This Row],[Temp]]&lt;11, "COLD", IF(Table8[[#This Row],[Temp]]&lt;=25, "COMFORTABLE", "WARM"))</f>
        <v>COMFORTABLE</v>
      </c>
      <c r="J90" s="64">
        <v>0.18179999999999999</v>
      </c>
      <c r="K90" s="64">
        <v>0.4</v>
      </c>
      <c r="L90" s="66">
        <v>32.840000000000003</v>
      </c>
      <c r="M90" s="75" t="s">
        <v>84</v>
      </c>
      <c r="N90" s="64">
        <v>10</v>
      </c>
      <c r="O90" s="64">
        <v>41</v>
      </c>
      <c r="P90" s="64">
        <v>51</v>
      </c>
      <c r="Q90" s="64"/>
      <c r="R90" s="65" t="str">
        <f t="shared" si="1"/>
        <v>Week 1</v>
      </c>
      <c r="S90" s="65" t="str">
        <f>TEXT(Table8[[#This Row],[Date Day]],"mmm,YYYY")</f>
        <v>Jan,2011</v>
      </c>
    </row>
    <row r="91" spans="1:19" ht="15.6" x14ac:dyDescent="0.3">
      <c r="A91" s="62">
        <v>58</v>
      </c>
      <c r="B91" s="63">
        <v>40546</v>
      </c>
      <c r="C91" s="64">
        <v>12</v>
      </c>
      <c r="D91" s="64" t="b">
        <f>IF(COUNTIF(AU$36:AU$52,Table8[[#This Row],[Date Day]]) &gt; 0, TRUE, FALSE)</f>
        <v>0</v>
      </c>
      <c r="E91" s="64">
        <f t="shared" si="0"/>
        <v>1</v>
      </c>
      <c r="F91" s="64">
        <v>1</v>
      </c>
      <c r="G91" s="65" t="str">
        <f>IF(Table8[[#This Row],[Weathersit]]=1, "BAD", IF(Table8[[#This Row],[Weathersit]]=2, "MODERATE", IF(Table8[[#This Row],[Weathersit]]=3, "GOOD")))</f>
        <v>BAD</v>
      </c>
      <c r="H91" s="64">
        <v>22</v>
      </c>
      <c r="I91" s="65" t="str">
        <f>IF(Table8[[#This Row],[Temp]]&lt;11, "COLD", IF(Table8[[#This Row],[Temp]]&lt;=25, "COMFORTABLE", "WARM"))</f>
        <v>COMFORTABLE</v>
      </c>
      <c r="J91" s="64">
        <v>0.21210000000000001</v>
      </c>
      <c r="K91" s="64">
        <v>0.35</v>
      </c>
      <c r="L91" s="66">
        <v>29.849999999999998</v>
      </c>
      <c r="M91" s="75" t="s">
        <v>81</v>
      </c>
      <c r="N91" s="64">
        <v>13</v>
      </c>
      <c r="O91" s="64">
        <v>48</v>
      </c>
      <c r="P91" s="64">
        <v>61</v>
      </c>
      <c r="Q91" s="64"/>
      <c r="R91" s="65" t="str">
        <f t="shared" si="1"/>
        <v>Week 1</v>
      </c>
      <c r="S91" s="65" t="str">
        <f>TEXT(Table8[[#This Row],[Date Day]],"mmm,YYYY")</f>
        <v>Jan,2011</v>
      </c>
    </row>
    <row r="92" spans="1:19" ht="15.6" x14ac:dyDescent="0.3">
      <c r="A92" s="62">
        <v>59</v>
      </c>
      <c r="B92" s="63">
        <v>40546</v>
      </c>
      <c r="C92" s="64">
        <v>13</v>
      </c>
      <c r="D92" s="64" t="b">
        <f>IF(COUNTIF(AU$36:AU$52,Table8[[#This Row],[Date Day]]) &gt; 0, TRUE, FALSE)</f>
        <v>0</v>
      </c>
      <c r="E92" s="64">
        <f t="shared" si="0"/>
        <v>1</v>
      </c>
      <c r="F92" s="64">
        <v>1</v>
      </c>
      <c r="G92" s="65" t="str">
        <f>IF(Table8[[#This Row],[Weathersit]]=1, "BAD", IF(Table8[[#This Row],[Weathersit]]=2, "MODERATE", IF(Table8[[#This Row],[Weathersit]]=3, "GOOD")))</f>
        <v>BAD</v>
      </c>
      <c r="H92" s="64">
        <v>24</v>
      </c>
      <c r="I92" s="65" t="str">
        <f>IF(Table8[[#This Row],[Temp]]&lt;11, "COLD", IF(Table8[[#This Row],[Temp]]&lt;=25, "COMFORTABLE", "WARM"))</f>
        <v>COMFORTABLE</v>
      </c>
      <c r="J92" s="64">
        <v>0.19993489148580987</v>
      </c>
      <c r="K92" s="64">
        <v>0.35</v>
      </c>
      <c r="L92" s="66">
        <v>28.360000000000003</v>
      </c>
      <c r="M92" s="75" t="s">
        <v>81</v>
      </c>
      <c r="N92" s="64">
        <v>8</v>
      </c>
      <c r="O92" s="64">
        <v>53</v>
      </c>
      <c r="P92" s="64">
        <v>61</v>
      </c>
      <c r="Q92" s="64"/>
      <c r="R92" s="65" t="str">
        <f t="shared" si="1"/>
        <v>Week 1</v>
      </c>
      <c r="S92" s="65" t="str">
        <f>TEXT(Table8[[#This Row],[Date Day]],"mmm,YYYY")</f>
        <v>Jan,2011</v>
      </c>
    </row>
    <row r="93" spans="1:19" ht="15.6" x14ac:dyDescent="0.3">
      <c r="A93" s="62">
        <v>60</v>
      </c>
      <c r="B93" s="63">
        <v>40546</v>
      </c>
      <c r="C93" s="64">
        <v>14</v>
      </c>
      <c r="D93" s="64" t="b">
        <f>IF(COUNTIF(AU$36:AU$52,Table8[[#This Row],[Date Day]]) &gt; 0, TRUE, FALSE)</f>
        <v>0</v>
      </c>
      <c r="E93" s="64">
        <f t="shared" si="0"/>
        <v>1</v>
      </c>
      <c r="F93" s="64">
        <v>1</v>
      </c>
      <c r="G93" s="65" t="str">
        <f>IF(Table8[[#This Row],[Weathersit]]=1, "BAD", IF(Table8[[#This Row],[Weathersit]]=2, "MODERATE", IF(Table8[[#This Row],[Weathersit]]=3, "GOOD")))</f>
        <v>BAD</v>
      </c>
      <c r="H93" s="64">
        <v>26</v>
      </c>
      <c r="I93" s="65" t="str">
        <f>IF(Table8[[#This Row],[Temp]]&lt;11, "COLD", IF(Table8[[#This Row],[Temp]]&lt;=25, "COMFORTABLE", "WARM"))</f>
        <v>WARM</v>
      </c>
      <c r="J93" s="64">
        <v>0.2424</v>
      </c>
      <c r="K93" s="64">
        <v>0.3</v>
      </c>
      <c r="L93" s="66">
        <v>28.360000000000003</v>
      </c>
      <c r="M93" s="75" t="s">
        <v>81</v>
      </c>
      <c r="N93" s="64">
        <v>11</v>
      </c>
      <c r="O93" s="64">
        <v>66</v>
      </c>
      <c r="P93" s="64">
        <v>77</v>
      </c>
      <c r="Q93" s="64"/>
      <c r="R93" s="65" t="str">
        <f t="shared" si="1"/>
        <v>Week 1</v>
      </c>
      <c r="S93" s="65" t="str">
        <f>TEXT(Table8[[#This Row],[Date Day]],"mmm,YYYY")</f>
        <v>Jan,2011</v>
      </c>
    </row>
    <row r="94" spans="1:19" ht="15.6" x14ac:dyDescent="0.3">
      <c r="A94" s="62">
        <v>61</v>
      </c>
      <c r="B94" s="63">
        <v>40546</v>
      </c>
      <c r="C94" s="64">
        <v>15</v>
      </c>
      <c r="D94" s="64" t="b">
        <f>IF(COUNTIF(AU$36:AU$52,Table8[[#This Row],[Date Day]]) &gt; 0, TRUE, FALSE)</f>
        <v>0</v>
      </c>
      <c r="E94" s="64">
        <f t="shared" si="0"/>
        <v>1</v>
      </c>
      <c r="F94" s="64">
        <v>1</v>
      </c>
      <c r="G94" s="65" t="str">
        <f>IF(Table8[[#This Row],[Weathersit]]=1, "BAD", IF(Table8[[#This Row],[Weathersit]]=2, "MODERATE", IF(Table8[[#This Row],[Weathersit]]=3, "GOOD")))</f>
        <v>BAD</v>
      </c>
      <c r="H94" s="64">
        <v>26</v>
      </c>
      <c r="I94" s="65" t="str">
        <f>IF(Table8[[#This Row],[Temp]]&lt;11, "COLD", IF(Table8[[#This Row],[Temp]]&lt;=25, "COMFORTABLE", "WARM"))</f>
        <v>WARM</v>
      </c>
      <c r="J94" s="64">
        <v>0.2424</v>
      </c>
      <c r="K94" s="64">
        <v>0.3</v>
      </c>
      <c r="L94" s="66">
        <v>25.369999999999997</v>
      </c>
      <c r="M94" s="75" t="s">
        <v>81</v>
      </c>
      <c r="N94" s="64">
        <v>14</v>
      </c>
      <c r="O94" s="64">
        <v>58</v>
      </c>
      <c r="P94" s="64">
        <v>72</v>
      </c>
      <c r="Q94" s="64"/>
      <c r="R94" s="65" t="str">
        <f t="shared" si="1"/>
        <v>Week 1</v>
      </c>
      <c r="S94" s="65" t="str">
        <f>TEXT(Table8[[#This Row],[Date Day]],"mmm,YYYY")</f>
        <v>Jan,2011</v>
      </c>
    </row>
    <row r="95" spans="1:19" ht="15.6" x14ac:dyDescent="0.3">
      <c r="A95" s="62">
        <v>62</v>
      </c>
      <c r="B95" s="63">
        <v>40546</v>
      </c>
      <c r="C95" s="64">
        <v>16</v>
      </c>
      <c r="D95" s="64" t="b">
        <f>IF(COUNTIF(AU$36:AU$52,Table8[[#This Row],[Date Day]]) &gt; 0, TRUE, FALSE)</f>
        <v>0</v>
      </c>
      <c r="E95" s="64">
        <f t="shared" si="0"/>
        <v>1</v>
      </c>
      <c r="F95" s="64">
        <v>1</v>
      </c>
      <c r="G95" s="65" t="str">
        <f>IF(Table8[[#This Row],[Weathersit]]=1, "BAD", IF(Table8[[#This Row],[Weathersit]]=2, "MODERATE", IF(Table8[[#This Row],[Weathersit]]=3, "GOOD")))</f>
        <v>BAD</v>
      </c>
      <c r="H95" s="64">
        <v>26</v>
      </c>
      <c r="I95" s="65" t="str">
        <f>IF(Table8[[#This Row],[Temp]]&lt;11, "COLD", IF(Table8[[#This Row],[Temp]]&lt;=25, "COMFORTABLE", "WARM"))</f>
        <v>WARM</v>
      </c>
      <c r="J95" s="64">
        <v>0.2424</v>
      </c>
      <c r="K95" s="64">
        <v>0.3</v>
      </c>
      <c r="L95" s="66">
        <v>25.369999999999997</v>
      </c>
      <c r="M95" s="75" t="s">
        <v>81</v>
      </c>
      <c r="N95" s="64">
        <v>9</v>
      </c>
      <c r="O95" s="64">
        <v>67</v>
      </c>
      <c r="P95" s="64">
        <v>76</v>
      </c>
      <c r="Q95" s="64"/>
      <c r="R95" s="65" t="str">
        <f t="shared" si="1"/>
        <v>Week 1</v>
      </c>
      <c r="S95" s="65" t="str">
        <f>TEXT(Table8[[#This Row],[Date Day]],"mmm,YYYY")</f>
        <v>Jan,2011</v>
      </c>
    </row>
    <row r="96" spans="1:19" ht="15.6" x14ac:dyDescent="0.3">
      <c r="A96" s="62">
        <v>63</v>
      </c>
      <c r="B96" s="63">
        <v>40546</v>
      </c>
      <c r="C96" s="64">
        <v>17</v>
      </c>
      <c r="D96" s="64" t="b">
        <f>IF(COUNTIF(AU$36:AU$52,Table8[[#This Row],[Date Day]]) &gt; 0, TRUE, FALSE)</f>
        <v>0</v>
      </c>
      <c r="E96" s="64">
        <f t="shared" si="0"/>
        <v>1</v>
      </c>
      <c r="F96" s="64">
        <v>1</v>
      </c>
      <c r="G96" s="65" t="str">
        <f>IF(Table8[[#This Row],[Weathersit]]=1, "BAD", IF(Table8[[#This Row],[Weathersit]]=2, "MODERATE", IF(Table8[[#This Row],[Weathersit]]=3, "GOOD")))</f>
        <v>BAD</v>
      </c>
      <c r="H96" s="64">
        <v>24</v>
      </c>
      <c r="I96" s="65" t="str">
        <f>IF(Table8[[#This Row],[Temp]]&lt;11, "COLD", IF(Table8[[#This Row],[Temp]]&lt;=25, "COMFORTABLE", "WARM"))</f>
        <v>COMFORTABLE</v>
      </c>
      <c r="J96" s="64">
        <v>0.2273</v>
      </c>
      <c r="K96" s="64">
        <v>0.3</v>
      </c>
      <c r="L96" s="66">
        <v>22.39</v>
      </c>
      <c r="M96" s="75" t="s">
        <v>81</v>
      </c>
      <c r="N96" s="64">
        <v>11</v>
      </c>
      <c r="O96" s="64">
        <v>146</v>
      </c>
      <c r="P96" s="64">
        <v>157</v>
      </c>
      <c r="Q96" s="64"/>
      <c r="R96" s="65" t="str">
        <f t="shared" si="1"/>
        <v>Week 1</v>
      </c>
      <c r="S96" s="65" t="str">
        <f>TEXT(Table8[[#This Row],[Date Day]],"mmm,YYYY")</f>
        <v>Jan,2011</v>
      </c>
    </row>
    <row r="97" spans="1:19" ht="15.6" x14ac:dyDescent="0.3">
      <c r="A97" s="62">
        <v>64</v>
      </c>
      <c r="B97" s="63">
        <v>40546</v>
      </c>
      <c r="C97" s="64">
        <v>18</v>
      </c>
      <c r="D97" s="64" t="b">
        <f>IF(COUNTIF(AU$36:AU$52,Table8[[#This Row],[Date Day]]) &gt; 0, TRUE, FALSE)</f>
        <v>0</v>
      </c>
      <c r="E97" s="64">
        <f t="shared" si="0"/>
        <v>1</v>
      </c>
      <c r="F97" s="64">
        <v>1</v>
      </c>
      <c r="G97" s="65" t="str">
        <f>IF(Table8[[#This Row],[Weathersit]]=1, "BAD", IF(Table8[[#This Row],[Weathersit]]=2, "MODERATE", IF(Table8[[#This Row],[Weathersit]]=3, "GOOD")))</f>
        <v>BAD</v>
      </c>
      <c r="H97" s="64">
        <v>24</v>
      </c>
      <c r="I97" s="65" t="str">
        <f>IF(Table8[[#This Row],[Temp]]&lt;11, "COLD", IF(Table8[[#This Row],[Temp]]&lt;=25, "COMFORTABLE", "WARM"))</f>
        <v>COMFORTABLE</v>
      </c>
      <c r="J97" s="64">
        <v>0.2576</v>
      </c>
      <c r="K97" s="64">
        <v>0.32</v>
      </c>
      <c r="L97" s="66">
        <v>10.45</v>
      </c>
      <c r="M97" s="75" t="s">
        <v>80</v>
      </c>
      <c r="N97" s="64">
        <v>9</v>
      </c>
      <c r="O97" s="64">
        <v>148</v>
      </c>
      <c r="P97" s="64">
        <v>157</v>
      </c>
      <c r="Q97" s="64"/>
      <c r="R97" s="65" t="str">
        <f t="shared" si="1"/>
        <v>Week 1</v>
      </c>
      <c r="S97" s="65" t="str">
        <f>TEXT(Table8[[#This Row],[Date Day]],"mmm,YYYY")</f>
        <v>Jan,2011</v>
      </c>
    </row>
    <row r="98" spans="1:19" ht="15.6" x14ac:dyDescent="0.3">
      <c r="A98" s="62">
        <v>65</v>
      </c>
      <c r="B98" s="63">
        <v>40546</v>
      </c>
      <c r="C98" s="64">
        <v>19</v>
      </c>
      <c r="D98" s="64" t="b">
        <f>IF(COUNTIF(AU$36:AU$52,Table8[[#This Row],[Date Day]]) &gt; 0, TRUE, FALSE)</f>
        <v>0</v>
      </c>
      <c r="E98" s="64">
        <f t="shared" ref="E98:E161" si="2">WEEKDAY(B:B,2)</f>
        <v>1</v>
      </c>
      <c r="F98" s="64">
        <v>1</v>
      </c>
      <c r="G98" s="65" t="str">
        <f>IF(Table8[[#This Row],[Weathersit]]=1, "BAD", IF(Table8[[#This Row],[Weathersit]]=2, "MODERATE", IF(Table8[[#This Row],[Weathersit]]=3, "GOOD")))</f>
        <v>BAD</v>
      </c>
      <c r="H98" s="64">
        <v>20</v>
      </c>
      <c r="I98" s="65" t="str">
        <f>IF(Table8[[#This Row],[Temp]]&lt;11, "COLD", IF(Table8[[#This Row],[Temp]]&lt;=25, "COMFORTABLE", "WARM"))</f>
        <v>COMFORTABLE</v>
      </c>
      <c r="J98" s="64">
        <v>0.2576</v>
      </c>
      <c r="K98" s="64">
        <v>0.47</v>
      </c>
      <c r="L98" s="66">
        <v>20.485098360655737</v>
      </c>
      <c r="M98" s="75" t="s">
        <v>81</v>
      </c>
      <c r="N98" s="64">
        <v>8</v>
      </c>
      <c r="O98" s="64">
        <v>102</v>
      </c>
      <c r="P98" s="64">
        <v>110</v>
      </c>
      <c r="Q98" s="64"/>
      <c r="R98" s="65" t="str">
        <f t="shared" ref="R98:R161" si="3">"Week " &amp; INT((DAY(B98)-1)/7)+1</f>
        <v>Week 1</v>
      </c>
      <c r="S98" s="65" t="str">
        <f>TEXT(Table8[[#This Row],[Date Day]],"mmm,YYYY")</f>
        <v>Jan,2011</v>
      </c>
    </row>
    <row r="99" spans="1:19" ht="15.6" x14ac:dyDescent="0.3">
      <c r="A99" s="62">
        <v>66</v>
      </c>
      <c r="B99" s="63">
        <v>40546</v>
      </c>
      <c r="C99" s="64">
        <v>20</v>
      </c>
      <c r="D99" s="64" t="b">
        <f>IF(COUNTIF(AU$36:AU$52,Table8[[#This Row],[Date Day]]) &gt; 0, TRUE, FALSE)</f>
        <v>0</v>
      </c>
      <c r="E99" s="64">
        <f t="shared" si="2"/>
        <v>1</v>
      </c>
      <c r="F99" s="64">
        <v>1</v>
      </c>
      <c r="G99" s="65" t="str">
        <f>IF(Table8[[#This Row],[Weathersit]]=1, "BAD", IF(Table8[[#This Row],[Weathersit]]=2, "MODERATE", IF(Table8[[#This Row],[Weathersit]]=3, "GOOD")))</f>
        <v>BAD</v>
      </c>
      <c r="H99" s="64">
        <v>20</v>
      </c>
      <c r="I99" s="65" t="str">
        <f>IF(Table8[[#This Row],[Temp]]&lt;11, "COLD", IF(Table8[[#This Row],[Temp]]&lt;=25, "COMFORTABLE", "WARM"))</f>
        <v>COMFORTABLE</v>
      </c>
      <c r="J99" s="64">
        <v>0.19993489148580987</v>
      </c>
      <c r="K99" s="64">
        <v>0.47</v>
      </c>
      <c r="L99" s="66">
        <v>10.45</v>
      </c>
      <c r="M99" s="75" t="s">
        <v>80</v>
      </c>
      <c r="N99" s="64">
        <v>3</v>
      </c>
      <c r="O99" s="64">
        <v>49</v>
      </c>
      <c r="P99" s="64">
        <v>52</v>
      </c>
      <c r="Q99" s="64"/>
      <c r="R99" s="65" t="str">
        <f t="shared" si="3"/>
        <v>Week 1</v>
      </c>
      <c r="S99" s="65" t="str">
        <f>TEXT(Table8[[#This Row],[Date Day]],"mmm,YYYY")</f>
        <v>Jan,2011</v>
      </c>
    </row>
    <row r="100" spans="1:19" ht="15.6" x14ac:dyDescent="0.3">
      <c r="A100" s="62">
        <v>67</v>
      </c>
      <c r="B100" s="63">
        <v>40546</v>
      </c>
      <c r="C100" s="64">
        <v>21</v>
      </c>
      <c r="D100" s="64" t="b">
        <f>IF(COUNTIF(AU$36:AU$52,Table8[[#This Row],[Date Day]]) &gt; 0, TRUE, FALSE)</f>
        <v>0</v>
      </c>
      <c r="E100" s="64">
        <f t="shared" si="2"/>
        <v>1</v>
      </c>
      <c r="F100" s="64">
        <v>1</v>
      </c>
      <c r="G100" s="65" t="str">
        <f>IF(Table8[[#This Row],[Weathersit]]=1, "BAD", IF(Table8[[#This Row],[Weathersit]]=2, "MODERATE", IF(Table8[[#This Row],[Weathersit]]=3, "GOOD")))</f>
        <v>BAD</v>
      </c>
      <c r="H100" s="64">
        <v>18</v>
      </c>
      <c r="I100" s="65" t="str">
        <f>IF(Table8[[#This Row],[Temp]]&lt;11, "COLD", IF(Table8[[#This Row],[Temp]]&lt;=25, "COMFORTABLE", "WARM"))</f>
        <v>COMFORTABLE</v>
      </c>
      <c r="J100" s="64">
        <v>0.19700000000000001</v>
      </c>
      <c r="K100" s="64">
        <v>0.64</v>
      </c>
      <c r="L100" s="66">
        <v>13.43</v>
      </c>
      <c r="M100" s="75" t="s">
        <v>80</v>
      </c>
      <c r="N100" s="64">
        <v>3</v>
      </c>
      <c r="O100" s="64">
        <v>49</v>
      </c>
      <c r="P100" s="64">
        <v>52</v>
      </c>
      <c r="Q100" s="64"/>
      <c r="R100" s="65" t="str">
        <f t="shared" si="3"/>
        <v>Week 1</v>
      </c>
      <c r="S100" s="65" t="str">
        <f>TEXT(Table8[[#This Row],[Date Day]],"mmm,YYYY")</f>
        <v>Jan,2011</v>
      </c>
    </row>
    <row r="101" spans="1:19" ht="15.6" x14ac:dyDescent="0.3">
      <c r="A101" s="62">
        <v>68</v>
      </c>
      <c r="B101" s="63">
        <v>40546</v>
      </c>
      <c r="C101" s="64">
        <v>22</v>
      </c>
      <c r="D101" s="64" t="b">
        <f>IF(COUNTIF(AU$36:AU$52,Table8[[#This Row],[Date Day]]) &gt; 0, TRUE, FALSE)</f>
        <v>0</v>
      </c>
      <c r="E101" s="64">
        <f t="shared" si="2"/>
        <v>1</v>
      </c>
      <c r="F101" s="64">
        <v>1</v>
      </c>
      <c r="G101" s="65" t="str">
        <f>IF(Table8[[#This Row],[Weathersit]]=1, "BAD", IF(Table8[[#This Row],[Weathersit]]=2, "MODERATE", IF(Table8[[#This Row],[Weathersit]]=3, "GOOD")))</f>
        <v>BAD</v>
      </c>
      <c r="H101" s="64">
        <v>14.000000000000002</v>
      </c>
      <c r="I101" s="65" t="str">
        <f>IF(Table8[[#This Row],[Temp]]&lt;11, "COLD", IF(Table8[[#This Row],[Temp]]&lt;=25, "COMFORTABLE", "WARM"))</f>
        <v>COMFORTABLE</v>
      </c>
      <c r="J101" s="64">
        <v>0.1515</v>
      </c>
      <c r="K101" s="64">
        <v>0.69</v>
      </c>
      <c r="L101" s="66">
        <v>13.43</v>
      </c>
      <c r="M101" s="75" t="s">
        <v>80</v>
      </c>
      <c r="N101" s="64">
        <v>0</v>
      </c>
      <c r="O101" s="64">
        <v>20</v>
      </c>
      <c r="P101" s="64">
        <v>20</v>
      </c>
      <c r="Q101" s="64"/>
      <c r="R101" s="65" t="str">
        <f t="shared" si="3"/>
        <v>Week 1</v>
      </c>
      <c r="S101" s="65" t="str">
        <f>TEXT(Table8[[#This Row],[Date Day]],"mmm,YYYY")</f>
        <v>Jan,2011</v>
      </c>
    </row>
    <row r="102" spans="1:19" ht="15.6" x14ac:dyDescent="0.3">
      <c r="A102" s="62">
        <v>69</v>
      </c>
      <c r="B102" s="63">
        <v>40546</v>
      </c>
      <c r="C102" s="64">
        <v>23</v>
      </c>
      <c r="D102" s="64" t="b">
        <f>IF(COUNTIF(AU$36:AU$52,Table8[[#This Row],[Date Day]]) &gt; 0, TRUE, FALSE)</f>
        <v>0</v>
      </c>
      <c r="E102" s="64">
        <f t="shared" si="2"/>
        <v>1</v>
      </c>
      <c r="F102" s="64">
        <v>1</v>
      </c>
      <c r="G102" s="65" t="str">
        <f>IF(Table8[[#This Row],[Weathersit]]=1, "BAD", IF(Table8[[#This Row],[Weathersit]]=2, "MODERATE", IF(Table8[[#This Row],[Weathersit]]=3, "GOOD")))</f>
        <v>BAD</v>
      </c>
      <c r="H102" s="64">
        <v>18</v>
      </c>
      <c r="I102" s="65" t="str">
        <f>IF(Table8[[#This Row],[Temp]]&lt;11, "COLD", IF(Table8[[#This Row],[Temp]]&lt;=25, "COMFORTABLE", "WARM"))</f>
        <v>COMFORTABLE</v>
      </c>
      <c r="J102" s="64">
        <v>0.21210000000000001</v>
      </c>
      <c r="K102" s="64">
        <v>0.55000000000000004</v>
      </c>
      <c r="L102" s="66">
        <v>10.45</v>
      </c>
      <c r="M102" s="75" t="s">
        <v>80</v>
      </c>
      <c r="N102" s="64">
        <v>1</v>
      </c>
      <c r="O102" s="64">
        <v>11</v>
      </c>
      <c r="P102" s="64">
        <v>12</v>
      </c>
      <c r="Q102" s="64"/>
      <c r="R102" s="65" t="str">
        <f t="shared" si="3"/>
        <v>Week 1</v>
      </c>
      <c r="S102" s="65" t="str">
        <f>TEXT(Table8[[#This Row],[Date Day]],"mmm,YYYY")</f>
        <v>Jan,2011</v>
      </c>
    </row>
    <row r="103" spans="1:19" ht="15.6" x14ac:dyDescent="0.3">
      <c r="A103" s="62">
        <v>70</v>
      </c>
      <c r="B103" s="63">
        <v>40547</v>
      </c>
      <c r="C103" s="64">
        <v>0</v>
      </c>
      <c r="D103" s="64" t="b">
        <f>IF(COUNTIF(AU$36:AU$52,Table8[[#This Row],[Date Day]]) &gt; 0, TRUE, FALSE)</f>
        <v>0</v>
      </c>
      <c r="E103" s="64">
        <f t="shared" si="2"/>
        <v>2</v>
      </c>
      <c r="F103" s="64">
        <v>1</v>
      </c>
      <c r="G103" s="65" t="str">
        <f>IF(Table8[[#This Row],[Weathersit]]=1, "BAD", IF(Table8[[#This Row],[Weathersit]]=2, "MODERATE", IF(Table8[[#This Row],[Weathersit]]=3, "GOOD")))</f>
        <v>BAD</v>
      </c>
      <c r="H103" s="64">
        <v>16</v>
      </c>
      <c r="I103" s="65" t="str">
        <f>IF(Table8[[#This Row],[Temp]]&lt;11, "COLD", IF(Table8[[#This Row],[Temp]]&lt;=25, "COMFORTABLE", "WARM"))</f>
        <v>COMFORTABLE</v>
      </c>
      <c r="J103" s="64">
        <v>0.19993489148580987</v>
      </c>
      <c r="K103" s="64">
        <v>0.55000000000000004</v>
      </c>
      <c r="L103" s="66">
        <v>10.45</v>
      </c>
      <c r="M103" s="75" t="s">
        <v>80</v>
      </c>
      <c r="N103" s="64">
        <v>0</v>
      </c>
      <c r="O103" s="64">
        <v>5</v>
      </c>
      <c r="P103" s="64">
        <v>5</v>
      </c>
      <c r="Q103" s="64"/>
      <c r="R103" s="65" t="str">
        <f t="shared" si="3"/>
        <v>Week 1</v>
      </c>
      <c r="S103" s="65" t="str">
        <f>TEXT(Table8[[#This Row],[Date Day]],"mmm,YYYY")</f>
        <v>Jan,2011</v>
      </c>
    </row>
    <row r="104" spans="1:19" ht="15.6" x14ac:dyDescent="0.3">
      <c r="A104" s="62">
        <v>71</v>
      </c>
      <c r="B104" s="63">
        <v>40547</v>
      </c>
      <c r="C104" s="64">
        <v>1</v>
      </c>
      <c r="D104" s="64" t="b">
        <f>IF(COUNTIF(AU$36:AU$52,Table8[[#This Row],[Date Day]]) &gt; 0, TRUE, FALSE)</f>
        <v>0</v>
      </c>
      <c r="E104" s="64">
        <f t="shared" si="2"/>
        <v>2</v>
      </c>
      <c r="F104" s="64">
        <v>1</v>
      </c>
      <c r="G104" s="65" t="str">
        <f>IF(Table8[[#This Row],[Weathersit]]=1, "BAD", IF(Table8[[#This Row],[Weathersit]]=2, "MODERATE", IF(Table8[[#This Row],[Weathersit]]=3, "GOOD")))</f>
        <v>BAD</v>
      </c>
      <c r="H104" s="64">
        <v>16</v>
      </c>
      <c r="I104" s="65" t="str">
        <f>IF(Table8[[#This Row],[Temp]]&lt;11, "COLD", IF(Table8[[#This Row],[Temp]]&lt;=25, "COMFORTABLE", "WARM"))</f>
        <v>COMFORTABLE</v>
      </c>
      <c r="J104" s="64">
        <v>0.18179999999999999</v>
      </c>
      <c r="K104" s="64">
        <v>0.59</v>
      </c>
      <c r="L104" s="66">
        <v>10.45</v>
      </c>
      <c r="M104" s="75" t="s">
        <v>80</v>
      </c>
      <c r="N104" s="64">
        <v>0</v>
      </c>
      <c r="O104" s="64">
        <v>2</v>
      </c>
      <c r="P104" s="64">
        <v>2</v>
      </c>
      <c r="Q104" s="64"/>
      <c r="R104" s="65" t="str">
        <f t="shared" si="3"/>
        <v>Week 1</v>
      </c>
      <c r="S104" s="65" t="str">
        <f>TEXT(Table8[[#This Row],[Date Day]],"mmm,YYYY")</f>
        <v>Jan,2011</v>
      </c>
    </row>
    <row r="105" spans="1:19" ht="15.6" x14ac:dyDescent="0.3">
      <c r="A105" s="62">
        <v>72</v>
      </c>
      <c r="B105" s="63">
        <v>40547</v>
      </c>
      <c r="C105" s="64">
        <v>2</v>
      </c>
      <c r="D105" s="64" t="b">
        <f>IF(COUNTIF(AU$36:AU$52,Table8[[#This Row],[Date Day]]) &gt; 0, TRUE, FALSE)</f>
        <v>0</v>
      </c>
      <c r="E105" s="64">
        <f t="shared" si="2"/>
        <v>2</v>
      </c>
      <c r="F105" s="64">
        <v>1</v>
      </c>
      <c r="G105" s="65" t="str">
        <f>IF(Table8[[#This Row],[Weathersit]]=1, "BAD", IF(Table8[[#This Row],[Weathersit]]=2, "MODERATE", IF(Table8[[#This Row],[Weathersit]]=3, "GOOD")))</f>
        <v>BAD</v>
      </c>
      <c r="H105" s="64">
        <v>14.000000000000002</v>
      </c>
      <c r="I105" s="65" t="str">
        <f>IF(Table8[[#This Row],[Temp]]&lt;11, "COLD", IF(Table8[[#This Row],[Temp]]&lt;=25, "COMFORTABLE", "WARM"))</f>
        <v>COMFORTABLE</v>
      </c>
      <c r="J105" s="64">
        <v>0.1515</v>
      </c>
      <c r="K105" s="64">
        <v>0.63</v>
      </c>
      <c r="L105" s="66">
        <v>13.43</v>
      </c>
      <c r="M105" s="75" t="s">
        <v>80</v>
      </c>
      <c r="N105" s="64">
        <v>0</v>
      </c>
      <c r="O105" s="64">
        <v>1</v>
      </c>
      <c r="P105" s="64">
        <v>1</v>
      </c>
      <c r="Q105" s="64"/>
      <c r="R105" s="65" t="str">
        <f t="shared" si="3"/>
        <v>Week 1</v>
      </c>
      <c r="S105" s="65" t="str">
        <f>TEXT(Table8[[#This Row],[Date Day]],"mmm,YYYY")</f>
        <v>Jan,2011</v>
      </c>
    </row>
    <row r="106" spans="1:19" ht="15.6" x14ac:dyDescent="0.3">
      <c r="A106" s="62">
        <v>73</v>
      </c>
      <c r="B106" s="63">
        <v>40547</v>
      </c>
      <c r="C106" s="64">
        <v>4</v>
      </c>
      <c r="D106" s="64" t="b">
        <f>IF(COUNTIF(AU$36:AU$52,Table8[[#This Row],[Date Day]]) &gt; 0, TRUE, FALSE)</f>
        <v>0</v>
      </c>
      <c r="E106" s="64">
        <f t="shared" si="2"/>
        <v>2</v>
      </c>
      <c r="F106" s="64">
        <v>1</v>
      </c>
      <c r="G106" s="65" t="str">
        <f>IF(Table8[[#This Row],[Weathersit]]=1, "BAD", IF(Table8[[#This Row],[Weathersit]]=2, "MODERATE", IF(Table8[[#This Row],[Weathersit]]=3, "GOOD")))</f>
        <v>BAD</v>
      </c>
      <c r="H106" s="64">
        <v>14.000000000000002</v>
      </c>
      <c r="I106" s="65" t="str">
        <f>IF(Table8[[#This Row],[Temp]]&lt;11, "COLD", IF(Table8[[#This Row],[Temp]]&lt;=25, "COMFORTABLE", "WARM"))</f>
        <v>COMFORTABLE</v>
      </c>
      <c r="J106" s="64">
        <v>0.18179999999999999</v>
      </c>
      <c r="K106" s="64">
        <v>0.63</v>
      </c>
      <c r="L106" s="66">
        <v>8.9599999999999991</v>
      </c>
      <c r="M106" s="75" t="s">
        <v>80</v>
      </c>
      <c r="N106" s="64">
        <v>0</v>
      </c>
      <c r="O106" s="64">
        <v>2</v>
      </c>
      <c r="P106" s="64">
        <v>2</v>
      </c>
      <c r="Q106" s="64"/>
      <c r="R106" s="65" t="str">
        <f t="shared" si="3"/>
        <v>Week 1</v>
      </c>
      <c r="S106" s="65" t="str">
        <f>TEXT(Table8[[#This Row],[Date Day]],"mmm,YYYY")</f>
        <v>Jan,2011</v>
      </c>
    </row>
    <row r="107" spans="1:19" ht="15.6" x14ac:dyDescent="0.3">
      <c r="A107" s="62">
        <v>74</v>
      </c>
      <c r="B107" s="63">
        <v>40547</v>
      </c>
      <c r="C107" s="64">
        <v>5</v>
      </c>
      <c r="D107" s="64" t="b">
        <f>IF(COUNTIF(AU$36:AU$52,Table8[[#This Row],[Date Day]]) &gt; 0, TRUE, FALSE)</f>
        <v>0</v>
      </c>
      <c r="E107" s="64">
        <f t="shared" si="2"/>
        <v>2</v>
      </c>
      <c r="F107" s="64">
        <v>1</v>
      </c>
      <c r="G107" s="65" t="str">
        <f>IF(Table8[[#This Row],[Weathersit]]=1, "BAD", IF(Table8[[#This Row],[Weathersit]]=2, "MODERATE", IF(Table8[[#This Row],[Weathersit]]=3, "GOOD")))</f>
        <v>BAD</v>
      </c>
      <c r="H107" s="64">
        <v>12</v>
      </c>
      <c r="I107" s="65" t="str">
        <f>IF(Table8[[#This Row],[Temp]]&lt;11, "COLD", IF(Table8[[#This Row],[Temp]]&lt;=25, "COMFORTABLE", "WARM"))</f>
        <v>COMFORTABLE</v>
      </c>
      <c r="J107" s="64">
        <v>0.1515</v>
      </c>
      <c r="K107" s="64">
        <v>0.68</v>
      </c>
      <c r="L107" s="66">
        <v>10.45</v>
      </c>
      <c r="M107" s="75" t="s">
        <v>80</v>
      </c>
      <c r="N107" s="64">
        <v>0</v>
      </c>
      <c r="O107" s="64">
        <v>4</v>
      </c>
      <c r="P107" s="64">
        <v>4</v>
      </c>
      <c r="Q107" s="64"/>
      <c r="R107" s="65" t="str">
        <f t="shared" si="3"/>
        <v>Week 1</v>
      </c>
      <c r="S107" s="65" t="str">
        <f>TEXT(Table8[[#This Row],[Date Day]],"mmm,YYYY")</f>
        <v>Jan,2011</v>
      </c>
    </row>
    <row r="108" spans="1:19" ht="15.6" x14ac:dyDescent="0.3">
      <c r="A108" s="62">
        <v>75</v>
      </c>
      <c r="B108" s="63">
        <v>40547</v>
      </c>
      <c r="C108" s="64">
        <v>6</v>
      </c>
      <c r="D108" s="64" t="b">
        <f>IF(COUNTIF(AU$36:AU$52,Table8[[#This Row],[Date Day]]) &gt; 0, TRUE, FALSE)</f>
        <v>0</v>
      </c>
      <c r="E108" s="64">
        <f t="shared" si="2"/>
        <v>2</v>
      </c>
      <c r="F108" s="64">
        <v>1</v>
      </c>
      <c r="G108" s="65" t="str">
        <f>IF(Table8[[#This Row],[Weathersit]]=1, "BAD", IF(Table8[[#This Row],[Weathersit]]=2, "MODERATE", IF(Table8[[#This Row],[Weathersit]]=3, "GOOD")))</f>
        <v>BAD</v>
      </c>
      <c r="H108" s="64">
        <v>12</v>
      </c>
      <c r="I108" s="65" t="str">
        <f>IF(Table8[[#This Row],[Temp]]&lt;11, "COLD", IF(Table8[[#This Row],[Temp]]&lt;=25, "COMFORTABLE", "WARM"))</f>
        <v>COMFORTABLE</v>
      </c>
      <c r="J108" s="64">
        <v>0.1515</v>
      </c>
      <c r="K108" s="64">
        <v>0.74</v>
      </c>
      <c r="L108" s="66">
        <v>10.45</v>
      </c>
      <c r="M108" s="75" t="s">
        <v>80</v>
      </c>
      <c r="N108" s="64">
        <v>0</v>
      </c>
      <c r="O108" s="64">
        <v>36</v>
      </c>
      <c r="P108" s="64">
        <v>36</v>
      </c>
      <c r="Q108" s="64"/>
      <c r="R108" s="65" t="str">
        <f t="shared" si="3"/>
        <v>Week 1</v>
      </c>
      <c r="S108" s="65" t="str">
        <f>TEXT(Table8[[#This Row],[Date Day]],"mmm,YYYY")</f>
        <v>Jan,2011</v>
      </c>
    </row>
    <row r="109" spans="1:19" ht="15.6" x14ac:dyDescent="0.3">
      <c r="A109" s="62">
        <v>76</v>
      </c>
      <c r="B109" s="63">
        <v>40547</v>
      </c>
      <c r="C109" s="64">
        <v>7</v>
      </c>
      <c r="D109" s="64" t="b">
        <f>IF(COUNTIF(AU$36:AU$52,Table8[[#This Row],[Date Day]]) &gt; 0, TRUE, FALSE)</f>
        <v>0</v>
      </c>
      <c r="E109" s="64">
        <f t="shared" si="2"/>
        <v>2</v>
      </c>
      <c r="F109" s="64">
        <v>1</v>
      </c>
      <c r="G109" s="65" t="str">
        <f>IF(Table8[[#This Row],[Weathersit]]=1, "BAD", IF(Table8[[#This Row],[Weathersit]]=2, "MODERATE", IF(Table8[[#This Row],[Weathersit]]=3, "GOOD")))</f>
        <v>BAD</v>
      </c>
      <c r="H109" s="64">
        <v>12</v>
      </c>
      <c r="I109" s="65" t="str">
        <f>IF(Table8[[#This Row],[Temp]]&lt;11, "COLD", IF(Table8[[#This Row],[Temp]]&lt;=25, "COMFORTABLE", "WARM"))</f>
        <v>COMFORTABLE</v>
      </c>
      <c r="J109" s="64">
        <v>0.1515</v>
      </c>
      <c r="K109" s="64">
        <v>0.74</v>
      </c>
      <c r="L109" s="66">
        <v>13.43</v>
      </c>
      <c r="M109" s="75" t="s">
        <v>80</v>
      </c>
      <c r="N109" s="64">
        <v>2</v>
      </c>
      <c r="O109" s="64">
        <v>92</v>
      </c>
      <c r="P109" s="64">
        <v>94</v>
      </c>
      <c r="Q109" s="64"/>
      <c r="R109" s="65" t="str">
        <f t="shared" si="3"/>
        <v>Week 1</v>
      </c>
      <c r="S109" s="65" t="str">
        <f>TEXT(Table8[[#This Row],[Date Day]],"mmm,YYYY")</f>
        <v>Jan,2011</v>
      </c>
    </row>
    <row r="110" spans="1:19" ht="15.6" x14ac:dyDescent="0.3">
      <c r="A110" s="62">
        <v>77</v>
      </c>
      <c r="B110" s="63">
        <v>40547</v>
      </c>
      <c r="C110" s="64">
        <v>8</v>
      </c>
      <c r="D110" s="64" t="b">
        <f>IF(COUNTIF(AU$36:AU$52,Table8[[#This Row],[Date Day]]) &gt; 0, TRUE, FALSE)</f>
        <v>0</v>
      </c>
      <c r="E110" s="64">
        <f t="shared" si="2"/>
        <v>2</v>
      </c>
      <c r="F110" s="64">
        <v>1</v>
      </c>
      <c r="G110" s="65" t="str">
        <f>IF(Table8[[#This Row],[Weathersit]]=1, "BAD", IF(Table8[[#This Row],[Weathersit]]=2, "MODERATE", IF(Table8[[#This Row],[Weathersit]]=3, "GOOD")))</f>
        <v>BAD</v>
      </c>
      <c r="H110" s="64">
        <v>14.000000000000002</v>
      </c>
      <c r="I110" s="65" t="str">
        <f>IF(Table8[[#This Row],[Temp]]&lt;11, "COLD", IF(Table8[[#This Row],[Temp]]&lt;=25, "COMFORTABLE", "WARM"))</f>
        <v>COMFORTABLE</v>
      </c>
      <c r="J110" s="64">
        <v>0.1515</v>
      </c>
      <c r="K110" s="64">
        <v>0.69</v>
      </c>
      <c r="L110" s="66">
        <v>16.420000000000002</v>
      </c>
      <c r="M110" s="75" t="s">
        <v>80</v>
      </c>
      <c r="N110" s="64">
        <v>2</v>
      </c>
      <c r="O110" s="64">
        <v>177</v>
      </c>
      <c r="P110" s="64">
        <v>179</v>
      </c>
      <c r="Q110" s="64"/>
      <c r="R110" s="65" t="str">
        <f t="shared" si="3"/>
        <v>Week 1</v>
      </c>
      <c r="S110" s="65" t="str">
        <f>TEXT(Table8[[#This Row],[Date Day]],"mmm,YYYY")</f>
        <v>Jan,2011</v>
      </c>
    </row>
    <row r="111" spans="1:19" ht="15.6" x14ac:dyDescent="0.3">
      <c r="A111" s="62">
        <v>78</v>
      </c>
      <c r="B111" s="63">
        <v>40547</v>
      </c>
      <c r="C111" s="64">
        <v>9</v>
      </c>
      <c r="D111" s="64" t="b">
        <f>IF(COUNTIF(AU$36:AU$52,Table8[[#This Row],[Date Day]]) &gt; 0, TRUE, FALSE)</f>
        <v>0</v>
      </c>
      <c r="E111" s="64">
        <f t="shared" si="2"/>
        <v>2</v>
      </c>
      <c r="F111" s="64">
        <v>1</v>
      </c>
      <c r="G111" s="65" t="str">
        <f>IF(Table8[[#This Row],[Weathersit]]=1, "BAD", IF(Table8[[#This Row],[Weathersit]]=2, "MODERATE", IF(Table8[[#This Row],[Weathersit]]=3, "GOOD")))</f>
        <v>BAD</v>
      </c>
      <c r="H111" s="64">
        <v>16</v>
      </c>
      <c r="I111" s="65" t="str">
        <f>IF(Table8[[#This Row],[Temp]]&lt;11, "COLD", IF(Table8[[#This Row],[Temp]]&lt;=25, "COMFORTABLE", "WARM"))</f>
        <v>COMFORTABLE</v>
      </c>
      <c r="J111" s="64">
        <v>0.1515</v>
      </c>
      <c r="K111" s="64">
        <v>0.64</v>
      </c>
      <c r="L111" s="66">
        <v>22.39</v>
      </c>
      <c r="M111" s="75" t="s">
        <v>81</v>
      </c>
      <c r="N111" s="64">
        <v>2</v>
      </c>
      <c r="O111" s="64">
        <v>98</v>
      </c>
      <c r="P111" s="64">
        <v>100</v>
      </c>
      <c r="Q111" s="64"/>
      <c r="R111" s="65" t="str">
        <f t="shared" si="3"/>
        <v>Week 1</v>
      </c>
      <c r="S111" s="65" t="str">
        <f>TEXT(Table8[[#This Row],[Date Day]],"mmm,YYYY")</f>
        <v>Jan,2011</v>
      </c>
    </row>
    <row r="112" spans="1:19" ht="15.6" x14ac:dyDescent="0.3">
      <c r="A112" s="62">
        <v>79</v>
      </c>
      <c r="B112" s="63">
        <v>40547</v>
      </c>
      <c r="C112" s="64">
        <v>10</v>
      </c>
      <c r="D112" s="64" t="b">
        <f>IF(COUNTIF(AU$36:AU$52,Table8[[#This Row],[Date Day]]) &gt; 0, TRUE, FALSE)</f>
        <v>0</v>
      </c>
      <c r="E112" s="64">
        <f t="shared" si="2"/>
        <v>2</v>
      </c>
      <c r="F112" s="64">
        <v>2</v>
      </c>
      <c r="G112" s="65" t="str">
        <f>IF(Table8[[#This Row],[Weathersit]]=1, "BAD", IF(Table8[[#This Row],[Weathersit]]=2, "MODERATE", IF(Table8[[#This Row],[Weathersit]]=3, "GOOD")))</f>
        <v>MODERATE</v>
      </c>
      <c r="H112" s="64">
        <v>16</v>
      </c>
      <c r="I112" s="65" t="str">
        <f>IF(Table8[[#This Row],[Temp]]&lt;11, "COLD", IF(Table8[[#This Row],[Temp]]&lt;=25, "COMFORTABLE", "WARM"))</f>
        <v>COMFORTABLE</v>
      </c>
      <c r="J112" s="64">
        <v>0.13639999999999999</v>
      </c>
      <c r="K112" s="64">
        <v>0.69</v>
      </c>
      <c r="L112" s="66">
        <v>32.840000000000003</v>
      </c>
      <c r="M112" s="75" t="s">
        <v>84</v>
      </c>
      <c r="N112" s="64">
        <v>5</v>
      </c>
      <c r="O112" s="64">
        <v>37</v>
      </c>
      <c r="P112" s="64">
        <v>42</v>
      </c>
      <c r="Q112" s="64"/>
      <c r="R112" s="65" t="str">
        <f t="shared" si="3"/>
        <v>Week 1</v>
      </c>
      <c r="S112" s="65" t="str">
        <f>TEXT(Table8[[#This Row],[Date Day]],"mmm,YYYY")</f>
        <v>Jan,2011</v>
      </c>
    </row>
    <row r="113" spans="1:19" ht="15.6" x14ac:dyDescent="0.3">
      <c r="A113" s="62">
        <v>80</v>
      </c>
      <c r="B113" s="63">
        <v>40547</v>
      </c>
      <c r="C113" s="64">
        <v>11</v>
      </c>
      <c r="D113" s="64" t="b">
        <f>IF(COUNTIF(AU$36:AU$52,Table8[[#This Row],[Date Day]]) &gt; 0, TRUE, FALSE)</f>
        <v>0</v>
      </c>
      <c r="E113" s="64">
        <f t="shared" si="2"/>
        <v>2</v>
      </c>
      <c r="F113" s="64">
        <v>1</v>
      </c>
      <c r="G113" s="65" t="str">
        <f>IF(Table8[[#This Row],[Weathersit]]=1, "BAD", IF(Table8[[#This Row],[Weathersit]]=2, "MODERATE", IF(Table8[[#This Row],[Weathersit]]=3, "GOOD")))</f>
        <v>BAD</v>
      </c>
      <c r="H113" s="64">
        <v>22</v>
      </c>
      <c r="I113" s="65" t="str">
        <f>IF(Table8[[#This Row],[Temp]]&lt;11, "COLD", IF(Table8[[#This Row],[Temp]]&lt;=25, "COMFORTABLE", "WARM"))</f>
        <v>COMFORTABLE</v>
      </c>
      <c r="J113" s="64">
        <v>0.21210000000000001</v>
      </c>
      <c r="K113" s="64">
        <v>0.51</v>
      </c>
      <c r="L113" s="66">
        <v>29.849999999999998</v>
      </c>
      <c r="M113" s="75" t="s">
        <v>81</v>
      </c>
      <c r="N113" s="64">
        <v>7</v>
      </c>
      <c r="O113" s="64">
        <v>50</v>
      </c>
      <c r="P113" s="64">
        <v>57</v>
      </c>
      <c r="Q113" s="64"/>
      <c r="R113" s="65" t="str">
        <f t="shared" si="3"/>
        <v>Week 1</v>
      </c>
      <c r="S113" s="65" t="str">
        <f>TEXT(Table8[[#This Row],[Date Day]],"mmm,YYYY")</f>
        <v>Jan,2011</v>
      </c>
    </row>
    <row r="114" spans="1:19" ht="15.6" x14ac:dyDescent="0.3">
      <c r="A114" s="62">
        <v>81</v>
      </c>
      <c r="B114" s="63">
        <v>40547</v>
      </c>
      <c r="C114" s="64">
        <v>12</v>
      </c>
      <c r="D114" s="64" t="b">
        <f>IF(COUNTIF(AU$36:AU$52,Table8[[#This Row],[Date Day]]) &gt; 0, TRUE, FALSE)</f>
        <v>0</v>
      </c>
      <c r="E114" s="64">
        <f t="shared" si="2"/>
        <v>2</v>
      </c>
      <c r="F114" s="64">
        <v>1</v>
      </c>
      <c r="G114" s="65" t="str">
        <f>IF(Table8[[#This Row],[Weathersit]]=1, "BAD", IF(Table8[[#This Row],[Weathersit]]=2, "MODERATE", IF(Table8[[#This Row],[Weathersit]]=3, "GOOD")))</f>
        <v>BAD</v>
      </c>
      <c r="H114" s="64">
        <v>22</v>
      </c>
      <c r="I114" s="65" t="str">
        <f>IF(Table8[[#This Row],[Temp]]&lt;11, "COLD", IF(Table8[[#This Row],[Temp]]&lt;=25, "COMFORTABLE", "WARM"))</f>
        <v>COMFORTABLE</v>
      </c>
      <c r="J114" s="64">
        <v>0.2273</v>
      </c>
      <c r="K114" s="64">
        <v>0.51</v>
      </c>
      <c r="L114" s="66">
        <v>16.420000000000002</v>
      </c>
      <c r="M114" s="75" t="s">
        <v>80</v>
      </c>
      <c r="N114" s="64">
        <v>12</v>
      </c>
      <c r="O114" s="64">
        <v>66</v>
      </c>
      <c r="P114" s="64">
        <v>78</v>
      </c>
      <c r="Q114" s="64"/>
      <c r="R114" s="65" t="str">
        <f t="shared" si="3"/>
        <v>Week 1</v>
      </c>
      <c r="S114" s="65" t="str">
        <f>TEXT(Table8[[#This Row],[Date Day]],"mmm,YYYY")</f>
        <v>Jan,2011</v>
      </c>
    </row>
    <row r="115" spans="1:19" ht="15.6" x14ac:dyDescent="0.3">
      <c r="A115" s="62">
        <v>82</v>
      </c>
      <c r="B115" s="63">
        <v>40547</v>
      </c>
      <c r="C115" s="64">
        <v>13</v>
      </c>
      <c r="D115" s="64" t="b">
        <f>IF(COUNTIF(AU$36:AU$52,Table8[[#This Row],[Date Day]]) &gt; 0, TRUE, FALSE)</f>
        <v>0</v>
      </c>
      <c r="E115" s="64">
        <f t="shared" si="2"/>
        <v>2</v>
      </c>
      <c r="F115" s="64">
        <v>1</v>
      </c>
      <c r="G115" s="65" t="str">
        <f>IF(Table8[[#This Row],[Weathersit]]=1, "BAD", IF(Table8[[#This Row],[Weathersit]]=2, "MODERATE", IF(Table8[[#This Row],[Weathersit]]=3, "GOOD")))</f>
        <v>BAD</v>
      </c>
      <c r="H115" s="64">
        <v>24</v>
      </c>
      <c r="I115" s="65" t="str">
        <f>IF(Table8[[#This Row],[Temp]]&lt;11, "COLD", IF(Table8[[#This Row],[Temp]]&lt;=25, "COMFORTABLE", "WARM"))</f>
        <v>COMFORTABLE</v>
      </c>
      <c r="J115" s="64">
        <v>0.2273</v>
      </c>
      <c r="K115" s="64">
        <v>0.56000000000000005</v>
      </c>
      <c r="L115" s="66">
        <v>19.400000000000002</v>
      </c>
      <c r="M115" s="75" t="s">
        <v>80</v>
      </c>
      <c r="N115" s="64">
        <v>18</v>
      </c>
      <c r="O115" s="64">
        <v>79</v>
      </c>
      <c r="P115" s="64">
        <v>97</v>
      </c>
      <c r="Q115" s="64"/>
      <c r="R115" s="65" t="str">
        <f t="shared" si="3"/>
        <v>Week 1</v>
      </c>
      <c r="S115" s="65" t="str">
        <f>TEXT(Table8[[#This Row],[Date Day]],"mmm,YYYY")</f>
        <v>Jan,2011</v>
      </c>
    </row>
    <row r="116" spans="1:19" ht="15.6" x14ac:dyDescent="0.3">
      <c r="A116" s="62">
        <v>83</v>
      </c>
      <c r="B116" s="63">
        <v>40547</v>
      </c>
      <c r="C116" s="64">
        <v>14</v>
      </c>
      <c r="D116" s="64" t="b">
        <f>IF(COUNTIF(AU$36:AU$52,Table8[[#This Row],[Date Day]]) &gt; 0, TRUE, FALSE)</f>
        <v>0</v>
      </c>
      <c r="E116" s="64">
        <f t="shared" si="2"/>
        <v>2</v>
      </c>
      <c r="F116" s="64">
        <v>1</v>
      </c>
      <c r="G116" s="65" t="str">
        <f>IF(Table8[[#This Row],[Weathersit]]=1, "BAD", IF(Table8[[#This Row],[Weathersit]]=2, "MODERATE", IF(Table8[[#This Row],[Weathersit]]=3, "GOOD")))</f>
        <v>BAD</v>
      </c>
      <c r="H116" s="64">
        <v>26</v>
      </c>
      <c r="I116" s="65" t="str">
        <f>IF(Table8[[#This Row],[Temp]]&lt;11, "COLD", IF(Table8[[#This Row],[Temp]]&lt;=25, "COMFORTABLE", "WARM"))</f>
        <v>WARM</v>
      </c>
      <c r="J116" s="64">
        <v>0.2576</v>
      </c>
      <c r="K116" s="64">
        <v>0.52</v>
      </c>
      <c r="L116" s="66">
        <v>22.39</v>
      </c>
      <c r="M116" s="75" t="s">
        <v>81</v>
      </c>
      <c r="N116" s="64">
        <v>9</v>
      </c>
      <c r="O116" s="64">
        <v>54</v>
      </c>
      <c r="P116" s="64">
        <v>63</v>
      </c>
      <c r="Q116" s="64"/>
      <c r="R116" s="65" t="str">
        <f t="shared" si="3"/>
        <v>Week 1</v>
      </c>
      <c r="S116" s="65" t="str">
        <f>TEXT(Table8[[#This Row],[Date Day]],"mmm,YYYY")</f>
        <v>Jan,2011</v>
      </c>
    </row>
    <row r="117" spans="1:19" ht="15.6" x14ac:dyDescent="0.3">
      <c r="A117" s="62">
        <v>84</v>
      </c>
      <c r="B117" s="63">
        <v>40547</v>
      </c>
      <c r="C117" s="64">
        <v>15</v>
      </c>
      <c r="D117" s="64" t="b">
        <f>IF(COUNTIF(AU$36:AU$52,Table8[[#This Row],[Date Day]]) &gt; 0, TRUE, FALSE)</f>
        <v>0</v>
      </c>
      <c r="E117" s="64">
        <f t="shared" si="2"/>
        <v>2</v>
      </c>
      <c r="F117" s="64">
        <v>1</v>
      </c>
      <c r="G117" s="65" t="str">
        <f>IF(Table8[[#This Row],[Weathersit]]=1, "BAD", IF(Table8[[#This Row],[Weathersit]]=2, "MODERATE", IF(Table8[[#This Row],[Weathersit]]=3, "GOOD")))</f>
        <v>BAD</v>
      </c>
      <c r="H117" s="64">
        <v>28.000000000000004</v>
      </c>
      <c r="I117" s="65" t="str">
        <f>IF(Table8[[#This Row],[Temp]]&lt;11, "COLD", IF(Table8[[#This Row],[Temp]]&lt;=25, "COMFORTABLE", "WARM"))</f>
        <v>WARM</v>
      </c>
      <c r="J117" s="64">
        <v>0.2727</v>
      </c>
      <c r="K117" s="64">
        <v>0.52</v>
      </c>
      <c r="L117" s="66">
        <v>25.369999999999997</v>
      </c>
      <c r="M117" s="75" t="s">
        <v>81</v>
      </c>
      <c r="N117" s="64">
        <v>17</v>
      </c>
      <c r="O117" s="64">
        <v>48</v>
      </c>
      <c r="P117" s="64">
        <v>65</v>
      </c>
      <c r="Q117" s="64"/>
      <c r="R117" s="65" t="str">
        <f t="shared" si="3"/>
        <v>Week 1</v>
      </c>
      <c r="S117" s="65" t="str">
        <f>TEXT(Table8[[#This Row],[Date Day]],"mmm,YYYY")</f>
        <v>Jan,2011</v>
      </c>
    </row>
    <row r="118" spans="1:19" ht="15.6" x14ac:dyDescent="0.3">
      <c r="A118" s="62">
        <v>85</v>
      </c>
      <c r="B118" s="63">
        <v>40547</v>
      </c>
      <c r="C118" s="64">
        <v>16</v>
      </c>
      <c r="D118" s="64" t="b">
        <f>IF(COUNTIF(AU$36:AU$52,Table8[[#This Row],[Date Day]]) &gt; 0, TRUE, FALSE)</f>
        <v>0</v>
      </c>
      <c r="E118" s="64">
        <f t="shared" si="2"/>
        <v>2</v>
      </c>
      <c r="F118" s="64">
        <v>1</v>
      </c>
      <c r="G118" s="65" t="str">
        <f>IF(Table8[[#This Row],[Weathersit]]=1, "BAD", IF(Table8[[#This Row],[Weathersit]]=2, "MODERATE", IF(Table8[[#This Row],[Weathersit]]=3, "GOOD")))</f>
        <v>BAD</v>
      </c>
      <c r="H118" s="64">
        <v>30</v>
      </c>
      <c r="I118" s="65" t="str">
        <f>IF(Table8[[#This Row],[Temp]]&lt;11, "COLD", IF(Table8[[#This Row],[Temp]]&lt;=25, "COMFORTABLE", "WARM"))</f>
        <v>WARM</v>
      </c>
      <c r="J118" s="64">
        <v>0.28789999999999999</v>
      </c>
      <c r="K118" s="64">
        <v>0.49</v>
      </c>
      <c r="L118" s="66">
        <v>25.369999999999997</v>
      </c>
      <c r="M118" s="75" t="s">
        <v>81</v>
      </c>
      <c r="N118" s="64">
        <v>15</v>
      </c>
      <c r="O118" s="64">
        <v>68</v>
      </c>
      <c r="P118" s="64">
        <v>83</v>
      </c>
      <c r="Q118" s="64"/>
      <c r="R118" s="65" t="str">
        <f t="shared" si="3"/>
        <v>Week 1</v>
      </c>
      <c r="S118" s="65" t="str">
        <f>TEXT(Table8[[#This Row],[Date Day]],"mmm,YYYY")</f>
        <v>Jan,2011</v>
      </c>
    </row>
    <row r="119" spans="1:19" ht="15.6" x14ac:dyDescent="0.3">
      <c r="A119" s="62">
        <v>86</v>
      </c>
      <c r="B119" s="63">
        <v>40547</v>
      </c>
      <c r="C119" s="64">
        <v>17</v>
      </c>
      <c r="D119" s="64" t="b">
        <f>IF(COUNTIF(AU$36:AU$52,Table8[[#This Row],[Date Day]]) &gt; 0, TRUE, FALSE)</f>
        <v>0</v>
      </c>
      <c r="E119" s="64">
        <f t="shared" si="2"/>
        <v>2</v>
      </c>
      <c r="F119" s="64">
        <v>1</v>
      </c>
      <c r="G119" s="65" t="str">
        <f>IF(Table8[[#This Row],[Weathersit]]=1, "BAD", IF(Table8[[#This Row],[Weathersit]]=2, "MODERATE", IF(Table8[[#This Row],[Weathersit]]=3, "GOOD")))</f>
        <v>BAD</v>
      </c>
      <c r="H119" s="64">
        <v>28.000000000000004</v>
      </c>
      <c r="I119" s="65" t="str">
        <f>IF(Table8[[#This Row],[Temp]]&lt;11, "COLD", IF(Table8[[#This Row],[Temp]]&lt;=25, "COMFORTABLE", "WARM"))</f>
        <v>WARM</v>
      </c>
      <c r="J119" s="64">
        <v>0.2727</v>
      </c>
      <c r="K119" s="64">
        <v>0.48</v>
      </c>
      <c r="L119" s="66">
        <v>22.39</v>
      </c>
      <c r="M119" s="75" t="s">
        <v>81</v>
      </c>
      <c r="N119" s="64">
        <v>10</v>
      </c>
      <c r="O119" s="64">
        <v>202</v>
      </c>
      <c r="P119" s="64">
        <v>212</v>
      </c>
      <c r="Q119" s="64"/>
      <c r="R119" s="65" t="str">
        <f t="shared" si="3"/>
        <v>Week 1</v>
      </c>
      <c r="S119" s="65" t="str">
        <f>TEXT(Table8[[#This Row],[Date Day]],"mmm,YYYY")</f>
        <v>Jan,2011</v>
      </c>
    </row>
    <row r="120" spans="1:19" ht="15.6" x14ac:dyDescent="0.3">
      <c r="A120" s="62">
        <v>87</v>
      </c>
      <c r="B120" s="63">
        <v>40547</v>
      </c>
      <c r="C120" s="64">
        <v>18</v>
      </c>
      <c r="D120" s="64" t="b">
        <f>IF(COUNTIF(AU$36:AU$52,Table8[[#This Row],[Date Day]]) &gt; 0, TRUE, FALSE)</f>
        <v>0</v>
      </c>
      <c r="E120" s="64">
        <f t="shared" si="2"/>
        <v>2</v>
      </c>
      <c r="F120" s="64">
        <v>1</v>
      </c>
      <c r="G120" s="65" t="str">
        <f>IF(Table8[[#This Row],[Weathersit]]=1, "BAD", IF(Table8[[#This Row],[Weathersit]]=2, "MODERATE", IF(Table8[[#This Row],[Weathersit]]=3, "GOOD")))</f>
        <v>BAD</v>
      </c>
      <c r="H120" s="64">
        <v>26</v>
      </c>
      <c r="I120" s="65" t="str">
        <f>IF(Table8[[#This Row],[Temp]]&lt;11, "COLD", IF(Table8[[#This Row],[Temp]]&lt;=25, "COMFORTABLE", "WARM"))</f>
        <v>WARM</v>
      </c>
      <c r="J120" s="64">
        <v>0.2576</v>
      </c>
      <c r="K120" s="64">
        <v>0.48</v>
      </c>
      <c r="L120" s="66">
        <v>19.400000000000002</v>
      </c>
      <c r="M120" s="75" t="s">
        <v>80</v>
      </c>
      <c r="N120" s="64">
        <v>3</v>
      </c>
      <c r="O120" s="64">
        <v>179</v>
      </c>
      <c r="P120" s="64">
        <v>182</v>
      </c>
      <c r="Q120" s="64"/>
      <c r="R120" s="65" t="str">
        <f t="shared" si="3"/>
        <v>Week 1</v>
      </c>
      <c r="S120" s="65" t="str">
        <f>TEXT(Table8[[#This Row],[Date Day]],"mmm,YYYY")</f>
        <v>Jan,2011</v>
      </c>
    </row>
    <row r="121" spans="1:19" ht="15.6" x14ac:dyDescent="0.3">
      <c r="A121" s="62">
        <v>88</v>
      </c>
      <c r="B121" s="63">
        <v>40547</v>
      </c>
      <c r="C121" s="64">
        <v>19</v>
      </c>
      <c r="D121" s="64" t="b">
        <f>IF(COUNTIF(AU$36:AU$52,Table8[[#This Row],[Date Day]]) &gt; 0, TRUE, FALSE)</f>
        <v>0</v>
      </c>
      <c r="E121" s="64">
        <f t="shared" si="2"/>
        <v>2</v>
      </c>
      <c r="F121" s="64">
        <v>1</v>
      </c>
      <c r="G121" s="65" t="str">
        <f>IF(Table8[[#This Row],[Weathersit]]=1, "BAD", IF(Table8[[#This Row],[Weathersit]]=2, "MODERATE", IF(Table8[[#This Row],[Weathersit]]=3, "GOOD")))</f>
        <v>BAD</v>
      </c>
      <c r="H121" s="64">
        <v>24</v>
      </c>
      <c r="I121" s="65" t="str">
        <f>IF(Table8[[#This Row],[Temp]]&lt;11, "COLD", IF(Table8[[#This Row],[Temp]]&lt;=25, "COMFORTABLE", "WARM"))</f>
        <v>COMFORTABLE</v>
      </c>
      <c r="J121" s="64">
        <v>0.2576</v>
      </c>
      <c r="K121" s="64">
        <v>0.48</v>
      </c>
      <c r="L121" s="66">
        <v>10.45</v>
      </c>
      <c r="M121" s="75" t="s">
        <v>80</v>
      </c>
      <c r="N121" s="64">
        <v>2</v>
      </c>
      <c r="O121" s="64">
        <v>110</v>
      </c>
      <c r="P121" s="64">
        <v>112</v>
      </c>
      <c r="Q121" s="64"/>
      <c r="R121" s="65" t="str">
        <f t="shared" si="3"/>
        <v>Week 1</v>
      </c>
      <c r="S121" s="65" t="str">
        <f>TEXT(Table8[[#This Row],[Date Day]],"mmm,YYYY")</f>
        <v>Jan,2011</v>
      </c>
    </row>
    <row r="122" spans="1:19" ht="15.6" x14ac:dyDescent="0.3">
      <c r="A122" s="62">
        <v>89</v>
      </c>
      <c r="B122" s="63">
        <v>40547</v>
      </c>
      <c r="C122" s="64">
        <v>20</v>
      </c>
      <c r="D122" s="64" t="b">
        <f>IF(COUNTIF(AU$36:AU$52,Table8[[#This Row],[Date Day]]) &gt; 0, TRUE, FALSE)</f>
        <v>0</v>
      </c>
      <c r="E122" s="64">
        <f t="shared" si="2"/>
        <v>2</v>
      </c>
      <c r="F122" s="64">
        <v>1</v>
      </c>
      <c r="G122" s="65" t="str">
        <f>IF(Table8[[#This Row],[Weathersit]]=1, "BAD", IF(Table8[[#This Row],[Weathersit]]=2, "MODERATE", IF(Table8[[#This Row],[Weathersit]]=3, "GOOD")))</f>
        <v>BAD</v>
      </c>
      <c r="H122" s="64">
        <v>24</v>
      </c>
      <c r="I122" s="65" t="str">
        <f>IF(Table8[[#This Row],[Temp]]&lt;11, "COLD", IF(Table8[[#This Row],[Temp]]&lt;=25, "COMFORTABLE", "WARM"))</f>
        <v>COMFORTABLE</v>
      </c>
      <c r="J122" s="64">
        <v>0.2576</v>
      </c>
      <c r="K122" s="64">
        <v>0.48</v>
      </c>
      <c r="L122" s="66">
        <v>10.45</v>
      </c>
      <c r="M122" s="75" t="s">
        <v>80</v>
      </c>
      <c r="N122" s="64">
        <v>1</v>
      </c>
      <c r="O122" s="64">
        <v>53</v>
      </c>
      <c r="P122" s="64">
        <v>54</v>
      </c>
      <c r="Q122" s="64"/>
      <c r="R122" s="65" t="str">
        <f t="shared" si="3"/>
        <v>Week 1</v>
      </c>
      <c r="S122" s="65" t="str">
        <f>TEXT(Table8[[#This Row],[Date Day]],"mmm,YYYY")</f>
        <v>Jan,2011</v>
      </c>
    </row>
    <row r="123" spans="1:19" ht="15.6" x14ac:dyDescent="0.3">
      <c r="A123" s="62">
        <v>90</v>
      </c>
      <c r="B123" s="63">
        <v>40547</v>
      </c>
      <c r="C123" s="64">
        <v>21</v>
      </c>
      <c r="D123" s="64" t="b">
        <f>IF(COUNTIF(AU$36:AU$52,Table8[[#This Row],[Date Day]]) &gt; 0, TRUE, FALSE)</f>
        <v>0</v>
      </c>
      <c r="E123" s="64">
        <f t="shared" si="2"/>
        <v>2</v>
      </c>
      <c r="F123" s="64">
        <v>1</v>
      </c>
      <c r="G123" s="65" t="str">
        <f>IF(Table8[[#This Row],[Weathersit]]=1, "BAD", IF(Table8[[#This Row],[Weathersit]]=2, "MODERATE", IF(Table8[[#This Row],[Weathersit]]=3, "GOOD")))</f>
        <v>BAD</v>
      </c>
      <c r="H123" s="64">
        <v>22</v>
      </c>
      <c r="I123" s="65" t="str">
        <f>IF(Table8[[#This Row],[Temp]]&lt;11, "COLD", IF(Table8[[#This Row],[Temp]]&lt;=25, "COMFORTABLE", "WARM"))</f>
        <v>COMFORTABLE</v>
      </c>
      <c r="J123" s="64">
        <v>0.2727</v>
      </c>
      <c r="K123" s="64">
        <v>0.64</v>
      </c>
      <c r="L123" s="66">
        <v>20.485098360655737</v>
      </c>
      <c r="M123" s="75" t="s">
        <v>81</v>
      </c>
      <c r="N123" s="64">
        <v>0</v>
      </c>
      <c r="O123" s="64">
        <v>48</v>
      </c>
      <c r="P123" s="64">
        <v>48</v>
      </c>
      <c r="Q123" s="64"/>
      <c r="R123" s="65" t="str">
        <f t="shared" si="3"/>
        <v>Week 1</v>
      </c>
      <c r="S123" s="65" t="str">
        <f>TEXT(Table8[[#This Row],[Date Day]],"mmm,YYYY")</f>
        <v>Jan,2011</v>
      </c>
    </row>
    <row r="124" spans="1:19" ht="15.6" x14ac:dyDescent="0.3">
      <c r="A124" s="62">
        <v>91</v>
      </c>
      <c r="B124" s="63">
        <v>40547</v>
      </c>
      <c r="C124" s="64">
        <v>22</v>
      </c>
      <c r="D124" s="64" t="b">
        <f>IF(COUNTIF(AU$36:AU$52,Table8[[#This Row],[Date Day]]) &gt; 0, TRUE, FALSE)</f>
        <v>0</v>
      </c>
      <c r="E124" s="64">
        <f t="shared" si="2"/>
        <v>2</v>
      </c>
      <c r="F124" s="64">
        <v>1</v>
      </c>
      <c r="G124" s="65" t="str">
        <f>IF(Table8[[#This Row],[Weathersit]]=1, "BAD", IF(Table8[[#This Row],[Weathersit]]=2, "MODERATE", IF(Table8[[#This Row],[Weathersit]]=3, "GOOD")))</f>
        <v>BAD</v>
      </c>
      <c r="H124" s="64">
        <v>22</v>
      </c>
      <c r="I124" s="65" t="str">
        <f>IF(Table8[[#This Row],[Temp]]&lt;11, "COLD", IF(Table8[[#This Row],[Temp]]&lt;=25, "COMFORTABLE", "WARM"))</f>
        <v>COMFORTABLE</v>
      </c>
      <c r="J124" s="64">
        <v>0.2576</v>
      </c>
      <c r="K124" s="64">
        <v>0.64</v>
      </c>
      <c r="L124" s="66">
        <v>8.9599999999999991</v>
      </c>
      <c r="M124" s="75" t="s">
        <v>80</v>
      </c>
      <c r="N124" s="64">
        <v>1</v>
      </c>
      <c r="O124" s="64">
        <v>34</v>
      </c>
      <c r="P124" s="64">
        <v>35</v>
      </c>
      <c r="Q124" s="64"/>
      <c r="R124" s="65" t="str">
        <f t="shared" si="3"/>
        <v>Week 1</v>
      </c>
      <c r="S124" s="65" t="str">
        <f>TEXT(Table8[[#This Row],[Date Day]],"mmm,YYYY")</f>
        <v>Jan,2011</v>
      </c>
    </row>
    <row r="125" spans="1:19" ht="15.6" x14ac:dyDescent="0.3">
      <c r="A125" s="62">
        <v>92</v>
      </c>
      <c r="B125" s="63">
        <v>40547</v>
      </c>
      <c r="C125" s="64">
        <v>23</v>
      </c>
      <c r="D125" s="64" t="b">
        <f>IF(COUNTIF(AU$36:AU$52,Table8[[#This Row],[Date Day]]) &gt; 0, TRUE, FALSE)</f>
        <v>0</v>
      </c>
      <c r="E125" s="64">
        <f t="shared" si="2"/>
        <v>2</v>
      </c>
      <c r="F125" s="64">
        <v>1</v>
      </c>
      <c r="G125" s="65" t="str">
        <f>IF(Table8[[#This Row],[Weathersit]]=1, "BAD", IF(Table8[[#This Row],[Weathersit]]=2, "MODERATE", IF(Table8[[#This Row],[Weathersit]]=3, "GOOD")))</f>
        <v>BAD</v>
      </c>
      <c r="H125" s="64">
        <v>20</v>
      </c>
      <c r="I125" s="65" t="str">
        <f>IF(Table8[[#This Row],[Temp]]&lt;11, "COLD", IF(Table8[[#This Row],[Temp]]&lt;=25, "COMFORTABLE", "WARM"))</f>
        <v>COMFORTABLE</v>
      </c>
      <c r="J125" s="64">
        <v>0.2273</v>
      </c>
      <c r="K125" s="64">
        <v>0.69</v>
      </c>
      <c r="L125" s="66">
        <v>8.9599999999999991</v>
      </c>
      <c r="M125" s="75" t="s">
        <v>80</v>
      </c>
      <c r="N125" s="64">
        <v>2</v>
      </c>
      <c r="O125" s="64">
        <v>9</v>
      </c>
      <c r="P125" s="64">
        <v>11</v>
      </c>
      <c r="Q125" s="64"/>
      <c r="R125" s="65" t="str">
        <f t="shared" si="3"/>
        <v>Week 1</v>
      </c>
      <c r="S125" s="65" t="str">
        <f>TEXT(Table8[[#This Row],[Date Day]],"mmm,YYYY")</f>
        <v>Jan,2011</v>
      </c>
    </row>
    <row r="126" spans="1:19" ht="15.6" x14ac:dyDescent="0.3">
      <c r="A126" s="62">
        <v>93</v>
      </c>
      <c r="B126" s="63">
        <v>40548</v>
      </c>
      <c r="C126" s="64">
        <v>0</v>
      </c>
      <c r="D126" s="64" t="b">
        <f>IF(COUNTIF(AU$36:AU$52,Table8[[#This Row],[Date Day]]) &gt; 0, TRUE, FALSE)</f>
        <v>0</v>
      </c>
      <c r="E126" s="64">
        <f t="shared" si="2"/>
        <v>3</v>
      </c>
      <c r="F126" s="64">
        <v>1</v>
      </c>
      <c r="G126" s="65" t="str">
        <f>IF(Table8[[#This Row],[Weathersit]]=1, "BAD", IF(Table8[[#This Row],[Weathersit]]=2, "MODERATE", IF(Table8[[#This Row],[Weathersit]]=3, "GOOD")))</f>
        <v>BAD</v>
      </c>
      <c r="H126" s="64">
        <v>20</v>
      </c>
      <c r="I126" s="65" t="str">
        <f>IF(Table8[[#This Row],[Temp]]&lt;11, "COLD", IF(Table8[[#This Row],[Temp]]&lt;=25, "COMFORTABLE", "WARM"))</f>
        <v>COMFORTABLE</v>
      </c>
      <c r="J126" s="64">
        <v>0.2576</v>
      </c>
      <c r="K126" s="64">
        <v>0.64</v>
      </c>
      <c r="L126" s="66">
        <v>20.485098360655737</v>
      </c>
      <c r="M126" s="75" t="s">
        <v>81</v>
      </c>
      <c r="N126" s="64">
        <v>0</v>
      </c>
      <c r="O126" s="64">
        <v>6</v>
      </c>
      <c r="P126" s="64">
        <v>6</v>
      </c>
      <c r="Q126" s="64"/>
      <c r="R126" s="65" t="str">
        <f t="shared" si="3"/>
        <v>Week 1</v>
      </c>
      <c r="S126" s="65" t="str">
        <f>TEXT(Table8[[#This Row],[Date Day]],"mmm,YYYY")</f>
        <v>Jan,2011</v>
      </c>
    </row>
    <row r="127" spans="1:19" ht="15.6" x14ac:dyDescent="0.3">
      <c r="A127" s="62">
        <v>94</v>
      </c>
      <c r="B127" s="63">
        <v>40548</v>
      </c>
      <c r="C127" s="64">
        <v>1</v>
      </c>
      <c r="D127" s="64" t="b">
        <f>IF(COUNTIF(AU$36:AU$52,Table8[[#This Row],[Date Day]]) &gt; 0, TRUE, FALSE)</f>
        <v>0</v>
      </c>
      <c r="E127" s="64">
        <f t="shared" si="2"/>
        <v>3</v>
      </c>
      <c r="F127" s="64">
        <v>1</v>
      </c>
      <c r="G127" s="65" t="str">
        <f>IF(Table8[[#This Row],[Weathersit]]=1, "BAD", IF(Table8[[#This Row],[Weathersit]]=2, "MODERATE", IF(Table8[[#This Row],[Weathersit]]=3, "GOOD")))</f>
        <v>BAD</v>
      </c>
      <c r="H127" s="64">
        <v>16</v>
      </c>
      <c r="I127" s="65" t="str">
        <f>IF(Table8[[#This Row],[Temp]]&lt;11, "COLD", IF(Table8[[#This Row],[Temp]]&lt;=25, "COMFORTABLE", "WARM"))</f>
        <v>COMFORTABLE</v>
      </c>
      <c r="J127" s="64">
        <v>0.19700000000000001</v>
      </c>
      <c r="K127" s="64">
        <v>0.74</v>
      </c>
      <c r="L127" s="66">
        <v>8.9599999999999991</v>
      </c>
      <c r="M127" s="75" t="s">
        <v>80</v>
      </c>
      <c r="N127" s="64">
        <v>0</v>
      </c>
      <c r="O127" s="64">
        <v>6</v>
      </c>
      <c r="P127" s="64">
        <v>6</v>
      </c>
      <c r="Q127" s="64"/>
      <c r="R127" s="65" t="str">
        <f t="shared" si="3"/>
        <v>Week 1</v>
      </c>
      <c r="S127" s="65" t="str">
        <f>TEXT(Table8[[#This Row],[Date Day]],"mmm,YYYY")</f>
        <v>Jan,2011</v>
      </c>
    </row>
    <row r="128" spans="1:19" ht="15.6" x14ac:dyDescent="0.3">
      <c r="A128" s="62">
        <v>95</v>
      </c>
      <c r="B128" s="63">
        <v>40548</v>
      </c>
      <c r="C128" s="64">
        <v>2</v>
      </c>
      <c r="D128" s="64" t="b">
        <f>IF(COUNTIF(AU$36:AU$52,Table8[[#This Row],[Date Day]]) &gt; 0, TRUE, FALSE)</f>
        <v>0</v>
      </c>
      <c r="E128" s="64">
        <f t="shared" si="2"/>
        <v>3</v>
      </c>
      <c r="F128" s="64">
        <v>1</v>
      </c>
      <c r="G128" s="65" t="str">
        <f>IF(Table8[[#This Row],[Weathersit]]=1, "BAD", IF(Table8[[#This Row],[Weathersit]]=2, "MODERATE", IF(Table8[[#This Row],[Weathersit]]=3, "GOOD")))</f>
        <v>BAD</v>
      </c>
      <c r="H128" s="64">
        <v>16</v>
      </c>
      <c r="I128" s="65" t="str">
        <f>IF(Table8[[#This Row],[Temp]]&lt;11, "COLD", IF(Table8[[#This Row],[Temp]]&lt;=25, "COMFORTABLE", "WARM"))</f>
        <v>COMFORTABLE</v>
      </c>
      <c r="J128" s="64">
        <v>0.19700000000000001</v>
      </c>
      <c r="K128" s="64">
        <v>0.74</v>
      </c>
      <c r="L128" s="66">
        <v>8.9599999999999991</v>
      </c>
      <c r="M128" s="75" t="s">
        <v>80</v>
      </c>
      <c r="N128" s="64">
        <v>0</v>
      </c>
      <c r="O128" s="64">
        <v>2</v>
      </c>
      <c r="P128" s="64">
        <v>2</v>
      </c>
      <c r="Q128" s="64"/>
      <c r="R128" s="65" t="str">
        <f t="shared" si="3"/>
        <v>Week 1</v>
      </c>
      <c r="S128" s="65" t="str">
        <f>TEXT(Table8[[#This Row],[Date Day]],"mmm,YYYY")</f>
        <v>Jan,2011</v>
      </c>
    </row>
    <row r="129" spans="1:19" ht="15.6" x14ac:dyDescent="0.3">
      <c r="A129" s="62">
        <v>96</v>
      </c>
      <c r="B129" s="63">
        <v>40548</v>
      </c>
      <c r="C129" s="64">
        <v>4</v>
      </c>
      <c r="D129" s="64" t="b">
        <f>IF(COUNTIF(AU$36:AU$52,Table8[[#This Row],[Date Day]]) &gt; 0, TRUE, FALSE)</f>
        <v>0</v>
      </c>
      <c r="E129" s="64">
        <f t="shared" si="2"/>
        <v>3</v>
      </c>
      <c r="F129" s="64">
        <v>1</v>
      </c>
      <c r="G129" s="65" t="str">
        <f>IF(Table8[[#This Row],[Weathersit]]=1, "BAD", IF(Table8[[#This Row],[Weathersit]]=2, "MODERATE", IF(Table8[[#This Row],[Weathersit]]=3, "GOOD")))</f>
        <v>BAD</v>
      </c>
      <c r="H129" s="64">
        <v>24</v>
      </c>
      <c r="I129" s="65" t="str">
        <f>IF(Table8[[#This Row],[Temp]]&lt;11, "COLD", IF(Table8[[#This Row],[Temp]]&lt;=25, "COMFORTABLE", "WARM"))</f>
        <v>COMFORTABLE</v>
      </c>
      <c r="J129" s="64">
        <v>0.2273</v>
      </c>
      <c r="K129" s="64">
        <v>0.48</v>
      </c>
      <c r="L129" s="66">
        <v>22.39</v>
      </c>
      <c r="M129" s="75" t="s">
        <v>81</v>
      </c>
      <c r="N129" s="64">
        <v>0</v>
      </c>
      <c r="O129" s="64">
        <v>2</v>
      </c>
      <c r="P129" s="64">
        <v>2</v>
      </c>
      <c r="Q129" s="64"/>
      <c r="R129" s="65" t="str">
        <f t="shared" si="3"/>
        <v>Week 1</v>
      </c>
      <c r="S129" s="65" t="str">
        <f>TEXT(Table8[[#This Row],[Date Day]],"mmm,YYYY")</f>
        <v>Jan,2011</v>
      </c>
    </row>
    <row r="130" spans="1:19" ht="15.6" x14ac:dyDescent="0.3">
      <c r="A130" s="62">
        <v>97</v>
      </c>
      <c r="B130" s="63">
        <v>40548</v>
      </c>
      <c r="C130" s="64">
        <v>5</v>
      </c>
      <c r="D130" s="64" t="b">
        <f>IF(COUNTIF(AU$36:AU$52,Table8[[#This Row],[Date Day]]) &gt; 0, TRUE, FALSE)</f>
        <v>0</v>
      </c>
      <c r="E130" s="64">
        <f t="shared" si="2"/>
        <v>3</v>
      </c>
      <c r="F130" s="64">
        <v>1</v>
      </c>
      <c r="G130" s="65" t="str">
        <f>IF(Table8[[#This Row],[Weathersit]]=1, "BAD", IF(Table8[[#This Row],[Weathersit]]=2, "MODERATE", IF(Table8[[#This Row],[Weathersit]]=3, "GOOD")))</f>
        <v>BAD</v>
      </c>
      <c r="H130" s="64">
        <v>22</v>
      </c>
      <c r="I130" s="65" t="str">
        <f>IF(Table8[[#This Row],[Temp]]&lt;11, "COLD", IF(Table8[[#This Row],[Temp]]&lt;=25, "COMFORTABLE", "WARM"))</f>
        <v>COMFORTABLE</v>
      </c>
      <c r="J130" s="64">
        <v>0.2273</v>
      </c>
      <c r="K130" s="64">
        <v>0.47</v>
      </c>
      <c r="L130" s="66">
        <v>16.420000000000002</v>
      </c>
      <c r="M130" s="75" t="s">
        <v>80</v>
      </c>
      <c r="N130" s="64">
        <v>0</v>
      </c>
      <c r="O130" s="64">
        <v>3</v>
      </c>
      <c r="P130" s="64">
        <v>3</v>
      </c>
      <c r="Q130" s="64"/>
      <c r="R130" s="65" t="str">
        <f t="shared" si="3"/>
        <v>Week 1</v>
      </c>
      <c r="S130" s="65" t="str">
        <f>TEXT(Table8[[#This Row],[Date Day]],"mmm,YYYY")</f>
        <v>Jan,2011</v>
      </c>
    </row>
    <row r="131" spans="1:19" ht="15.6" x14ac:dyDescent="0.3">
      <c r="A131" s="62">
        <v>98</v>
      </c>
      <c r="B131" s="63">
        <v>40548</v>
      </c>
      <c r="C131" s="64">
        <v>6</v>
      </c>
      <c r="D131" s="64" t="b">
        <f>IF(COUNTIF(AU$36:AU$52,Table8[[#This Row],[Date Day]]) &gt; 0, TRUE, FALSE)</f>
        <v>0</v>
      </c>
      <c r="E131" s="64">
        <f t="shared" si="2"/>
        <v>3</v>
      </c>
      <c r="F131" s="64">
        <v>1</v>
      </c>
      <c r="G131" s="65" t="str">
        <f>IF(Table8[[#This Row],[Weathersit]]=1, "BAD", IF(Table8[[#This Row],[Weathersit]]=2, "MODERATE", IF(Table8[[#This Row],[Weathersit]]=3, "GOOD")))</f>
        <v>BAD</v>
      </c>
      <c r="H131" s="64">
        <v>20</v>
      </c>
      <c r="I131" s="65" t="str">
        <f>IF(Table8[[#This Row],[Temp]]&lt;11, "COLD", IF(Table8[[#This Row],[Temp]]&lt;=25, "COMFORTABLE", "WARM"))</f>
        <v>COMFORTABLE</v>
      </c>
      <c r="J131" s="64">
        <v>0.19700000000000001</v>
      </c>
      <c r="K131" s="64">
        <v>0.47</v>
      </c>
      <c r="L131" s="66">
        <v>22.39</v>
      </c>
      <c r="M131" s="75" t="s">
        <v>81</v>
      </c>
      <c r="N131" s="64">
        <v>0</v>
      </c>
      <c r="O131" s="64">
        <v>33</v>
      </c>
      <c r="P131" s="64">
        <v>33</v>
      </c>
      <c r="Q131" s="64"/>
      <c r="R131" s="65" t="str">
        <f t="shared" si="3"/>
        <v>Week 1</v>
      </c>
      <c r="S131" s="65" t="str">
        <f>TEXT(Table8[[#This Row],[Date Day]],"mmm,YYYY")</f>
        <v>Jan,2011</v>
      </c>
    </row>
    <row r="132" spans="1:19" ht="15.6" x14ac:dyDescent="0.3">
      <c r="A132" s="62">
        <v>99</v>
      </c>
      <c r="B132" s="63">
        <v>40548</v>
      </c>
      <c r="C132" s="64">
        <v>7</v>
      </c>
      <c r="D132" s="64" t="b">
        <f>IF(COUNTIF(AU$36:AU$52,Table8[[#This Row],[Date Day]]) &gt; 0, TRUE, FALSE)</f>
        <v>0</v>
      </c>
      <c r="E132" s="64">
        <f t="shared" si="2"/>
        <v>3</v>
      </c>
      <c r="F132" s="64">
        <v>1</v>
      </c>
      <c r="G132" s="65" t="str">
        <f>IF(Table8[[#This Row],[Weathersit]]=1, "BAD", IF(Table8[[#This Row],[Weathersit]]=2, "MODERATE", IF(Table8[[#This Row],[Weathersit]]=3, "GOOD")))</f>
        <v>BAD</v>
      </c>
      <c r="H132" s="64">
        <v>18</v>
      </c>
      <c r="I132" s="65" t="str">
        <f>IF(Table8[[#This Row],[Temp]]&lt;11, "COLD", IF(Table8[[#This Row],[Temp]]&lt;=25, "COMFORTABLE", "WARM"))</f>
        <v>COMFORTABLE</v>
      </c>
      <c r="J132" s="64">
        <v>0.18179999999999999</v>
      </c>
      <c r="K132" s="64">
        <v>0.43</v>
      </c>
      <c r="L132" s="66">
        <v>19.400000000000002</v>
      </c>
      <c r="M132" s="75" t="s">
        <v>80</v>
      </c>
      <c r="N132" s="64">
        <v>1</v>
      </c>
      <c r="O132" s="64">
        <v>87</v>
      </c>
      <c r="P132" s="64">
        <v>88</v>
      </c>
      <c r="Q132" s="64"/>
      <c r="R132" s="65" t="str">
        <f t="shared" si="3"/>
        <v>Week 1</v>
      </c>
      <c r="S132" s="65" t="str">
        <f>TEXT(Table8[[#This Row],[Date Day]],"mmm,YYYY")</f>
        <v>Jan,2011</v>
      </c>
    </row>
    <row r="133" spans="1:19" ht="15.6" x14ac:dyDescent="0.3">
      <c r="A133" s="62">
        <v>100</v>
      </c>
      <c r="B133" s="63">
        <v>40548</v>
      </c>
      <c r="C133" s="64">
        <v>8</v>
      </c>
      <c r="D133" s="64" t="b">
        <f>IF(COUNTIF(AU$36:AU$52,Table8[[#This Row],[Date Day]]) &gt; 0, TRUE, FALSE)</f>
        <v>0</v>
      </c>
      <c r="E133" s="64">
        <f t="shared" si="2"/>
        <v>3</v>
      </c>
      <c r="F133" s="64">
        <v>1</v>
      </c>
      <c r="G133" s="65" t="str">
        <f>IF(Table8[[#This Row],[Weathersit]]=1, "BAD", IF(Table8[[#This Row],[Weathersit]]=2, "MODERATE", IF(Table8[[#This Row],[Weathersit]]=3, "GOOD")))</f>
        <v>BAD</v>
      </c>
      <c r="H133" s="64">
        <v>20</v>
      </c>
      <c r="I133" s="65" t="str">
        <f>IF(Table8[[#This Row],[Temp]]&lt;11, "COLD", IF(Table8[[#This Row],[Temp]]&lt;=25, "COMFORTABLE", "WARM"))</f>
        <v>COMFORTABLE</v>
      </c>
      <c r="J133" s="64">
        <v>0.18179999999999999</v>
      </c>
      <c r="K133" s="64">
        <v>0.4</v>
      </c>
      <c r="L133" s="66">
        <v>29.849999999999998</v>
      </c>
      <c r="M133" s="75" t="s">
        <v>81</v>
      </c>
      <c r="N133" s="64">
        <v>3</v>
      </c>
      <c r="O133" s="64">
        <v>192</v>
      </c>
      <c r="P133" s="64">
        <v>195</v>
      </c>
      <c r="Q133" s="64"/>
      <c r="R133" s="65" t="str">
        <f t="shared" si="3"/>
        <v>Week 1</v>
      </c>
      <c r="S133" s="65" t="str">
        <f>TEXT(Table8[[#This Row],[Date Day]],"mmm,YYYY")</f>
        <v>Jan,2011</v>
      </c>
    </row>
    <row r="134" spans="1:19" ht="15.6" x14ac:dyDescent="0.3">
      <c r="A134" s="62">
        <v>101</v>
      </c>
      <c r="B134" s="63">
        <v>40548</v>
      </c>
      <c r="C134" s="64">
        <v>9</v>
      </c>
      <c r="D134" s="64" t="b">
        <f>IF(COUNTIF(AU$36:AU$52,Table8[[#This Row],[Date Day]]) &gt; 0, TRUE, FALSE)</f>
        <v>0</v>
      </c>
      <c r="E134" s="64">
        <f t="shared" si="2"/>
        <v>3</v>
      </c>
      <c r="F134" s="64">
        <v>1</v>
      </c>
      <c r="G134" s="65" t="str">
        <f>IF(Table8[[#This Row],[Weathersit]]=1, "BAD", IF(Table8[[#This Row],[Weathersit]]=2, "MODERATE", IF(Table8[[#This Row],[Weathersit]]=3, "GOOD")))</f>
        <v>BAD</v>
      </c>
      <c r="H134" s="64">
        <v>22</v>
      </c>
      <c r="I134" s="65" t="str">
        <f>IF(Table8[[#This Row],[Temp]]&lt;11, "COLD", IF(Table8[[#This Row],[Temp]]&lt;=25, "COMFORTABLE", "WARM"))</f>
        <v>COMFORTABLE</v>
      </c>
      <c r="J134" s="64">
        <v>0.19700000000000001</v>
      </c>
      <c r="K134" s="64">
        <v>0.37</v>
      </c>
      <c r="L134" s="66">
        <v>32.840000000000003</v>
      </c>
      <c r="M134" s="75" t="s">
        <v>84</v>
      </c>
      <c r="N134" s="64">
        <v>6</v>
      </c>
      <c r="O134" s="64">
        <v>109</v>
      </c>
      <c r="P134" s="64">
        <v>115</v>
      </c>
      <c r="Q134" s="64"/>
      <c r="R134" s="65" t="str">
        <f t="shared" si="3"/>
        <v>Week 1</v>
      </c>
      <c r="S134" s="65" t="str">
        <f>TEXT(Table8[[#This Row],[Date Day]],"mmm,YYYY")</f>
        <v>Jan,2011</v>
      </c>
    </row>
    <row r="135" spans="1:19" ht="15.6" x14ac:dyDescent="0.3">
      <c r="A135" s="62">
        <v>102</v>
      </c>
      <c r="B135" s="63">
        <v>40548</v>
      </c>
      <c r="C135" s="64">
        <v>10</v>
      </c>
      <c r="D135" s="64" t="b">
        <f>IF(COUNTIF(AU$36:AU$52,Table8[[#This Row],[Date Day]]) &gt; 0, TRUE, FALSE)</f>
        <v>0</v>
      </c>
      <c r="E135" s="64">
        <f t="shared" si="2"/>
        <v>3</v>
      </c>
      <c r="F135" s="64">
        <v>1</v>
      </c>
      <c r="G135" s="65" t="str">
        <f>IF(Table8[[#This Row],[Weathersit]]=1, "BAD", IF(Table8[[#This Row],[Weathersit]]=2, "MODERATE", IF(Table8[[#This Row],[Weathersit]]=3, "GOOD")))</f>
        <v>BAD</v>
      </c>
      <c r="H135" s="64">
        <v>22</v>
      </c>
      <c r="I135" s="65" t="str">
        <f>IF(Table8[[#This Row],[Temp]]&lt;11, "COLD", IF(Table8[[#This Row],[Temp]]&lt;=25, "COMFORTABLE", "WARM"))</f>
        <v>COMFORTABLE</v>
      </c>
      <c r="J135" s="64">
        <v>0.19700000000000001</v>
      </c>
      <c r="K135" s="64">
        <v>0.37</v>
      </c>
      <c r="L135" s="66">
        <v>32.840000000000003</v>
      </c>
      <c r="M135" s="75" t="s">
        <v>84</v>
      </c>
      <c r="N135" s="64">
        <v>4</v>
      </c>
      <c r="O135" s="64">
        <v>53</v>
      </c>
      <c r="P135" s="64">
        <v>57</v>
      </c>
      <c r="Q135" s="64"/>
      <c r="R135" s="65" t="str">
        <f t="shared" si="3"/>
        <v>Week 1</v>
      </c>
      <c r="S135" s="65" t="str">
        <f>TEXT(Table8[[#This Row],[Date Day]],"mmm,YYYY")</f>
        <v>Jan,2011</v>
      </c>
    </row>
    <row r="136" spans="1:19" ht="15.6" x14ac:dyDescent="0.3">
      <c r="A136" s="62">
        <v>103</v>
      </c>
      <c r="B136" s="63">
        <v>40548</v>
      </c>
      <c r="C136" s="64">
        <v>11</v>
      </c>
      <c r="D136" s="64" t="b">
        <f>IF(COUNTIF(AU$36:AU$52,Table8[[#This Row],[Date Day]]) &gt; 0, TRUE, FALSE)</f>
        <v>0</v>
      </c>
      <c r="E136" s="64">
        <f t="shared" si="2"/>
        <v>3</v>
      </c>
      <c r="F136" s="64">
        <v>1</v>
      </c>
      <c r="G136" s="65" t="str">
        <f>IF(Table8[[#This Row],[Weathersit]]=1, "BAD", IF(Table8[[#This Row],[Weathersit]]=2, "MODERATE", IF(Table8[[#This Row],[Weathersit]]=3, "GOOD")))</f>
        <v>BAD</v>
      </c>
      <c r="H136" s="64">
        <v>26</v>
      </c>
      <c r="I136" s="65" t="str">
        <f>IF(Table8[[#This Row],[Temp]]&lt;11, "COLD", IF(Table8[[#This Row],[Temp]]&lt;=25, "COMFORTABLE", "WARM"))</f>
        <v>WARM</v>
      </c>
      <c r="J136" s="64">
        <v>0.2273</v>
      </c>
      <c r="K136" s="64">
        <v>0.33</v>
      </c>
      <c r="L136" s="66">
        <v>32.840000000000003</v>
      </c>
      <c r="M136" s="75" t="s">
        <v>84</v>
      </c>
      <c r="N136" s="64">
        <v>12</v>
      </c>
      <c r="O136" s="64">
        <v>34</v>
      </c>
      <c r="P136" s="64">
        <v>46</v>
      </c>
      <c r="Q136" s="64"/>
      <c r="R136" s="65" t="str">
        <f t="shared" si="3"/>
        <v>Week 1</v>
      </c>
      <c r="S136" s="65" t="str">
        <f>TEXT(Table8[[#This Row],[Date Day]],"mmm,YYYY")</f>
        <v>Jan,2011</v>
      </c>
    </row>
    <row r="137" spans="1:19" ht="15.6" x14ac:dyDescent="0.3">
      <c r="A137" s="62">
        <v>104</v>
      </c>
      <c r="B137" s="63">
        <v>40548</v>
      </c>
      <c r="C137" s="64">
        <v>12</v>
      </c>
      <c r="D137" s="64" t="b">
        <f>IF(COUNTIF(AU$36:AU$52,Table8[[#This Row],[Date Day]]) &gt; 0, TRUE, FALSE)</f>
        <v>0</v>
      </c>
      <c r="E137" s="64">
        <f t="shared" si="2"/>
        <v>3</v>
      </c>
      <c r="F137" s="64">
        <v>1</v>
      </c>
      <c r="G137" s="65" t="str">
        <f>IF(Table8[[#This Row],[Weathersit]]=1, "BAD", IF(Table8[[#This Row],[Weathersit]]=2, "MODERATE", IF(Table8[[#This Row],[Weathersit]]=3, "GOOD")))</f>
        <v>BAD</v>
      </c>
      <c r="H137" s="64">
        <v>26</v>
      </c>
      <c r="I137" s="65" t="str">
        <f>IF(Table8[[#This Row],[Temp]]&lt;11, "COLD", IF(Table8[[#This Row],[Temp]]&lt;=25, "COMFORTABLE", "WARM"))</f>
        <v>WARM</v>
      </c>
      <c r="J137" s="64">
        <v>0.2273</v>
      </c>
      <c r="K137" s="64">
        <v>0.33</v>
      </c>
      <c r="L137" s="66">
        <v>32.840000000000003</v>
      </c>
      <c r="M137" s="75" t="s">
        <v>84</v>
      </c>
      <c r="N137" s="64">
        <v>5</v>
      </c>
      <c r="O137" s="64">
        <v>74</v>
      </c>
      <c r="P137" s="64">
        <v>79</v>
      </c>
      <c r="Q137" s="64"/>
      <c r="R137" s="65" t="str">
        <f t="shared" si="3"/>
        <v>Week 1</v>
      </c>
      <c r="S137" s="65" t="str">
        <f>TEXT(Table8[[#This Row],[Date Day]],"mmm,YYYY")</f>
        <v>Jan,2011</v>
      </c>
    </row>
    <row r="138" spans="1:19" ht="15.6" x14ac:dyDescent="0.3">
      <c r="A138" s="62">
        <v>105</v>
      </c>
      <c r="B138" s="63">
        <v>40548</v>
      </c>
      <c r="C138" s="64">
        <v>13</v>
      </c>
      <c r="D138" s="64" t="b">
        <f>IF(COUNTIF(AU$36:AU$52,Table8[[#This Row],[Date Day]]) &gt; 0, TRUE, FALSE)</f>
        <v>0</v>
      </c>
      <c r="E138" s="64">
        <f t="shared" si="2"/>
        <v>3</v>
      </c>
      <c r="F138" s="64">
        <v>1</v>
      </c>
      <c r="G138" s="65" t="str">
        <f>IF(Table8[[#This Row],[Weathersit]]=1, "BAD", IF(Table8[[#This Row],[Weathersit]]=2, "MODERATE", IF(Table8[[#This Row],[Weathersit]]=3, "GOOD")))</f>
        <v>BAD</v>
      </c>
      <c r="H138" s="64">
        <v>28.000000000000004</v>
      </c>
      <c r="I138" s="65" t="str">
        <f>IF(Table8[[#This Row],[Temp]]&lt;11, "COLD", IF(Table8[[#This Row],[Temp]]&lt;=25, "COMFORTABLE", "WARM"))</f>
        <v>WARM</v>
      </c>
      <c r="J138" s="64">
        <v>0.2576</v>
      </c>
      <c r="K138" s="64">
        <v>0.3</v>
      </c>
      <c r="L138" s="66">
        <v>29.849999999999998</v>
      </c>
      <c r="M138" s="75" t="s">
        <v>81</v>
      </c>
      <c r="N138" s="64">
        <v>6</v>
      </c>
      <c r="O138" s="64">
        <v>65</v>
      </c>
      <c r="P138" s="64">
        <v>71</v>
      </c>
      <c r="Q138" s="64"/>
      <c r="R138" s="65" t="str">
        <f t="shared" si="3"/>
        <v>Week 1</v>
      </c>
      <c r="S138" s="65" t="str">
        <f>TEXT(Table8[[#This Row],[Date Day]],"mmm,YYYY")</f>
        <v>Jan,2011</v>
      </c>
    </row>
    <row r="139" spans="1:19" ht="15.6" x14ac:dyDescent="0.3">
      <c r="A139" s="62">
        <v>106</v>
      </c>
      <c r="B139" s="63">
        <v>40548</v>
      </c>
      <c r="C139" s="64">
        <v>14</v>
      </c>
      <c r="D139" s="64" t="b">
        <f>IF(COUNTIF(AU$36:AU$52,Table8[[#This Row],[Date Day]]) &gt; 0, TRUE, FALSE)</f>
        <v>0</v>
      </c>
      <c r="E139" s="64">
        <f t="shared" si="2"/>
        <v>3</v>
      </c>
      <c r="F139" s="64">
        <v>1</v>
      </c>
      <c r="G139" s="65" t="str">
        <f>IF(Table8[[#This Row],[Weathersit]]=1, "BAD", IF(Table8[[#This Row],[Weathersit]]=2, "MODERATE", IF(Table8[[#This Row],[Weathersit]]=3, "GOOD")))</f>
        <v>BAD</v>
      </c>
      <c r="H139" s="64">
        <v>30</v>
      </c>
      <c r="I139" s="65" t="str">
        <f>IF(Table8[[#This Row],[Temp]]&lt;11, "COLD", IF(Table8[[#This Row],[Temp]]&lt;=25, "COMFORTABLE", "WARM"))</f>
        <v>WARM</v>
      </c>
      <c r="J139" s="64">
        <v>0.28789999999999999</v>
      </c>
      <c r="K139" s="64">
        <v>0.28000000000000003</v>
      </c>
      <c r="L139" s="66">
        <v>19.400000000000002</v>
      </c>
      <c r="M139" s="75" t="s">
        <v>80</v>
      </c>
      <c r="N139" s="64">
        <v>10</v>
      </c>
      <c r="O139" s="64">
        <v>52</v>
      </c>
      <c r="P139" s="64">
        <v>62</v>
      </c>
      <c r="Q139" s="64"/>
      <c r="R139" s="65" t="str">
        <f t="shared" si="3"/>
        <v>Week 1</v>
      </c>
      <c r="S139" s="65" t="str">
        <f>TEXT(Table8[[#This Row],[Date Day]],"mmm,YYYY")</f>
        <v>Jan,2011</v>
      </c>
    </row>
    <row r="140" spans="1:19" ht="15.6" x14ac:dyDescent="0.3">
      <c r="A140" s="62">
        <v>107</v>
      </c>
      <c r="B140" s="63">
        <v>40548</v>
      </c>
      <c r="C140" s="64">
        <v>15</v>
      </c>
      <c r="D140" s="64" t="b">
        <f>IF(COUNTIF(AU$36:AU$52,Table8[[#This Row],[Date Day]]) &gt; 0, TRUE, FALSE)</f>
        <v>0</v>
      </c>
      <c r="E140" s="64">
        <f t="shared" si="2"/>
        <v>3</v>
      </c>
      <c r="F140" s="64">
        <v>1</v>
      </c>
      <c r="G140" s="65" t="str">
        <f>IF(Table8[[#This Row],[Weathersit]]=1, "BAD", IF(Table8[[#This Row],[Weathersit]]=2, "MODERATE", IF(Table8[[#This Row],[Weathersit]]=3, "GOOD")))</f>
        <v>BAD</v>
      </c>
      <c r="H140" s="64">
        <v>30</v>
      </c>
      <c r="I140" s="65" t="str">
        <f>IF(Table8[[#This Row],[Temp]]&lt;11, "COLD", IF(Table8[[#This Row],[Temp]]&lt;=25, "COMFORTABLE", "WARM"))</f>
        <v>WARM</v>
      </c>
      <c r="J140" s="64">
        <v>0.28789999999999999</v>
      </c>
      <c r="K140" s="64">
        <v>0.28000000000000003</v>
      </c>
      <c r="L140" s="66">
        <v>19.400000000000002</v>
      </c>
      <c r="M140" s="75" t="s">
        <v>80</v>
      </c>
      <c r="N140" s="64">
        <v>7</v>
      </c>
      <c r="O140" s="64">
        <v>55</v>
      </c>
      <c r="P140" s="64">
        <v>62</v>
      </c>
      <c r="Q140" s="64"/>
      <c r="R140" s="65" t="str">
        <f t="shared" si="3"/>
        <v>Week 1</v>
      </c>
      <c r="S140" s="65" t="str">
        <f>TEXT(Table8[[#This Row],[Date Day]],"mmm,YYYY")</f>
        <v>Jan,2011</v>
      </c>
    </row>
    <row r="141" spans="1:19" ht="15.6" x14ac:dyDescent="0.3">
      <c r="A141" s="62">
        <v>108</v>
      </c>
      <c r="B141" s="63">
        <v>40548</v>
      </c>
      <c r="C141" s="64">
        <v>16</v>
      </c>
      <c r="D141" s="64" t="b">
        <f>IF(COUNTIF(AU$36:AU$52,Table8[[#This Row],[Date Day]]) &gt; 0, TRUE, FALSE)</f>
        <v>0</v>
      </c>
      <c r="E141" s="64">
        <f t="shared" si="2"/>
        <v>3</v>
      </c>
      <c r="F141" s="64">
        <v>1</v>
      </c>
      <c r="G141" s="65" t="str">
        <f>IF(Table8[[#This Row],[Weathersit]]=1, "BAD", IF(Table8[[#This Row],[Weathersit]]=2, "MODERATE", IF(Table8[[#This Row],[Weathersit]]=3, "GOOD")))</f>
        <v>BAD</v>
      </c>
      <c r="H141" s="64">
        <v>30</v>
      </c>
      <c r="I141" s="65" t="str">
        <f>IF(Table8[[#This Row],[Temp]]&lt;11, "COLD", IF(Table8[[#This Row],[Temp]]&lt;=25, "COMFORTABLE", "WARM"))</f>
        <v>WARM</v>
      </c>
      <c r="J141" s="64">
        <v>0.31819999999999998</v>
      </c>
      <c r="K141" s="64">
        <v>0.28000000000000003</v>
      </c>
      <c r="L141" s="66">
        <v>8.9599999999999991</v>
      </c>
      <c r="M141" s="75" t="s">
        <v>80</v>
      </c>
      <c r="N141" s="64">
        <v>4</v>
      </c>
      <c r="O141" s="64">
        <v>85</v>
      </c>
      <c r="P141" s="64">
        <v>89</v>
      </c>
      <c r="Q141" s="64"/>
      <c r="R141" s="65" t="str">
        <f t="shared" si="3"/>
        <v>Week 1</v>
      </c>
      <c r="S141" s="65" t="str">
        <f>TEXT(Table8[[#This Row],[Date Day]],"mmm,YYYY")</f>
        <v>Jan,2011</v>
      </c>
    </row>
    <row r="142" spans="1:19" ht="15.6" x14ac:dyDescent="0.3">
      <c r="A142" s="62">
        <v>109</v>
      </c>
      <c r="B142" s="63">
        <v>40548</v>
      </c>
      <c r="C142" s="64">
        <v>17</v>
      </c>
      <c r="D142" s="64" t="b">
        <f>IF(COUNTIF(AU$36:AU$52,Table8[[#This Row],[Date Day]]) &gt; 0, TRUE, FALSE)</f>
        <v>0</v>
      </c>
      <c r="E142" s="64">
        <f t="shared" si="2"/>
        <v>3</v>
      </c>
      <c r="F142" s="64">
        <v>1</v>
      </c>
      <c r="G142" s="65" t="str">
        <f>IF(Table8[[#This Row],[Weathersit]]=1, "BAD", IF(Table8[[#This Row],[Weathersit]]=2, "MODERATE", IF(Table8[[#This Row],[Weathersit]]=3, "GOOD")))</f>
        <v>BAD</v>
      </c>
      <c r="H142" s="64">
        <v>24</v>
      </c>
      <c r="I142" s="65" t="str">
        <f>IF(Table8[[#This Row],[Temp]]&lt;11, "COLD", IF(Table8[[#This Row],[Temp]]&lt;=25, "COMFORTABLE", "WARM"))</f>
        <v>COMFORTABLE</v>
      </c>
      <c r="J142" s="64">
        <v>0.2273</v>
      </c>
      <c r="K142" s="64">
        <v>0.38</v>
      </c>
      <c r="L142" s="66">
        <v>19.400000000000002</v>
      </c>
      <c r="M142" s="75" t="s">
        <v>80</v>
      </c>
      <c r="N142" s="64">
        <v>4</v>
      </c>
      <c r="O142" s="64">
        <v>186</v>
      </c>
      <c r="P142" s="64">
        <v>190</v>
      </c>
      <c r="Q142" s="64"/>
      <c r="R142" s="65" t="str">
        <f t="shared" si="3"/>
        <v>Week 1</v>
      </c>
      <c r="S142" s="65" t="str">
        <f>TEXT(Table8[[#This Row],[Date Day]],"mmm,YYYY")</f>
        <v>Jan,2011</v>
      </c>
    </row>
    <row r="143" spans="1:19" ht="15.6" x14ac:dyDescent="0.3">
      <c r="A143" s="62">
        <v>110</v>
      </c>
      <c r="B143" s="63">
        <v>40548</v>
      </c>
      <c r="C143" s="64">
        <v>18</v>
      </c>
      <c r="D143" s="64" t="b">
        <f>IF(COUNTIF(AU$36:AU$52,Table8[[#This Row],[Date Day]]) &gt; 0, TRUE, FALSE)</f>
        <v>0</v>
      </c>
      <c r="E143" s="64">
        <f t="shared" si="2"/>
        <v>3</v>
      </c>
      <c r="F143" s="64">
        <v>1</v>
      </c>
      <c r="G143" s="65" t="str">
        <f>IF(Table8[[#This Row],[Weathersit]]=1, "BAD", IF(Table8[[#This Row],[Weathersit]]=2, "MODERATE", IF(Table8[[#This Row],[Weathersit]]=3, "GOOD")))</f>
        <v>BAD</v>
      </c>
      <c r="H143" s="64">
        <v>24</v>
      </c>
      <c r="I143" s="65" t="str">
        <f>IF(Table8[[#This Row],[Temp]]&lt;11, "COLD", IF(Table8[[#This Row],[Temp]]&lt;=25, "COMFORTABLE", "WARM"))</f>
        <v>COMFORTABLE</v>
      </c>
      <c r="J143" s="64">
        <v>0.2424</v>
      </c>
      <c r="K143" s="64">
        <v>0.38</v>
      </c>
      <c r="L143" s="66">
        <v>13.43</v>
      </c>
      <c r="M143" s="75" t="s">
        <v>80</v>
      </c>
      <c r="N143" s="64">
        <v>3</v>
      </c>
      <c r="O143" s="64">
        <v>166</v>
      </c>
      <c r="P143" s="64">
        <v>169</v>
      </c>
      <c r="Q143" s="64"/>
      <c r="R143" s="65" t="str">
        <f t="shared" si="3"/>
        <v>Week 1</v>
      </c>
      <c r="S143" s="65" t="str">
        <f>TEXT(Table8[[#This Row],[Date Day]],"mmm,YYYY")</f>
        <v>Jan,2011</v>
      </c>
    </row>
    <row r="144" spans="1:19" ht="15.6" x14ac:dyDescent="0.3">
      <c r="A144" s="62">
        <v>111</v>
      </c>
      <c r="B144" s="63">
        <v>40548</v>
      </c>
      <c r="C144" s="64">
        <v>19</v>
      </c>
      <c r="D144" s="64" t="b">
        <f>IF(COUNTIF(AU$36:AU$52,Table8[[#This Row],[Date Day]]) &gt; 0, TRUE, FALSE)</f>
        <v>0</v>
      </c>
      <c r="E144" s="64">
        <f t="shared" si="2"/>
        <v>3</v>
      </c>
      <c r="F144" s="64">
        <v>1</v>
      </c>
      <c r="G144" s="65" t="str">
        <f>IF(Table8[[#This Row],[Weathersit]]=1, "BAD", IF(Table8[[#This Row],[Weathersit]]=2, "MODERATE", IF(Table8[[#This Row],[Weathersit]]=3, "GOOD")))</f>
        <v>BAD</v>
      </c>
      <c r="H144" s="64">
        <v>24</v>
      </c>
      <c r="I144" s="65" t="str">
        <f>IF(Table8[[#This Row],[Temp]]&lt;11, "COLD", IF(Table8[[#This Row],[Temp]]&lt;=25, "COMFORTABLE", "WARM"))</f>
        <v>COMFORTABLE</v>
      </c>
      <c r="J144" s="64">
        <v>0.2576</v>
      </c>
      <c r="K144" s="64">
        <v>0.38</v>
      </c>
      <c r="L144" s="66">
        <v>10.45</v>
      </c>
      <c r="M144" s="75" t="s">
        <v>80</v>
      </c>
      <c r="N144" s="64">
        <v>5</v>
      </c>
      <c r="O144" s="64">
        <v>127</v>
      </c>
      <c r="P144" s="64">
        <v>132</v>
      </c>
      <c r="Q144" s="64"/>
      <c r="R144" s="65" t="str">
        <f t="shared" si="3"/>
        <v>Week 1</v>
      </c>
      <c r="S144" s="65" t="str">
        <f>TEXT(Table8[[#This Row],[Date Day]],"mmm,YYYY")</f>
        <v>Jan,2011</v>
      </c>
    </row>
    <row r="145" spans="1:19" ht="15.6" x14ac:dyDescent="0.3">
      <c r="A145" s="62">
        <v>112</v>
      </c>
      <c r="B145" s="63">
        <v>40548</v>
      </c>
      <c r="C145" s="64">
        <v>20</v>
      </c>
      <c r="D145" s="64" t="b">
        <f>IF(COUNTIF(AU$36:AU$52,Table8[[#This Row],[Date Day]]) &gt; 0, TRUE, FALSE)</f>
        <v>0</v>
      </c>
      <c r="E145" s="64">
        <f t="shared" si="2"/>
        <v>3</v>
      </c>
      <c r="F145" s="64">
        <v>1</v>
      </c>
      <c r="G145" s="65" t="str">
        <f>IF(Table8[[#This Row],[Weathersit]]=1, "BAD", IF(Table8[[#This Row],[Weathersit]]=2, "MODERATE", IF(Table8[[#This Row],[Weathersit]]=3, "GOOD")))</f>
        <v>BAD</v>
      </c>
      <c r="H145" s="64">
        <v>22</v>
      </c>
      <c r="I145" s="65" t="str">
        <f>IF(Table8[[#This Row],[Temp]]&lt;11, "COLD", IF(Table8[[#This Row],[Temp]]&lt;=25, "COMFORTABLE", "WARM"))</f>
        <v>COMFORTABLE</v>
      </c>
      <c r="J145" s="64">
        <v>0.2273</v>
      </c>
      <c r="K145" s="64">
        <v>0.47</v>
      </c>
      <c r="L145" s="66">
        <v>16.420000000000002</v>
      </c>
      <c r="M145" s="75" t="s">
        <v>80</v>
      </c>
      <c r="N145" s="64">
        <v>7</v>
      </c>
      <c r="O145" s="64">
        <v>82</v>
      </c>
      <c r="P145" s="64">
        <v>89</v>
      </c>
      <c r="Q145" s="64"/>
      <c r="R145" s="65" t="str">
        <f t="shared" si="3"/>
        <v>Week 1</v>
      </c>
      <c r="S145" s="65" t="str">
        <f>TEXT(Table8[[#This Row],[Date Day]],"mmm,YYYY")</f>
        <v>Jan,2011</v>
      </c>
    </row>
    <row r="146" spans="1:19" ht="15.6" x14ac:dyDescent="0.3">
      <c r="A146" s="62">
        <v>113</v>
      </c>
      <c r="B146" s="63">
        <v>40548</v>
      </c>
      <c r="C146" s="64">
        <v>21</v>
      </c>
      <c r="D146" s="64" t="b">
        <f>IF(COUNTIF(AU$36:AU$52,Table8[[#This Row],[Date Day]]) &gt; 0, TRUE, FALSE)</f>
        <v>0</v>
      </c>
      <c r="E146" s="64">
        <f t="shared" si="2"/>
        <v>3</v>
      </c>
      <c r="F146" s="64">
        <v>1</v>
      </c>
      <c r="G146" s="65" t="str">
        <f>IF(Table8[[#This Row],[Weathersit]]=1, "BAD", IF(Table8[[#This Row],[Weathersit]]=2, "MODERATE", IF(Table8[[#This Row],[Weathersit]]=3, "GOOD")))</f>
        <v>BAD</v>
      </c>
      <c r="H146" s="64">
        <v>20</v>
      </c>
      <c r="I146" s="65" t="str">
        <f>IF(Table8[[#This Row],[Temp]]&lt;11, "COLD", IF(Table8[[#This Row],[Temp]]&lt;=25, "COMFORTABLE", "WARM"))</f>
        <v>COMFORTABLE</v>
      </c>
      <c r="J146" s="64">
        <v>0.19700000000000001</v>
      </c>
      <c r="K146" s="64">
        <v>0.51</v>
      </c>
      <c r="L146" s="66">
        <v>19.400000000000002</v>
      </c>
      <c r="M146" s="75" t="s">
        <v>80</v>
      </c>
      <c r="N146" s="64">
        <v>3</v>
      </c>
      <c r="O146" s="64">
        <v>40</v>
      </c>
      <c r="P146" s="64">
        <v>43</v>
      </c>
      <c r="Q146" s="64"/>
      <c r="R146" s="65" t="str">
        <f t="shared" si="3"/>
        <v>Week 1</v>
      </c>
      <c r="S146" s="65" t="str">
        <f>TEXT(Table8[[#This Row],[Date Day]],"mmm,YYYY")</f>
        <v>Jan,2011</v>
      </c>
    </row>
    <row r="147" spans="1:19" ht="15.6" x14ac:dyDescent="0.3">
      <c r="A147" s="62">
        <v>114</v>
      </c>
      <c r="B147" s="63">
        <v>40548</v>
      </c>
      <c r="C147" s="64">
        <v>22</v>
      </c>
      <c r="D147" s="64" t="b">
        <f>IF(COUNTIF(AU$36:AU$52,Table8[[#This Row],[Date Day]]) &gt; 0, TRUE, FALSE)</f>
        <v>0</v>
      </c>
      <c r="E147" s="64">
        <f t="shared" si="2"/>
        <v>3</v>
      </c>
      <c r="F147" s="64">
        <v>1</v>
      </c>
      <c r="G147" s="65" t="str">
        <f>IF(Table8[[#This Row],[Weathersit]]=1, "BAD", IF(Table8[[#This Row],[Weathersit]]=2, "MODERATE", IF(Table8[[#This Row],[Weathersit]]=3, "GOOD")))</f>
        <v>BAD</v>
      </c>
      <c r="H147" s="64">
        <v>18</v>
      </c>
      <c r="I147" s="65" t="str">
        <f>IF(Table8[[#This Row],[Temp]]&lt;11, "COLD", IF(Table8[[#This Row],[Temp]]&lt;=25, "COMFORTABLE", "WARM"))</f>
        <v>COMFORTABLE</v>
      </c>
      <c r="J147" s="64">
        <v>0.19700000000000001</v>
      </c>
      <c r="K147" s="64">
        <v>0.55000000000000004</v>
      </c>
      <c r="L147" s="66">
        <v>13.43</v>
      </c>
      <c r="M147" s="75" t="s">
        <v>80</v>
      </c>
      <c r="N147" s="64">
        <v>1</v>
      </c>
      <c r="O147" s="64">
        <v>41</v>
      </c>
      <c r="P147" s="64">
        <v>42</v>
      </c>
      <c r="Q147" s="64"/>
      <c r="R147" s="65" t="str">
        <f t="shared" si="3"/>
        <v>Week 1</v>
      </c>
      <c r="S147" s="65" t="str">
        <f>TEXT(Table8[[#This Row],[Date Day]],"mmm,YYYY")</f>
        <v>Jan,2011</v>
      </c>
    </row>
    <row r="148" spans="1:19" ht="15.6" x14ac:dyDescent="0.3">
      <c r="A148" s="62">
        <v>115</v>
      </c>
      <c r="B148" s="63">
        <v>40548</v>
      </c>
      <c r="C148" s="64">
        <v>23</v>
      </c>
      <c r="D148" s="64" t="b">
        <f>IF(COUNTIF(AU$36:AU$52,Table8[[#This Row],[Date Day]]) &gt; 0, TRUE, FALSE)</f>
        <v>0</v>
      </c>
      <c r="E148" s="64">
        <f t="shared" si="2"/>
        <v>3</v>
      </c>
      <c r="F148" s="64">
        <v>1</v>
      </c>
      <c r="G148" s="65" t="str">
        <f>IF(Table8[[#This Row],[Weathersit]]=1, "BAD", IF(Table8[[#This Row],[Weathersit]]=2, "MODERATE", IF(Table8[[#This Row],[Weathersit]]=3, "GOOD")))</f>
        <v>BAD</v>
      </c>
      <c r="H148" s="64">
        <v>20</v>
      </c>
      <c r="I148" s="65" t="str">
        <f>IF(Table8[[#This Row],[Temp]]&lt;11, "COLD", IF(Table8[[#This Row],[Temp]]&lt;=25, "COMFORTABLE", "WARM"))</f>
        <v>COMFORTABLE</v>
      </c>
      <c r="J148" s="64">
        <v>0.2576</v>
      </c>
      <c r="K148" s="64">
        <v>0.47</v>
      </c>
      <c r="L148" s="66">
        <v>20.485098360655737</v>
      </c>
      <c r="M148" s="75" t="s">
        <v>81</v>
      </c>
      <c r="N148" s="64">
        <v>1</v>
      </c>
      <c r="O148" s="64">
        <v>18</v>
      </c>
      <c r="P148" s="64">
        <v>19</v>
      </c>
      <c r="Q148" s="64"/>
      <c r="R148" s="65" t="str">
        <f t="shared" si="3"/>
        <v>Week 1</v>
      </c>
      <c r="S148" s="65" t="str">
        <f>TEXT(Table8[[#This Row],[Date Day]],"mmm,YYYY")</f>
        <v>Jan,2011</v>
      </c>
    </row>
    <row r="149" spans="1:19" ht="15.6" x14ac:dyDescent="0.3">
      <c r="A149" s="62">
        <v>116</v>
      </c>
      <c r="B149" s="63">
        <v>40549</v>
      </c>
      <c r="C149" s="64">
        <v>0</v>
      </c>
      <c r="D149" s="64" t="b">
        <f>IF(COUNTIF(AU$36:AU$52,Table8[[#This Row],[Date Day]]) &gt; 0, TRUE, FALSE)</f>
        <v>0</v>
      </c>
      <c r="E149" s="64">
        <f t="shared" si="2"/>
        <v>4</v>
      </c>
      <c r="F149" s="64">
        <v>1</v>
      </c>
      <c r="G149" s="65" t="str">
        <f>IF(Table8[[#This Row],[Weathersit]]=1, "BAD", IF(Table8[[#This Row],[Weathersit]]=2, "MODERATE", IF(Table8[[#This Row],[Weathersit]]=3, "GOOD")))</f>
        <v>BAD</v>
      </c>
      <c r="H149" s="64">
        <v>18</v>
      </c>
      <c r="I149" s="65" t="str">
        <f>IF(Table8[[#This Row],[Temp]]&lt;11, "COLD", IF(Table8[[#This Row],[Temp]]&lt;=25, "COMFORTABLE", "WARM"))</f>
        <v>COMFORTABLE</v>
      </c>
      <c r="J149" s="64">
        <v>0.2424</v>
      </c>
      <c r="K149" s="64">
        <v>0.55000000000000004</v>
      </c>
      <c r="L149" s="66">
        <v>20.485098360655737</v>
      </c>
      <c r="M149" s="75" t="s">
        <v>81</v>
      </c>
      <c r="N149" s="64">
        <v>0</v>
      </c>
      <c r="O149" s="64">
        <v>11</v>
      </c>
      <c r="P149" s="64">
        <v>11</v>
      </c>
      <c r="Q149" s="64"/>
      <c r="R149" s="65" t="str">
        <f t="shared" si="3"/>
        <v>Week 1</v>
      </c>
      <c r="S149" s="65" t="str">
        <f>TEXT(Table8[[#This Row],[Date Day]],"mmm,YYYY")</f>
        <v>Jan,2011</v>
      </c>
    </row>
    <row r="150" spans="1:19" ht="15.6" x14ac:dyDescent="0.3">
      <c r="A150" s="62">
        <v>117</v>
      </c>
      <c r="B150" s="63">
        <v>40549</v>
      </c>
      <c r="C150" s="64">
        <v>1</v>
      </c>
      <c r="D150" s="64" t="b">
        <f>IF(COUNTIF(AU$36:AU$52,Table8[[#This Row],[Date Day]]) &gt; 0, TRUE, FALSE)</f>
        <v>0</v>
      </c>
      <c r="E150" s="64">
        <f t="shared" si="2"/>
        <v>4</v>
      </c>
      <c r="F150" s="64">
        <v>1</v>
      </c>
      <c r="G150" s="65" t="str">
        <f>IF(Table8[[#This Row],[Weathersit]]=1, "BAD", IF(Table8[[#This Row],[Weathersit]]=2, "MODERATE", IF(Table8[[#This Row],[Weathersit]]=3, "GOOD")))</f>
        <v>BAD</v>
      </c>
      <c r="H150" s="64">
        <v>16</v>
      </c>
      <c r="I150" s="65" t="str">
        <f>IF(Table8[[#This Row],[Temp]]&lt;11, "COLD", IF(Table8[[#This Row],[Temp]]&lt;=25, "COMFORTABLE", "WARM"))</f>
        <v>COMFORTABLE</v>
      </c>
      <c r="J150" s="64">
        <v>0.2273</v>
      </c>
      <c r="K150" s="64">
        <v>0.64</v>
      </c>
      <c r="L150" s="66">
        <v>20.485098360655737</v>
      </c>
      <c r="M150" s="75" t="s">
        <v>81</v>
      </c>
      <c r="N150" s="64">
        <v>0</v>
      </c>
      <c r="O150" s="64">
        <v>4</v>
      </c>
      <c r="P150" s="64">
        <v>4</v>
      </c>
      <c r="Q150" s="64"/>
      <c r="R150" s="65" t="str">
        <f t="shared" si="3"/>
        <v>Week 1</v>
      </c>
      <c r="S150" s="65" t="str">
        <f>TEXT(Table8[[#This Row],[Date Day]],"mmm,YYYY")</f>
        <v>Jan,2011</v>
      </c>
    </row>
    <row r="151" spans="1:19" ht="15.6" x14ac:dyDescent="0.3">
      <c r="A151" s="62">
        <v>118</v>
      </c>
      <c r="B151" s="63">
        <v>40549</v>
      </c>
      <c r="C151" s="64">
        <v>2</v>
      </c>
      <c r="D151" s="64" t="b">
        <f>IF(COUNTIF(AU$36:AU$52,Table8[[#This Row],[Date Day]]) &gt; 0, TRUE, FALSE)</f>
        <v>0</v>
      </c>
      <c r="E151" s="64">
        <f t="shared" si="2"/>
        <v>4</v>
      </c>
      <c r="F151" s="64">
        <v>1</v>
      </c>
      <c r="G151" s="65" t="str">
        <f>IF(Table8[[#This Row],[Weathersit]]=1, "BAD", IF(Table8[[#This Row],[Weathersit]]=2, "MODERATE", IF(Table8[[#This Row],[Weathersit]]=3, "GOOD")))</f>
        <v>BAD</v>
      </c>
      <c r="H151" s="64">
        <v>16</v>
      </c>
      <c r="I151" s="65" t="str">
        <f>IF(Table8[[#This Row],[Temp]]&lt;11, "COLD", IF(Table8[[#This Row],[Temp]]&lt;=25, "COMFORTABLE", "WARM"))</f>
        <v>COMFORTABLE</v>
      </c>
      <c r="J151" s="64">
        <v>0.2273</v>
      </c>
      <c r="K151" s="64">
        <v>0.64</v>
      </c>
      <c r="L151" s="66">
        <v>20.485098360655737</v>
      </c>
      <c r="M151" s="75" t="s">
        <v>81</v>
      </c>
      <c r="N151" s="64">
        <v>0</v>
      </c>
      <c r="O151" s="64">
        <v>2</v>
      </c>
      <c r="P151" s="64">
        <v>2</v>
      </c>
      <c r="Q151" s="64"/>
      <c r="R151" s="65" t="str">
        <f t="shared" si="3"/>
        <v>Week 1</v>
      </c>
      <c r="S151" s="65" t="str">
        <f>TEXT(Table8[[#This Row],[Date Day]],"mmm,YYYY")</f>
        <v>Jan,2011</v>
      </c>
    </row>
    <row r="152" spans="1:19" ht="15.6" x14ac:dyDescent="0.3">
      <c r="A152" s="62">
        <v>119</v>
      </c>
      <c r="B152" s="63">
        <v>40549</v>
      </c>
      <c r="C152" s="64">
        <v>4</v>
      </c>
      <c r="D152" s="64" t="b">
        <f>IF(COUNTIF(AU$36:AU$52,Table8[[#This Row],[Date Day]]) &gt; 0, TRUE, FALSE)</f>
        <v>0</v>
      </c>
      <c r="E152" s="64">
        <f t="shared" si="2"/>
        <v>4</v>
      </c>
      <c r="F152" s="64">
        <v>2</v>
      </c>
      <c r="G152" s="65" t="str">
        <f>IF(Table8[[#This Row],[Weathersit]]=1, "BAD", IF(Table8[[#This Row],[Weathersit]]=2, "MODERATE", IF(Table8[[#This Row],[Weathersit]]=3, "GOOD")))</f>
        <v>MODERATE</v>
      </c>
      <c r="H152" s="64">
        <v>16</v>
      </c>
      <c r="I152" s="65" t="str">
        <f>IF(Table8[[#This Row],[Temp]]&lt;11, "COLD", IF(Table8[[#This Row],[Temp]]&lt;=25, "COMFORTABLE", "WARM"))</f>
        <v>COMFORTABLE</v>
      </c>
      <c r="J152" s="64">
        <v>0.19700000000000001</v>
      </c>
      <c r="K152" s="64">
        <v>0.64</v>
      </c>
      <c r="L152" s="66">
        <v>8.9599999999999991</v>
      </c>
      <c r="M152" s="75" t="s">
        <v>80</v>
      </c>
      <c r="N152" s="64">
        <v>0</v>
      </c>
      <c r="O152" s="64">
        <v>1</v>
      </c>
      <c r="P152" s="64">
        <v>1</v>
      </c>
      <c r="Q152" s="64"/>
      <c r="R152" s="65" t="str">
        <f t="shared" si="3"/>
        <v>Week 1</v>
      </c>
      <c r="S152" s="65" t="str">
        <f>TEXT(Table8[[#This Row],[Date Day]],"mmm,YYYY")</f>
        <v>Jan,2011</v>
      </c>
    </row>
    <row r="153" spans="1:19" ht="15.6" x14ac:dyDescent="0.3">
      <c r="A153" s="62">
        <v>120</v>
      </c>
      <c r="B153" s="63">
        <v>40549</v>
      </c>
      <c r="C153" s="64">
        <v>5</v>
      </c>
      <c r="D153" s="64" t="b">
        <f>IF(COUNTIF(AU$36:AU$52,Table8[[#This Row],[Date Day]]) &gt; 0, TRUE, FALSE)</f>
        <v>0</v>
      </c>
      <c r="E153" s="64">
        <f t="shared" si="2"/>
        <v>4</v>
      </c>
      <c r="F153" s="64">
        <v>2</v>
      </c>
      <c r="G153" s="65" t="str">
        <f>IF(Table8[[#This Row],[Weathersit]]=1, "BAD", IF(Table8[[#This Row],[Weathersit]]=2, "MODERATE", IF(Table8[[#This Row],[Weathersit]]=3, "GOOD")))</f>
        <v>MODERATE</v>
      </c>
      <c r="H153" s="64">
        <v>14.000000000000002</v>
      </c>
      <c r="I153" s="65" t="str">
        <f>IF(Table8[[#This Row],[Temp]]&lt;11, "COLD", IF(Table8[[#This Row],[Temp]]&lt;=25, "COMFORTABLE", "WARM"))</f>
        <v>COMFORTABLE</v>
      </c>
      <c r="J153" s="64">
        <v>0.18179999999999999</v>
      </c>
      <c r="K153" s="64">
        <v>0.69</v>
      </c>
      <c r="L153" s="66">
        <v>8.9599999999999991</v>
      </c>
      <c r="M153" s="75" t="s">
        <v>80</v>
      </c>
      <c r="N153" s="64">
        <v>0</v>
      </c>
      <c r="O153" s="64">
        <v>4</v>
      </c>
      <c r="P153" s="64">
        <v>4</v>
      </c>
      <c r="Q153" s="64"/>
      <c r="R153" s="65" t="str">
        <f t="shared" si="3"/>
        <v>Week 1</v>
      </c>
      <c r="S153" s="65" t="str">
        <f>TEXT(Table8[[#This Row],[Date Day]],"mmm,YYYY")</f>
        <v>Jan,2011</v>
      </c>
    </row>
    <row r="154" spans="1:19" ht="15.6" x14ac:dyDescent="0.3">
      <c r="A154" s="62">
        <v>121</v>
      </c>
      <c r="B154" s="63">
        <v>40549</v>
      </c>
      <c r="C154" s="64">
        <v>6</v>
      </c>
      <c r="D154" s="64" t="b">
        <f>IF(COUNTIF(AU$36:AU$52,Table8[[#This Row],[Date Day]]) &gt; 0, TRUE, FALSE)</f>
        <v>0</v>
      </c>
      <c r="E154" s="64">
        <f t="shared" si="2"/>
        <v>4</v>
      </c>
      <c r="F154" s="64">
        <v>2</v>
      </c>
      <c r="G154" s="65" t="str">
        <f>IF(Table8[[#This Row],[Weathersit]]=1, "BAD", IF(Table8[[#This Row],[Weathersit]]=2, "MODERATE", IF(Table8[[#This Row],[Weathersit]]=3, "GOOD")))</f>
        <v>MODERATE</v>
      </c>
      <c r="H154" s="64">
        <v>14.000000000000002</v>
      </c>
      <c r="I154" s="65" t="str">
        <f>IF(Table8[[#This Row],[Temp]]&lt;11, "COLD", IF(Table8[[#This Row],[Temp]]&lt;=25, "COMFORTABLE", "WARM"))</f>
        <v>COMFORTABLE</v>
      </c>
      <c r="J154" s="64">
        <v>0.16669999999999999</v>
      </c>
      <c r="K154" s="64">
        <v>0.63</v>
      </c>
      <c r="L154" s="66">
        <v>10.45</v>
      </c>
      <c r="M154" s="75" t="s">
        <v>80</v>
      </c>
      <c r="N154" s="64">
        <v>0</v>
      </c>
      <c r="O154" s="64">
        <v>36</v>
      </c>
      <c r="P154" s="64">
        <v>36</v>
      </c>
      <c r="Q154" s="64"/>
      <c r="R154" s="65" t="str">
        <f t="shared" si="3"/>
        <v>Week 1</v>
      </c>
      <c r="S154" s="65" t="str">
        <f>TEXT(Table8[[#This Row],[Date Day]],"mmm,YYYY")</f>
        <v>Jan,2011</v>
      </c>
    </row>
    <row r="155" spans="1:19" ht="15.6" x14ac:dyDescent="0.3">
      <c r="A155" s="62">
        <v>122</v>
      </c>
      <c r="B155" s="63">
        <v>40549</v>
      </c>
      <c r="C155" s="64">
        <v>7</v>
      </c>
      <c r="D155" s="64" t="b">
        <f>IF(COUNTIF(AU$36:AU$52,Table8[[#This Row],[Date Day]]) &gt; 0, TRUE, FALSE)</f>
        <v>0</v>
      </c>
      <c r="E155" s="64">
        <f t="shared" si="2"/>
        <v>4</v>
      </c>
      <c r="F155" s="64">
        <v>2</v>
      </c>
      <c r="G155" s="65" t="str">
        <f>IF(Table8[[#This Row],[Weathersit]]=1, "BAD", IF(Table8[[#This Row],[Weathersit]]=2, "MODERATE", IF(Table8[[#This Row],[Weathersit]]=3, "GOOD")))</f>
        <v>MODERATE</v>
      </c>
      <c r="H155" s="64">
        <v>16</v>
      </c>
      <c r="I155" s="65" t="str">
        <f>IF(Table8[[#This Row],[Temp]]&lt;11, "COLD", IF(Table8[[#This Row],[Temp]]&lt;=25, "COMFORTABLE", "WARM"))</f>
        <v>COMFORTABLE</v>
      </c>
      <c r="J155" s="64">
        <v>0.2273</v>
      </c>
      <c r="K155" s="64">
        <v>0.59</v>
      </c>
      <c r="L155" s="66">
        <v>20.485098360655737</v>
      </c>
      <c r="M155" s="75" t="s">
        <v>81</v>
      </c>
      <c r="N155" s="64">
        <v>0</v>
      </c>
      <c r="O155" s="64">
        <v>95</v>
      </c>
      <c r="P155" s="64">
        <v>95</v>
      </c>
      <c r="Q155" s="64"/>
      <c r="R155" s="65" t="str">
        <f t="shared" si="3"/>
        <v>Week 1</v>
      </c>
      <c r="S155" s="65" t="str">
        <f>TEXT(Table8[[#This Row],[Date Day]],"mmm,YYYY")</f>
        <v>Jan,2011</v>
      </c>
    </row>
    <row r="156" spans="1:19" ht="15.6" x14ac:dyDescent="0.3">
      <c r="A156" s="62">
        <v>123</v>
      </c>
      <c r="B156" s="63">
        <v>40549</v>
      </c>
      <c r="C156" s="64">
        <v>8</v>
      </c>
      <c r="D156" s="64" t="b">
        <f>IF(COUNTIF(AU$36:AU$52,Table8[[#This Row],[Date Day]]) &gt; 0, TRUE, FALSE)</f>
        <v>0</v>
      </c>
      <c r="E156" s="64">
        <f t="shared" si="2"/>
        <v>4</v>
      </c>
      <c r="F156" s="64">
        <v>1</v>
      </c>
      <c r="G156" s="65" t="str">
        <f>IF(Table8[[#This Row],[Weathersit]]=1, "BAD", IF(Table8[[#This Row],[Weathersit]]=2, "MODERATE", IF(Table8[[#This Row],[Weathersit]]=3, "GOOD")))</f>
        <v>BAD</v>
      </c>
      <c r="H156" s="64">
        <v>16</v>
      </c>
      <c r="I156" s="65" t="str">
        <f>IF(Table8[[#This Row],[Temp]]&lt;11, "COLD", IF(Table8[[#This Row],[Temp]]&lt;=25, "COMFORTABLE", "WARM"))</f>
        <v>COMFORTABLE</v>
      </c>
      <c r="J156" s="64">
        <v>0.2273</v>
      </c>
      <c r="K156" s="64">
        <v>0.59</v>
      </c>
      <c r="L156" s="66">
        <v>20.485098360655737</v>
      </c>
      <c r="M156" s="75" t="s">
        <v>81</v>
      </c>
      <c r="N156" s="64">
        <v>3</v>
      </c>
      <c r="O156" s="64">
        <v>216</v>
      </c>
      <c r="P156" s="64">
        <v>219</v>
      </c>
      <c r="Q156" s="64"/>
      <c r="R156" s="65" t="str">
        <f t="shared" si="3"/>
        <v>Week 1</v>
      </c>
      <c r="S156" s="65" t="str">
        <f>TEXT(Table8[[#This Row],[Date Day]],"mmm,YYYY")</f>
        <v>Jan,2011</v>
      </c>
    </row>
    <row r="157" spans="1:19" ht="15.6" x14ac:dyDescent="0.3">
      <c r="A157" s="62">
        <v>124</v>
      </c>
      <c r="B157" s="63">
        <v>40549</v>
      </c>
      <c r="C157" s="64">
        <v>9</v>
      </c>
      <c r="D157" s="64" t="b">
        <f>IF(COUNTIF(AU$36:AU$52,Table8[[#This Row],[Date Day]]) &gt; 0, TRUE, FALSE)</f>
        <v>0</v>
      </c>
      <c r="E157" s="64">
        <f t="shared" si="2"/>
        <v>4</v>
      </c>
      <c r="F157" s="64">
        <v>2</v>
      </c>
      <c r="G157" s="65" t="str">
        <f>IF(Table8[[#This Row],[Weathersit]]=1, "BAD", IF(Table8[[#This Row],[Weathersit]]=2, "MODERATE", IF(Table8[[#This Row],[Weathersit]]=3, "GOOD")))</f>
        <v>MODERATE</v>
      </c>
      <c r="H157" s="64">
        <v>18</v>
      </c>
      <c r="I157" s="65" t="str">
        <f>IF(Table8[[#This Row],[Temp]]&lt;11, "COLD", IF(Table8[[#This Row],[Temp]]&lt;=25, "COMFORTABLE", "WARM"))</f>
        <v>COMFORTABLE</v>
      </c>
      <c r="J157" s="64">
        <v>0.2424</v>
      </c>
      <c r="K157" s="64">
        <v>0.51</v>
      </c>
      <c r="L157" s="66">
        <v>20.485098360655737</v>
      </c>
      <c r="M157" s="75" t="s">
        <v>81</v>
      </c>
      <c r="N157" s="64">
        <v>6</v>
      </c>
      <c r="O157" s="64">
        <v>116</v>
      </c>
      <c r="P157" s="64">
        <v>122</v>
      </c>
      <c r="Q157" s="64"/>
      <c r="R157" s="65" t="str">
        <f t="shared" si="3"/>
        <v>Week 1</v>
      </c>
      <c r="S157" s="65" t="str">
        <f>TEXT(Table8[[#This Row],[Date Day]],"mmm,YYYY")</f>
        <v>Jan,2011</v>
      </c>
    </row>
    <row r="158" spans="1:19" ht="15.6" x14ac:dyDescent="0.3">
      <c r="A158" s="62">
        <v>125</v>
      </c>
      <c r="B158" s="63">
        <v>40549</v>
      </c>
      <c r="C158" s="64">
        <v>10</v>
      </c>
      <c r="D158" s="64" t="b">
        <f>IF(COUNTIF(AU$36:AU$52,Table8[[#This Row],[Date Day]]) &gt; 0, TRUE, FALSE)</f>
        <v>0</v>
      </c>
      <c r="E158" s="64">
        <f t="shared" si="2"/>
        <v>4</v>
      </c>
      <c r="F158" s="64">
        <v>1</v>
      </c>
      <c r="G158" s="65" t="str">
        <f>IF(Table8[[#This Row],[Weathersit]]=1, "BAD", IF(Table8[[#This Row],[Weathersit]]=2, "MODERATE", IF(Table8[[#This Row],[Weathersit]]=3, "GOOD")))</f>
        <v>BAD</v>
      </c>
      <c r="H158" s="64">
        <v>20</v>
      </c>
      <c r="I158" s="65" t="str">
        <f>IF(Table8[[#This Row],[Temp]]&lt;11, "COLD", IF(Table8[[#This Row],[Temp]]&lt;=25, "COMFORTABLE", "WARM"))</f>
        <v>COMFORTABLE</v>
      </c>
      <c r="J158" s="64">
        <v>0.2576</v>
      </c>
      <c r="K158" s="64">
        <v>0.47</v>
      </c>
      <c r="L158" s="66">
        <v>20.485098360655737</v>
      </c>
      <c r="M158" s="75" t="s">
        <v>81</v>
      </c>
      <c r="N158" s="64">
        <v>3</v>
      </c>
      <c r="O158" s="64">
        <v>42</v>
      </c>
      <c r="P158" s="64">
        <v>45</v>
      </c>
      <c r="Q158" s="64"/>
      <c r="R158" s="65" t="str">
        <f t="shared" si="3"/>
        <v>Week 1</v>
      </c>
      <c r="S158" s="65" t="str">
        <f>TEXT(Table8[[#This Row],[Date Day]],"mmm,YYYY")</f>
        <v>Jan,2011</v>
      </c>
    </row>
    <row r="159" spans="1:19" ht="15.6" x14ac:dyDescent="0.3">
      <c r="A159" s="62">
        <v>126</v>
      </c>
      <c r="B159" s="63">
        <v>40549</v>
      </c>
      <c r="C159" s="64">
        <v>11</v>
      </c>
      <c r="D159" s="64" t="b">
        <f>IF(COUNTIF(AU$36:AU$52,Table8[[#This Row],[Date Day]]) &gt; 0, TRUE, FALSE)</f>
        <v>0</v>
      </c>
      <c r="E159" s="64">
        <f t="shared" si="2"/>
        <v>4</v>
      </c>
      <c r="F159" s="64">
        <v>1</v>
      </c>
      <c r="G159" s="65" t="str">
        <f>IF(Table8[[#This Row],[Weathersit]]=1, "BAD", IF(Table8[[#This Row],[Weathersit]]=2, "MODERATE", IF(Table8[[#This Row],[Weathersit]]=3, "GOOD")))</f>
        <v>BAD</v>
      </c>
      <c r="H159" s="64">
        <v>22</v>
      </c>
      <c r="I159" s="65" t="str">
        <f>IF(Table8[[#This Row],[Temp]]&lt;11, "COLD", IF(Table8[[#This Row],[Temp]]&lt;=25, "COMFORTABLE", "WARM"))</f>
        <v>COMFORTABLE</v>
      </c>
      <c r="J159" s="64">
        <v>0.2576</v>
      </c>
      <c r="K159" s="64">
        <v>0.44</v>
      </c>
      <c r="L159" s="66">
        <v>8.9599999999999991</v>
      </c>
      <c r="M159" s="75" t="s">
        <v>80</v>
      </c>
      <c r="N159" s="64">
        <v>2</v>
      </c>
      <c r="O159" s="64">
        <v>57</v>
      </c>
      <c r="P159" s="64">
        <v>59</v>
      </c>
      <c r="Q159" s="64"/>
      <c r="R159" s="65" t="str">
        <f t="shared" si="3"/>
        <v>Week 1</v>
      </c>
      <c r="S159" s="65" t="str">
        <f>TEXT(Table8[[#This Row],[Date Day]],"mmm,YYYY")</f>
        <v>Jan,2011</v>
      </c>
    </row>
    <row r="160" spans="1:19" ht="15.6" x14ac:dyDescent="0.3">
      <c r="A160" s="62">
        <v>127</v>
      </c>
      <c r="B160" s="63">
        <v>40549</v>
      </c>
      <c r="C160" s="64">
        <v>12</v>
      </c>
      <c r="D160" s="64" t="b">
        <f>IF(COUNTIF(AU$36:AU$52,Table8[[#This Row],[Date Day]]) &gt; 0, TRUE, FALSE)</f>
        <v>0</v>
      </c>
      <c r="E160" s="64">
        <f t="shared" si="2"/>
        <v>4</v>
      </c>
      <c r="F160" s="64">
        <v>1</v>
      </c>
      <c r="G160" s="65" t="str">
        <f>IF(Table8[[#This Row],[Weathersit]]=1, "BAD", IF(Table8[[#This Row],[Weathersit]]=2, "MODERATE", IF(Table8[[#This Row],[Weathersit]]=3, "GOOD")))</f>
        <v>BAD</v>
      </c>
      <c r="H160" s="64">
        <v>26</v>
      </c>
      <c r="I160" s="65" t="str">
        <f>IF(Table8[[#This Row],[Temp]]&lt;11, "COLD", IF(Table8[[#This Row],[Temp]]&lt;=25, "COMFORTABLE", "WARM"))</f>
        <v>WARM</v>
      </c>
      <c r="J160" s="64">
        <v>0.28789999999999999</v>
      </c>
      <c r="K160" s="64">
        <v>0.35</v>
      </c>
      <c r="L160" s="66">
        <v>20.485098360655737</v>
      </c>
      <c r="M160" s="75" t="s">
        <v>81</v>
      </c>
      <c r="N160" s="64">
        <v>6</v>
      </c>
      <c r="O160" s="64">
        <v>78</v>
      </c>
      <c r="P160" s="64">
        <v>84</v>
      </c>
      <c r="Q160" s="64"/>
      <c r="R160" s="65" t="str">
        <f t="shared" si="3"/>
        <v>Week 1</v>
      </c>
      <c r="S160" s="65" t="str">
        <f>TEXT(Table8[[#This Row],[Date Day]],"mmm,YYYY")</f>
        <v>Jan,2011</v>
      </c>
    </row>
    <row r="161" spans="1:19" ht="15.6" x14ac:dyDescent="0.3">
      <c r="A161" s="62">
        <v>128</v>
      </c>
      <c r="B161" s="63">
        <v>40549</v>
      </c>
      <c r="C161" s="64">
        <v>13</v>
      </c>
      <c r="D161" s="64" t="b">
        <f>IF(COUNTIF(AU$36:AU$52,Table8[[#This Row],[Date Day]]) &gt; 0, TRUE, FALSE)</f>
        <v>0</v>
      </c>
      <c r="E161" s="64">
        <f t="shared" si="2"/>
        <v>4</v>
      </c>
      <c r="F161" s="64">
        <v>1</v>
      </c>
      <c r="G161" s="65" t="str">
        <f>IF(Table8[[#This Row],[Weathersit]]=1, "BAD", IF(Table8[[#This Row],[Weathersit]]=2, "MODERATE", IF(Table8[[#This Row],[Weathersit]]=3, "GOOD")))</f>
        <v>BAD</v>
      </c>
      <c r="H161" s="64">
        <v>26</v>
      </c>
      <c r="I161" s="65" t="str">
        <f>IF(Table8[[#This Row],[Temp]]&lt;11, "COLD", IF(Table8[[#This Row],[Temp]]&lt;=25, "COMFORTABLE", "WARM"))</f>
        <v>WARM</v>
      </c>
      <c r="J161" s="64">
        <v>0.2727</v>
      </c>
      <c r="K161" s="64">
        <v>0.35</v>
      </c>
      <c r="L161" s="66">
        <v>10.45</v>
      </c>
      <c r="M161" s="75" t="s">
        <v>80</v>
      </c>
      <c r="N161" s="64">
        <v>12</v>
      </c>
      <c r="O161" s="64">
        <v>55</v>
      </c>
      <c r="P161" s="64">
        <v>67</v>
      </c>
      <c r="Q161" s="64"/>
      <c r="R161" s="65" t="str">
        <f t="shared" si="3"/>
        <v>Week 1</v>
      </c>
      <c r="S161" s="65" t="str">
        <f>TEXT(Table8[[#This Row],[Date Day]],"mmm,YYYY")</f>
        <v>Jan,2011</v>
      </c>
    </row>
    <row r="162" spans="1:19" ht="15.6" x14ac:dyDescent="0.3">
      <c r="A162" s="62">
        <v>129</v>
      </c>
      <c r="B162" s="63">
        <v>40549</v>
      </c>
      <c r="C162" s="64">
        <v>14</v>
      </c>
      <c r="D162" s="64" t="b">
        <f>IF(COUNTIF(AU$36:AU$52,Table8[[#This Row],[Date Day]]) &gt; 0, TRUE, FALSE)</f>
        <v>0</v>
      </c>
      <c r="E162" s="64">
        <f t="shared" ref="E162:E225" si="4">WEEKDAY(B:B,2)</f>
        <v>4</v>
      </c>
      <c r="F162" s="64">
        <v>1</v>
      </c>
      <c r="G162" s="65" t="str">
        <f>IF(Table8[[#This Row],[Weathersit]]=1, "BAD", IF(Table8[[#This Row],[Weathersit]]=2, "MODERATE", IF(Table8[[#This Row],[Weathersit]]=3, "GOOD")))</f>
        <v>BAD</v>
      </c>
      <c r="H162" s="64">
        <v>28.000000000000004</v>
      </c>
      <c r="I162" s="65" t="str">
        <f>IF(Table8[[#This Row],[Temp]]&lt;11, "COLD", IF(Table8[[#This Row],[Temp]]&lt;=25, "COMFORTABLE", "WARM"))</f>
        <v>WARM</v>
      </c>
      <c r="J162" s="64">
        <v>0.2727</v>
      </c>
      <c r="K162" s="64">
        <v>0.36</v>
      </c>
      <c r="L162" s="66">
        <v>16.420000000000002</v>
      </c>
      <c r="M162" s="75" t="s">
        <v>80</v>
      </c>
      <c r="N162" s="64">
        <v>11</v>
      </c>
      <c r="O162" s="64">
        <v>59</v>
      </c>
      <c r="P162" s="64">
        <v>70</v>
      </c>
      <c r="Q162" s="64"/>
      <c r="R162" s="65" t="str">
        <f t="shared" ref="R162:R225" si="5">"Week " &amp; INT((DAY(B162)-1)/7)+1</f>
        <v>Week 1</v>
      </c>
      <c r="S162" s="65" t="str">
        <f>TEXT(Table8[[#This Row],[Date Day]],"mmm,YYYY")</f>
        <v>Jan,2011</v>
      </c>
    </row>
    <row r="163" spans="1:19" ht="15.6" x14ac:dyDescent="0.3">
      <c r="A163" s="62">
        <v>130</v>
      </c>
      <c r="B163" s="63">
        <v>40549</v>
      </c>
      <c r="C163" s="64">
        <v>15</v>
      </c>
      <c r="D163" s="64" t="b">
        <f>IF(COUNTIF(AU$36:AU$52,Table8[[#This Row],[Date Day]]) &gt; 0, TRUE, FALSE)</f>
        <v>0</v>
      </c>
      <c r="E163" s="64">
        <f t="shared" si="4"/>
        <v>4</v>
      </c>
      <c r="F163" s="64">
        <v>1</v>
      </c>
      <c r="G163" s="65" t="str">
        <f>IF(Table8[[#This Row],[Weathersit]]=1, "BAD", IF(Table8[[#This Row],[Weathersit]]=2, "MODERATE", IF(Table8[[#This Row],[Weathersit]]=3, "GOOD")))</f>
        <v>BAD</v>
      </c>
      <c r="H163" s="64">
        <v>28.000000000000004</v>
      </c>
      <c r="I163" s="65" t="str">
        <f>IF(Table8[[#This Row],[Temp]]&lt;11, "COLD", IF(Table8[[#This Row],[Temp]]&lt;=25, "COMFORTABLE", "WARM"))</f>
        <v>WARM</v>
      </c>
      <c r="J163" s="64">
        <v>0.2727</v>
      </c>
      <c r="K163" s="64">
        <v>0.36</v>
      </c>
      <c r="L163" s="66">
        <v>20.485098360655737</v>
      </c>
      <c r="M163" s="75" t="s">
        <v>81</v>
      </c>
      <c r="N163" s="64">
        <v>8</v>
      </c>
      <c r="O163" s="64">
        <v>54</v>
      </c>
      <c r="P163" s="64">
        <v>62</v>
      </c>
      <c r="Q163" s="64"/>
      <c r="R163" s="65" t="str">
        <f t="shared" si="5"/>
        <v>Week 1</v>
      </c>
      <c r="S163" s="65" t="str">
        <f>TEXT(Table8[[#This Row],[Date Day]],"mmm,YYYY")</f>
        <v>Jan,2011</v>
      </c>
    </row>
    <row r="164" spans="1:19" ht="15.6" x14ac:dyDescent="0.3">
      <c r="A164" s="62">
        <v>131</v>
      </c>
      <c r="B164" s="63">
        <v>40549</v>
      </c>
      <c r="C164" s="64">
        <v>16</v>
      </c>
      <c r="D164" s="64" t="b">
        <f>IF(COUNTIF(AU$36:AU$52,Table8[[#This Row],[Date Day]]) &gt; 0, TRUE, FALSE)</f>
        <v>0</v>
      </c>
      <c r="E164" s="64">
        <f t="shared" si="4"/>
        <v>4</v>
      </c>
      <c r="F164" s="64">
        <v>1</v>
      </c>
      <c r="G164" s="65" t="str">
        <f>IF(Table8[[#This Row],[Weathersit]]=1, "BAD", IF(Table8[[#This Row],[Weathersit]]=2, "MODERATE", IF(Table8[[#This Row],[Weathersit]]=3, "GOOD")))</f>
        <v>BAD</v>
      </c>
      <c r="H164" s="64">
        <v>26</v>
      </c>
      <c r="I164" s="65" t="str">
        <f>IF(Table8[[#This Row],[Temp]]&lt;11, "COLD", IF(Table8[[#This Row],[Temp]]&lt;=25, "COMFORTABLE", "WARM"))</f>
        <v>WARM</v>
      </c>
      <c r="J164" s="64">
        <v>0.2576</v>
      </c>
      <c r="K164" s="64">
        <v>0.38</v>
      </c>
      <c r="L164" s="66">
        <v>16.420000000000002</v>
      </c>
      <c r="M164" s="75" t="s">
        <v>80</v>
      </c>
      <c r="N164" s="64">
        <v>12</v>
      </c>
      <c r="O164" s="64">
        <v>74</v>
      </c>
      <c r="P164" s="64">
        <v>86</v>
      </c>
      <c r="Q164" s="64"/>
      <c r="R164" s="65" t="str">
        <f t="shared" si="5"/>
        <v>Week 1</v>
      </c>
      <c r="S164" s="65" t="str">
        <f>TEXT(Table8[[#This Row],[Date Day]],"mmm,YYYY")</f>
        <v>Jan,2011</v>
      </c>
    </row>
    <row r="165" spans="1:19" ht="15.6" x14ac:dyDescent="0.3">
      <c r="A165" s="62">
        <v>132</v>
      </c>
      <c r="B165" s="63">
        <v>40549</v>
      </c>
      <c r="C165" s="64">
        <v>17</v>
      </c>
      <c r="D165" s="64" t="b">
        <f>IF(COUNTIF(AU$36:AU$52,Table8[[#This Row],[Date Day]]) &gt; 0, TRUE, FALSE)</f>
        <v>0</v>
      </c>
      <c r="E165" s="64">
        <f t="shared" si="4"/>
        <v>4</v>
      </c>
      <c r="F165" s="64">
        <v>1</v>
      </c>
      <c r="G165" s="65" t="str">
        <f>IF(Table8[[#This Row],[Weathersit]]=1, "BAD", IF(Table8[[#This Row],[Weathersit]]=2, "MODERATE", IF(Table8[[#This Row],[Weathersit]]=3, "GOOD")))</f>
        <v>BAD</v>
      </c>
      <c r="H165" s="64">
        <v>22</v>
      </c>
      <c r="I165" s="65" t="str">
        <f>IF(Table8[[#This Row],[Temp]]&lt;11, "COLD", IF(Table8[[#This Row],[Temp]]&lt;=25, "COMFORTABLE", "WARM"))</f>
        <v>COMFORTABLE</v>
      </c>
      <c r="J165" s="64">
        <v>0.2273</v>
      </c>
      <c r="K165" s="64">
        <v>0.51</v>
      </c>
      <c r="L165" s="66">
        <v>16.420000000000002</v>
      </c>
      <c r="M165" s="75" t="s">
        <v>80</v>
      </c>
      <c r="N165" s="64">
        <v>9</v>
      </c>
      <c r="O165" s="64">
        <v>163</v>
      </c>
      <c r="P165" s="64">
        <v>172</v>
      </c>
      <c r="Q165" s="64"/>
      <c r="R165" s="65" t="str">
        <f t="shared" si="5"/>
        <v>Week 1</v>
      </c>
      <c r="S165" s="65" t="str">
        <f>TEXT(Table8[[#This Row],[Date Day]],"mmm,YYYY")</f>
        <v>Jan,2011</v>
      </c>
    </row>
    <row r="166" spans="1:19" ht="15.6" x14ac:dyDescent="0.3">
      <c r="A166" s="62">
        <v>133</v>
      </c>
      <c r="B166" s="63">
        <v>40549</v>
      </c>
      <c r="C166" s="64">
        <v>18</v>
      </c>
      <c r="D166" s="64" t="b">
        <f>IF(COUNTIF(AU$36:AU$52,Table8[[#This Row],[Date Day]]) &gt; 0, TRUE, FALSE)</f>
        <v>0</v>
      </c>
      <c r="E166" s="64">
        <f t="shared" si="4"/>
        <v>4</v>
      </c>
      <c r="F166" s="64">
        <v>1</v>
      </c>
      <c r="G166" s="65" t="str">
        <f>IF(Table8[[#This Row],[Weathersit]]=1, "BAD", IF(Table8[[#This Row],[Weathersit]]=2, "MODERATE", IF(Table8[[#This Row],[Weathersit]]=3, "GOOD")))</f>
        <v>BAD</v>
      </c>
      <c r="H166" s="64">
        <v>22</v>
      </c>
      <c r="I166" s="65" t="str">
        <f>IF(Table8[[#This Row],[Temp]]&lt;11, "COLD", IF(Table8[[#This Row],[Temp]]&lt;=25, "COMFORTABLE", "WARM"))</f>
        <v>COMFORTABLE</v>
      </c>
      <c r="J166" s="64">
        <v>0.2273</v>
      </c>
      <c r="K166" s="64">
        <v>0.51</v>
      </c>
      <c r="L166" s="66">
        <v>13.43</v>
      </c>
      <c r="M166" s="75" t="s">
        <v>80</v>
      </c>
      <c r="N166" s="64">
        <v>5</v>
      </c>
      <c r="O166" s="64">
        <v>158</v>
      </c>
      <c r="P166" s="64">
        <v>163</v>
      </c>
      <c r="Q166" s="64"/>
      <c r="R166" s="65" t="str">
        <f t="shared" si="5"/>
        <v>Week 1</v>
      </c>
      <c r="S166" s="65" t="str">
        <f>TEXT(Table8[[#This Row],[Date Day]],"mmm,YYYY")</f>
        <v>Jan,2011</v>
      </c>
    </row>
    <row r="167" spans="1:19" ht="15.6" x14ac:dyDescent="0.3">
      <c r="A167" s="62">
        <v>134</v>
      </c>
      <c r="B167" s="63">
        <v>40549</v>
      </c>
      <c r="C167" s="64">
        <v>19</v>
      </c>
      <c r="D167" s="64" t="b">
        <f>IF(COUNTIF(AU$36:AU$52,Table8[[#This Row],[Date Day]]) &gt; 0, TRUE, FALSE)</f>
        <v>0</v>
      </c>
      <c r="E167" s="64">
        <f t="shared" si="4"/>
        <v>4</v>
      </c>
      <c r="F167" s="64">
        <v>1</v>
      </c>
      <c r="G167" s="65" t="str">
        <f>IF(Table8[[#This Row],[Weathersit]]=1, "BAD", IF(Table8[[#This Row],[Weathersit]]=2, "MODERATE", IF(Table8[[#This Row],[Weathersit]]=3, "GOOD")))</f>
        <v>BAD</v>
      </c>
      <c r="H167" s="64">
        <v>22</v>
      </c>
      <c r="I167" s="65" t="str">
        <f>IF(Table8[[#This Row],[Temp]]&lt;11, "COLD", IF(Table8[[#This Row],[Temp]]&lt;=25, "COMFORTABLE", "WARM"))</f>
        <v>COMFORTABLE</v>
      </c>
      <c r="J167" s="64">
        <v>0.2576</v>
      </c>
      <c r="K167" s="64">
        <v>0.55000000000000004</v>
      </c>
      <c r="L167" s="66">
        <v>8.9599999999999991</v>
      </c>
      <c r="M167" s="75" t="s">
        <v>80</v>
      </c>
      <c r="N167" s="64">
        <v>3</v>
      </c>
      <c r="O167" s="64">
        <v>109</v>
      </c>
      <c r="P167" s="64">
        <v>112</v>
      </c>
      <c r="Q167" s="64"/>
      <c r="R167" s="65" t="str">
        <f t="shared" si="5"/>
        <v>Week 1</v>
      </c>
      <c r="S167" s="65" t="str">
        <f>TEXT(Table8[[#This Row],[Date Day]],"mmm,YYYY")</f>
        <v>Jan,2011</v>
      </c>
    </row>
    <row r="168" spans="1:19" ht="15.6" x14ac:dyDescent="0.3">
      <c r="A168" s="62">
        <v>135</v>
      </c>
      <c r="B168" s="63">
        <v>40549</v>
      </c>
      <c r="C168" s="64">
        <v>20</v>
      </c>
      <c r="D168" s="64" t="b">
        <f>IF(COUNTIF(AU$36:AU$52,Table8[[#This Row],[Date Day]]) &gt; 0, TRUE, FALSE)</f>
        <v>0</v>
      </c>
      <c r="E168" s="64">
        <f t="shared" si="4"/>
        <v>4</v>
      </c>
      <c r="F168" s="64">
        <v>1</v>
      </c>
      <c r="G168" s="65" t="str">
        <f>IF(Table8[[#This Row],[Weathersit]]=1, "BAD", IF(Table8[[#This Row],[Weathersit]]=2, "MODERATE", IF(Table8[[#This Row],[Weathersit]]=3, "GOOD")))</f>
        <v>BAD</v>
      </c>
      <c r="H168" s="64">
        <v>20</v>
      </c>
      <c r="I168" s="65" t="str">
        <f>IF(Table8[[#This Row],[Temp]]&lt;11, "COLD", IF(Table8[[#This Row],[Temp]]&lt;=25, "COMFORTABLE", "WARM"))</f>
        <v>COMFORTABLE</v>
      </c>
      <c r="J168" s="64">
        <v>0.21210000000000001</v>
      </c>
      <c r="K168" s="64">
        <v>0.51</v>
      </c>
      <c r="L168" s="66">
        <v>16.420000000000002</v>
      </c>
      <c r="M168" s="75" t="s">
        <v>80</v>
      </c>
      <c r="N168" s="64">
        <v>3</v>
      </c>
      <c r="O168" s="64">
        <v>66</v>
      </c>
      <c r="P168" s="64">
        <v>69</v>
      </c>
      <c r="Q168" s="64"/>
      <c r="R168" s="65" t="str">
        <f t="shared" si="5"/>
        <v>Week 1</v>
      </c>
      <c r="S168" s="65" t="str">
        <f>TEXT(Table8[[#This Row],[Date Day]],"mmm,YYYY")</f>
        <v>Jan,2011</v>
      </c>
    </row>
    <row r="169" spans="1:19" ht="15.6" x14ac:dyDescent="0.3">
      <c r="A169" s="62">
        <v>136</v>
      </c>
      <c r="B169" s="63">
        <v>40549</v>
      </c>
      <c r="C169" s="64">
        <v>21</v>
      </c>
      <c r="D169" s="64" t="b">
        <f>IF(COUNTIF(AU$36:AU$52,Table8[[#This Row],[Date Day]]) &gt; 0, TRUE, FALSE)</f>
        <v>0</v>
      </c>
      <c r="E169" s="64">
        <f t="shared" si="4"/>
        <v>4</v>
      </c>
      <c r="F169" s="64">
        <v>2</v>
      </c>
      <c r="G169" s="65" t="str">
        <f>IF(Table8[[#This Row],[Weathersit]]=1, "BAD", IF(Table8[[#This Row],[Weathersit]]=2, "MODERATE", IF(Table8[[#This Row],[Weathersit]]=3, "GOOD")))</f>
        <v>MODERATE</v>
      </c>
      <c r="H169" s="64">
        <v>22</v>
      </c>
      <c r="I169" s="65" t="str">
        <f>IF(Table8[[#This Row],[Temp]]&lt;11, "COLD", IF(Table8[[#This Row],[Temp]]&lt;=25, "COMFORTABLE", "WARM"))</f>
        <v>COMFORTABLE</v>
      </c>
      <c r="J169" s="64">
        <v>0.21210000000000001</v>
      </c>
      <c r="K169" s="64">
        <v>0.55000000000000004</v>
      </c>
      <c r="L169" s="66">
        <v>22.39</v>
      </c>
      <c r="M169" s="75" t="s">
        <v>81</v>
      </c>
      <c r="N169" s="64">
        <v>0</v>
      </c>
      <c r="O169" s="64">
        <v>48</v>
      </c>
      <c r="P169" s="64">
        <v>48</v>
      </c>
      <c r="Q169" s="64"/>
      <c r="R169" s="65" t="str">
        <f t="shared" si="5"/>
        <v>Week 1</v>
      </c>
      <c r="S169" s="65" t="str">
        <f>TEXT(Table8[[#This Row],[Date Day]],"mmm,YYYY")</f>
        <v>Jan,2011</v>
      </c>
    </row>
    <row r="170" spans="1:19" ht="15.6" x14ac:dyDescent="0.3">
      <c r="A170" s="62">
        <v>137</v>
      </c>
      <c r="B170" s="63">
        <v>40549</v>
      </c>
      <c r="C170" s="64">
        <v>22</v>
      </c>
      <c r="D170" s="64" t="b">
        <f>IF(COUNTIF(AU$36:AU$52,Table8[[#This Row],[Date Day]]) &gt; 0, TRUE, FALSE)</f>
        <v>0</v>
      </c>
      <c r="E170" s="64">
        <f t="shared" si="4"/>
        <v>4</v>
      </c>
      <c r="F170" s="64">
        <v>2</v>
      </c>
      <c r="G170" s="65" t="str">
        <f>IF(Table8[[#This Row],[Weathersit]]=1, "BAD", IF(Table8[[#This Row],[Weathersit]]=2, "MODERATE", IF(Table8[[#This Row],[Weathersit]]=3, "GOOD")))</f>
        <v>MODERATE</v>
      </c>
      <c r="H170" s="64">
        <v>22</v>
      </c>
      <c r="I170" s="65" t="str">
        <f>IF(Table8[[#This Row],[Temp]]&lt;11, "COLD", IF(Table8[[#This Row],[Temp]]&lt;=25, "COMFORTABLE", "WARM"))</f>
        <v>COMFORTABLE</v>
      </c>
      <c r="J170" s="64">
        <v>0.21210000000000001</v>
      </c>
      <c r="K170" s="64">
        <v>0.51</v>
      </c>
      <c r="L170" s="66">
        <v>28.360000000000003</v>
      </c>
      <c r="M170" s="75" t="s">
        <v>81</v>
      </c>
      <c r="N170" s="64">
        <v>1</v>
      </c>
      <c r="O170" s="64">
        <v>51</v>
      </c>
      <c r="P170" s="64">
        <v>52</v>
      </c>
      <c r="Q170" s="64"/>
      <c r="R170" s="65" t="str">
        <f t="shared" si="5"/>
        <v>Week 1</v>
      </c>
      <c r="S170" s="65" t="str">
        <f>TEXT(Table8[[#This Row],[Date Day]],"mmm,YYYY")</f>
        <v>Jan,2011</v>
      </c>
    </row>
    <row r="171" spans="1:19" ht="15.6" x14ac:dyDescent="0.3">
      <c r="A171" s="62">
        <v>138</v>
      </c>
      <c r="B171" s="63">
        <v>40549</v>
      </c>
      <c r="C171" s="64">
        <v>23</v>
      </c>
      <c r="D171" s="64" t="b">
        <f>IF(COUNTIF(AU$36:AU$52,Table8[[#This Row],[Date Day]]) &gt; 0, TRUE, FALSE)</f>
        <v>0</v>
      </c>
      <c r="E171" s="64">
        <f t="shared" si="4"/>
        <v>4</v>
      </c>
      <c r="F171" s="64">
        <v>2</v>
      </c>
      <c r="G171" s="65" t="str">
        <f>IF(Table8[[#This Row],[Weathersit]]=1, "BAD", IF(Table8[[#This Row],[Weathersit]]=2, "MODERATE", IF(Table8[[#This Row],[Weathersit]]=3, "GOOD")))</f>
        <v>MODERATE</v>
      </c>
      <c r="H171" s="64">
        <v>20</v>
      </c>
      <c r="I171" s="65" t="str">
        <f>IF(Table8[[#This Row],[Temp]]&lt;11, "COLD", IF(Table8[[#This Row],[Temp]]&lt;=25, "COMFORTABLE", "WARM"))</f>
        <v>COMFORTABLE</v>
      </c>
      <c r="J171" s="64">
        <v>0.19700000000000001</v>
      </c>
      <c r="K171" s="64">
        <v>0.59</v>
      </c>
      <c r="L171" s="66">
        <v>19.400000000000002</v>
      </c>
      <c r="M171" s="75" t="s">
        <v>80</v>
      </c>
      <c r="N171" s="64">
        <v>4</v>
      </c>
      <c r="O171" s="64">
        <v>19</v>
      </c>
      <c r="P171" s="64">
        <v>23</v>
      </c>
      <c r="Q171" s="64"/>
      <c r="R171" s="65" t="str">
        <f t="shared" si="5"/>
        <v>Week 1</v>
      </c>
      <c r="S171" s="65" t="str">
        <f>TEXT(Table8[[#This Row],[Date Day]],"mmm,YYYY")</f>
        <v>Jan,2011</v>
      </c>
    </row>
    <row r="172" spans="1:19" ht="15.6" x14ac:dyDescent="0.3">
      <c r="A172" s="62">
        <v>139</v>
      </c>
      <c r="B172" s="63">
        <v>40550</v>
      </c>
      <c r="C172" s="64">
        <v>0</v>
      </c>
      <c r="D172" s="64" t="b">
        <f>IF(COUNTIF(AU$36:AU$52,Table8[[#This Row],[Date Day]]) &gt; 0, TRUE, FALSE)</f>
        <v>0</v>
      </c>
      <c r="E172" s="64">
        <f t="shared" si="4"/>
        <v>5</v>
      </c>
      <c r="F172" s="64">
        <v>2</v>
      </c>
      <c r="G172" s="65" t="str">
        <f>IF(Table8[[#This Row],[Weathersit]]=1, "BAD", IF(Table8[[#This Row],[Weathersit]]=2, "MODERATE", IF(Table8[[#This Row],[Weathersit]]=3, "GOOD")))</f>
        <v>MODERATE</v>
      </c>
      <c r="H172" s="64">
        <v>20</v>
      </c>
      <c r="I172" s="65" t="str">
        <f>IF(Table8[[#This Row],[Temp]]&lt;11, "COLD", IF(Table8[[#This Row],[Temp]]&lt;=25, "COMFORTABLE", "WARM"))</f>
        <v>COMFORTABLE</v>
      </c>
      <c r="J172" s="64">
        <v>0.19700000000000001</v>
      </c>
      <c r="K172" s="64">
        <v>0.64</v>
      </c>
      <c r="L172" s="66">
        <v>19.400000000000002</v>
      </c>
      <c r="M172" s="75" t="s">
        <v>80</v>
      </c>
      <c r="N172" s="64">
        <v>4</v>
      </c>
      <c r="O172" s="64">
        <v>13</v>
      </c>
      <c r="P172" s="64">
        <v>17</v>
      </c>
      <c r="Q172" s="64"/>
      <c r="R172" s="65" t="str">
        <f t="shared" si="5"/>
        <v>Week 1</v>
      </c>
      <c r="S172" s="65" t="str">
        <f>TEXT(Table8[[#This Row],[Date Day]],"mmm,YYYY")</f>
        <v>Jan,2011</v>
      </c>
    </row>
    <row r="173" spans="1:19" ht="15.6" x14ac:dyDescent="0.3">
      <c r="A173" s="62">
        <v>140</v>
      </c>
      <c r="B173" s="63">
        <v>40550</v>
      </c>
      <c r="C173" s="64">
        <v>1</v>
      </c>
      <c r="D173" s="64" t="b">
        <f>IF(COUNTIF(AU$36:AU$52,Table8[[#This Row],[Date Day]]) &gt; 0, TRUE, FALSE)</f>
        <v>0</v>
      </c>
      <c r="E173" s="64">
        <f t="shared" si="4"/>
        <v>5</v>
      </c>
      <c r="F173" s="64">
        <v>2</v>
      </c>
      <c r="G173" s="65" t="str">
        <f>IF(Table8[[#This Row],[Weathersit]]=1, "BAD", IF(Table8[[#This Row],[Weathersit]]=2, "MODERATE", IF(Table8[[#This Row],[Weathersit]]=3, "GOOD")))</f>
        <v>MODERATE</v>
      </c>
      <c r="H173" s="64">
        <v>20</v>
      </c>
      <c r="I173" s="65" t="str">
        <f>IF(Table8[[#This Row],[Temp]]&lt;11, "COLD", IF(Table8[[#This Row],[Temp]]&lt;=25, "COMFORTABLE", "WARM"))</f>
        <v>COMFORTABLE</v>
      </c>
      <c r="J173" s="64">
        <v>0.19700000000000001</v>
      </c>
      <c r="K173" s="64">
        <v>0.69</v>
      </c>
      <c r="L173" s="66">
        <v>22.39</v>
      </c>
      <c r="M173" s="75" t="s">
        <v>81</v>
      </c>
      <c r="N173" s="64">
        <v>2</v>
      </c>
      <c r="O173" s="64">
        <v>5</v>
      </c>
      <c r="P173" s="64">
        <v>7</v>
      </c>
      <c r="Q173" s="64"/>
      <c r="R173" s="65" t="str">
        <f t="shared" si="5"/>
        <v>Week 1</v>
      </c>
      <c r="S173" s="65" t="str">
        <f>TEXT(Table8[[#This Row],[Date Day]],"mmm,YYYY")</f>
        <v>Jan,2011</v>
      </c>
    </row>
    <row r="174" spans="1:19" ht="15.6" x14ac:dyDescent="0.3">
      <c r="A174" s="62">
        <v>141</v>
      </c>
      <c r="B174" s="63">
        <v>40550</v>
      </c>
      <c r="C174" s="64">
        <v>2</v>
      </c>
      <c r="D174" s="64" t="b">
        <f>IF(COUNTIF(AU$36:AU$52,Table8[[#This Row],[Date Day]]) &gt; 0, TRUE, FALSE)</f>
        <v>0</v>
      </c>
      <c r="E174" s="64">
        <f t="shared" si="4"/>
        <v>5</v>
      </c>
      <c r="F174" s="64">
        <v>2</v>
      </c>
      <c r="G174" s="65" t="str">
        <f>IF(Table8[[#This Row],[Weathersit]]=1, "BAD", IF(Table8[[#This Row],[Weathersit]]=2, "MODERATE", IF(Table8[[#This Row],[Weathersit]]=3, "GOOD")))</f>
        <v>MODERATE</v>
      </c>
      <c r="H174" s="64">
        <v>20</v>
      </c>
      <c r="I174" s="65" t="str">
        <f>IF(Table8[[#This Row],[Temp]]&lt;11, "COLD", IF(Table8[[#This Row],[Temp]]&lt;=25, "COMFORTABLE", "WARM"))</f>
        <v>COMFORTABLE</v>
      </c>
      <c r="J174" s="64">
        <v>0.19700000000000001</v>
      </c>
      <c r="K174" s="64">
        <v>0.69</v>
      </c>
      <c r="L174" s="66">
        <v>22.39</v>
      </c>
      <c r="M174" s="75" t="s">
        <v>81</v>
      </c>
      <c r="N174" s="64">
        <v>0</v>
      </c>
      <c r="O174" s="64">
        <v>1</v>
      </c>
      <c r="P174" s="64">
        <v>1</v>
      </c>
      <c r="Q174" s="64"/>
      <c r="R174" s="65" t="str">
        <f t="shared" si="5"/>
        <v>Week 1</v>
      </c>
      <c r="S174" s="65" t="str">
        <f>TEXT(Table8[[#This Row],[Date Day]],"mmm,YYYY")</f>
        <v>Jan,2011</v>
      </c>
    </row>
    <row r="175" spans="1:19" ht="15.6" x14ac:dyDescent="0.3">
      <c r="A175" s="62">
        <v>142</v>
      </c>
      <c r="B175" s="63">
        <v>40550</v>
      </c>
      <c r="C175" s="64">
        <v>4</v>
      </c>
      <c r="D175" s="64" t="b">
        <f>IF(COUNTIF(AU$36:AU$52,Table8[[#This Row],[Date Day]]) &gt; 0, TRUE, FALSE)</f>
        <v>0</v>
      </c>
      <c r="E175" s="64">
        <f t="shared" si="4"/>
        <v>5</v>
      </c>
      <c r="F175" s="64">
        <v>2</v>
      </c>
      <c r="G175" s="65" t="str">
        <f>IF(Table8[[#This Row],[Weathersit]]=1, "BAD", IF(Table8[[#This Row],[Weathersit]]=2, "MODERATE", IF(Table8[[#This Row],[Weathersit]]=3, "GOOD")))</f>
        <v>MODERATE</v>
      </c>
      <c r="H175" s="64">
        <v>20</v>
      </c>
      <c r="I175" s="65" t="str">
        <f>IF(Table8[[#This Row],[Temp]]&lt;11, "COLD", IF(Table8[[#This Row],[Temp]]&lt;=25, "COMFORTABLE", "WARM"))</f>
        <v>COMFORTABLE</v>
      </c>
      <c r="J175" s="64">
        <v>0.21210000000000001</v>
      </c>
      <c r="K175" s="64">
        <v>0.69</v>
      </c>
      <c r="L175" s="66">
        <v>13.43</v>
      </c>
      <c r="M175" s="75" t="s">
        <v>80</v>
      </c>
      <c r="N175" s="64">
        <v>0</v>
      </c>
      <c r="O175" s="64">
        <v>1</v>
      </c>
      <c r="P175" s="64">
        <v>1</v>
      </c>
      <c r="Q175" s="64"/>
      <c r="R175" s="65" t="str">
        <f t="shared" si="5"/>
        <v>Week 1</v>
      </c>
      <c r="S175" s="65" t="str">
        <f>TEXT(Table8[[#This Row],[Date Day]],"mmm,YYYY")</f>
        <v>Jan,2011</v>
      </c>
    </row>
    <row r="176" spans="1:19" ht="15.6" x14ac:dyDescent="0.3">
      <c r="A176" s="62">
        <v>143</v>
      </c>
      <c r="B176" s="63">
        <v>40550</v>
      </c>
      <c r="C176" s="64">
        <v>5</v>
      </c>
      <c r="D176" s="64" t="b">
        <f>IF(COUNTIF(AU$36:AU$52,Table8[[#This Row],[Date Day]]) &gt; 0, TRUE, FALSE)</f>
        <v>0</v>
      </c>
      <c r="E176" s="64">
        <f t="shared" si="4"/>
        <v>5</v>
      </c>
      <c r="F176" s="64">
        <v>3</v>
      </c>
      <c r="G176" s="65" t="str">
        <f>IF(Table8[[#This Row],[Weathersit]]=1, "BAD", IF(Table8[[#This Row],[Weathersit]]=2, "MODERATE", IF(Table8[[#This Row],[Weathersit]]=3, "GOOD")))</f>
        <v>GOOD</v>
      </c>
      <c r="H176" s="64">
        <v>22</v>
      </c>
      <c r="I176" s="65" t="str">
        <f>IF(Table8[[#This Row],[Temp]]&lt;11, "COLD", IF(Table8[[#This Row],[Temp]]&lt;=25, "COMFORTABLE", "WARM"))</f>
        <v>COMFORTABLE</v>
      </c>
      <c r="J176" s="64">
        <v>0.2727</v>
      </c>
      <c r="K176" s="64">
        <v>0.55000000000000004</v>
      </c>
      <c r="L176" s="66">
        <v>20.485098360655737</v>
      </c>
      <c r="M176" s="75" t="s">
        <v>81</v>
      </c>
      <c r="N176" s="64">
        <v>0</v>
      </c>
      <c r="O176" s="64">
        <v>5</v>
      </c>
      <c r="P176" s="64">
        <v>5</v>
      </c>
      <c r="Q176" s="64"/>
      <c r="R176" s="65" t="str">
        <f t="shared" si="5"/>
        <v>Week 1</v>
      </c>
      <c r="S176" s="65" t="str">
        <f>TEXT(Table8[[#This Row],[Date Day]],"mmm,YYYY")</f>
        <v>Jan,2011</v>
      </c>
    </row>
    <row r="177" spans="1:19" ht="15.6" x14ac:dyDescent="0.3">
      <c r="A177" s="62">
        <v>144</v>
      </c>
      <c r="B177" s="63">
        <v>40550</v>
      </c>
      <c r="C177" s="64">
        <v>6</v>
      </c>
      <c r="D177" s="64" t="b">
        <f>IF(COUNTIF(AU$36:AU$52,Table8[[#This Row],[Date Day]]) &gt; 0, TRUE, FALSE)</f>
        <v>0</v>
      </c>
      <c r="E177" s="64">
        <f t="shared" si="4"/>
        <v>5</v>
      </c>
      <c r="F177" s="64">
        <v>2</v>
      </c>
      <c r="G177" s="65" t="str">
        <f>IF(Table8[[#This Row],[Weathersit]]=1, "BAD", IF(Table8[[#This Row],[Weathersit]]=2, "MODERATE", IF(Table8[[#This Row],[Weathersit]]=3, "GOOD")))</f>
        <v>MODERATE</v>
      </c>
      <c r="H177" s="64">
        <v>20</v>
      </c>
      <c r="I177" s="65" t="str">
        <f>IF(Table8[[#This Row],[Temp]]&lt;11, "COLD", IF(Table8[[#This Row],[Temp]]&lt;=25, "COMFORTABLE", "WARM"))</f>
        <v>COMFORTABLE</v>
      </c>
      <c r="J177" s="64">
        <v>0.2576</v>
      </c>
      <c r="K177" s="64">
        <v>0.69</v>
      </c>
      <c r="L177" s="66">
        <v>20.485098360655737</v>
      </c>
      <c r="M177" s="75" t="s">
        <v>81</v>
      </c>
      <c r="N177" s="64">
        <v>8</v>
      </c>
      <c r="O177" s="64">
        <v>26</v>
      </c>
      <c r="P177" s="64">
        <v>34</v>
      </c>
      <c r="Q177" s="64"/>
      <c r="R177" s="65" t="str">
        <f t="shared" si="5"/>
        <v>Week 1</v>
      </c>
      <c r="S177" s="65" t="str">
        <f>TEXT(Table8[[#This Row],[Date Day]],"mmm,YYYY")</f>
        <v>Jan,2011</v>
      </c>
    </row>
    <row r="178" spans="1:19" ht="15.6" x14ac:dyDescent="0.3">
      <c r="A178" s="62">
        <v>145</v>
      </c>
      <c r="B178" s="63">
        <v>40550</v>
      </c>
      <c r="C178" s="64">
        <v>7</v>
      </c>
      <c r="D178" s="64" t="b">
        <f>IF(COUNTIF(AU$36:AU$52,Table8[[#This Row],[Date Day]]) &gt; 0, TRUE, FALSE)</f>
        <v>0</v>
      </c>
      <c r="E178" s="64">
        <f t="shared" si="4"/>
        <v>5</v>
      </c>
      <c r="F178" s="64">
        <v>1</v>
      </c>
      <c r="G178" s="65" t="str">
        <f>IF(Table8[[#This Row],[Weathersit]]=1, "BAD", IF(Table8[[#This Row],[Weathersit]]=2, "MODERATE", IF(Table8[[#This Row],[Weathersit]]=3, "GOOD")))</f>
        <v>BAD</v>
      </c>
      <c r="H178" s="64">
        <v>20</v>
      </c>
      <c r="I178" s="65" t="str">
        <f>IF(Table8[[#This Row],[Temp]]&lt;11, "COLD", IF(Table8[[#This Row],[Temp]]&lt;=25, "COMFORTABLE", "WARM"))</f>
        <v>COMFORTABLE</v>
      </c>
      <c r="J178" s="64">
        <v>0.21210000000000001</v>
      </c>
      <c r="K178" s="64">
        <v>0.69</v>
      </c>
      <c r="L178" s="66">
        <v>13.43</v>
      </c>
      <c r="M178" s="75" t="s">
        <v>80</v>
      </c>
      <c r="N178" s="64">
        <v>8</v>
      </c>
      <c r="O178" s="64">
        <v>76</v>
      </c>
      <c r="P178" s="64">
        <v>84</v>
      </c>
      <c r="Q178" s="64"/>
      <c r="R178" s="65" t="str">
        <f t="shared" si="5"/>
        <v>Week 1</v>
      </c>
      <c r="S178" s="65" t="str">
        <f>TEXT(Table8[[#This Row],[Date Day]],"mmm,YYYY")</f>
        <v>Jan,2011</v>
      </c>
    </row>
    <row r="179" spans="1:19" ht="15.6" x14ac:dyDescent="0.3">
      <c r="A179" s="62">
        <v>146</v>
      </c>
      <c r="B179" s="63">
        <v>40550</v>
      </c>
      <c r="C179" s="64">
        <v>8</v>
      </c>
      <c r="D179" s="64" t="b">
        <f>IF(COUNTIF(AU$36:AU$52,Table8[[#This Row],[Date Day]]) &gt; 0, TRUE, FALSE)</f>
        <v>0</v>
      </c>
      <c r="E179" s="64">
        <f t="shared" si="4"/>
        <v>5</v>
      </c>
      <c r="F179" s="64">
        <v>1</v>
      </c>
      <c r="G179" s="65" t="str">
        <f>IF(Table8[[#This Row],[Weathersit]]=1, "BAD", IF(Table8[[#This Row],[Weathersit]]=2, "MODERATE", IF(Table8[[#This Row],[Weathersit]]=3, "GOOD")))</f>
        <v>BAD</v>
      </c>
      <c r="H179" s="64">
        <v>20</v>
      </c>
      <c r="I179" s="65" t="str">
        <f>IF(Table8[[#This Row],[Temp]]&lt;11, "COLD", IF(Table8[[#This Row],[Temp]]&lt;=25, "COMFORTABLE", "WARM"))</f>
        <v>COMFORTABLE</v>
      </c>
      <c r="J179" s="64">
        <v>0.19700000000000001</v>
      </c>
      <c r="K179" s="64">
        <v>0.51</v>
      </c>
      <c r="L179" s="66">
        <v>25.369999999999997</v>
      </c>
      <c r="M179" s="75" t="s">
        <v>81</v>
      </c>
      <c r="N179" s="64">
        <v>20</v>
      </c>
      <c r="O179" s="64">
        <v>190</v>
      </c>
      <c r="P179" s="64">
        <v>210</v>
      </c>
      <c r="Q179" s="64"/>
      <c r="R179" s="65" t="str">
        <f t="shared" si="5"/>
        <v>Week 1</v>
      </c>
      <c r="S179" s="65" t="str">
        <f>TEXT(Table8[[#This Row],[Date Day]],"mmm,YYYY")</f>
        <v>Jan,2011</v>
      </c>
    </row>
    <row r="180" spans="1:19" ht="15.6" x14ac:dyDescent="0.3">
      <c r="A180" s="62">
        <v>147</v>
      </c>
      <c r="B180" s="63">
        <v>40550</v>
      </c>
      <c r="C180" s="64">
        <v>9</v>
      </c>
      <c r="D180" s="64" t="b">
        <f>IF(COUNTIF(AU$36:AU$52,Table8[[#This Row],[Date Day]]) &gt; 0, TRUE, FALSE)</f>
        <v>0</v>
      </c>
      <c r="E180" s="64">
        <f t="shared" si="4"/>
        <v>5</v>
      </c>
      <c r="F180" s="64">
        <v>1</v>
      </c>
      <c r="G180" s="65" t="str">
        <f>IF(Table8[[#This Row],[Weathersit]]=1, "BAD", IF(Table8[[#This Row],[Weathersit]]=2, "MODERATE", IF(Table8[[#This Row],[Weathersit]]=3, "GOOD")))</f>
        <v>BAD</v>
      </c>
      <c r="H180" s="64">
        <v>20</v>
      </c>
      <c r="I180" s="65" t="str">
        <f>IF(Table8[[#This Row],[Temp]]&lt;11, "COLD", IF(Table8[[#This Row],[Temp]]&lt;=25, "COMFORTABLE", "WARM"))</f>
        <v>COMFORTABLE</v>
      </c>
      <c r="J180" s="64">
        <v>0.18179999999999999</v>
      </c>
      <c r="K180" s="64">
        <v>0.47</v>
      </c>
      <c r="L180" s="66">
        <v>29.849999999999998</v>
      </c>
      <c r="M180" s="75" t="s">
        <v>81</v>
      </c>
      <c r="N180" s="64">
        <v>9</v>
      </c>
      <c r="O180" s="64">
        <v>125</v>
      </c>
      <c r="P180" s="64">
        <v>134</v>
      </c>
      <c r="Q180" s="64"/>
      <c r="R180" s="65" t="str">
        <f t="shared" si="5"/>
        <v>Week 1</v>
      </c>
      <c r="S180" s="65" t="str">
        <f>TEXT(Table8[[#This Row],[Date Day]],"mmm,YYYY")</f>
        <v>Jan,2011</v>
      </c>
    </row>
    <row r="181" spans="1:19" ht="15.6" x14ac:dyDescent="0.3">
      <c r="A181" s="62">
        <v>148</v>
      </c>
      <c r="B181" s="63">
        <v>40550</v>
      </c>
      <c r="C181" s="64">
        <v>10</v>
      </c>
      <c r="D181" s="64" t="b">
        <f>IF(COUNTIF(AU$36:AU$52,Table8[[#This Row],[Date Day]]) &gt; 0, TRUE, FALSE)</f>
        <v>0</v>
      </c>
      <c r="E181" s="64">
        <f t="shared" si="4"/>
        <v>5</v>
      </c>
      <c r="F181" s="64">
        <v>1</v>
      </c>
      <c r="G181" s="65" t="str">
        <f>IF(Table8[[#This Row],[Weathersit]]=1, "BAD", IF(Table8[[#This Row],[Weathersit]]=2, "MODERATE", IF(Table8[[#This Row],[Weathersit]]=3, "GOOD")))</f>
        <v>BAD</v>
      </c>
      <c r="H181" s="64">
        <v>22</v>
      </c>
      <c r="I181" s="65" t="str">
        <f>IF(Table8[[#This Row],[Temp]]&lt;11, "COLD", IF(Table8[[#This Row],[Temp]]&lt;=25, "COMFORTABLE", "WARM"))</f>
        <v>COMFORTABLE</v>
      </c>
      <c r="J181" s="64">
        <v>0.19700000000000001</v>
      </c>
      <c r="K181" s="64">
        <v>0.37</v>
      </c>
      <c r="L181" s="66">
        <v>32.840000000000003</v>
      </c>
      <c r="M181" s="75" t="s">
        <v>84</v>
      </c>
      <c r="N181" s="64">
        <v>16</v>
      </c>
      <c r="O181" s="64">
        <v>47</v>
      </c>
      <c r="P181" s="64">
        <v>63</v>
      </c>
      <c r="Q181" s="64"/>
      <c r="R181" s="65" t="str">
        <f t="shared" si="5"/>
        <v>Week 1</v>
      </c>
      <c r="S181" s="65" t="str">
        <f>TEXT(Table8[[#This Row],[Date Day]],"mmm,YYYY")</f>
        <v>Jan,2011</v>
      </c>
    </row>
    <row r="182" spans="1:19" ht="15.6" x14ac:dyDescent="0.3">
      <c r="A182" s="62">
        <v>149</v>
      </c>
      <c r="B182" s="63">
        <v>40550</v>
      </c>
      <c r="C182" s="64">
        <v>11</v>
      </c>
      <c r="D182" s="64" t="b">
        <f>IF(COUNTIF(AU$36:AU$52,Table8[[#This Row],[Date Day]]) &gt; 0, TRUE, FALSE)</f>
        <v>0</v>
      </c>
      <c r="E182" s="64">
        <f t="shared" si="4"/>
        <v>5</v>
      </c>
      <c r="F182" s="64">
        <v>2</v>
      </c>
      <c r="G182" s="65" t="str">
        <f>IF(Table8[[#This Row],[Weathersit]]=1, "BAD", IF(Table8[[#This Row],[Weathersit]]=2, "MODERATE", IF(Table8[[#This Row],[Weathersit]]=3, "GOOD")))</f>
        <v>MODERATE</v>
      </c>
      <c r="H182" s="64">
        <v>20</v>
      </c>
      <c r="I182" s="65" t="str">
        <f>IF(Table8[[#This Row],[Temp]]&lt;11, "COLD", IF(Table8[[#This Row],[Temp]]&lt;=25, "COMFORTABLE", "WARM"))</f>
        <v>COMFORTABLE</v>
      </c>
      <c r="J182" s="64">
        <v>0.19700000000000001</v>
      </c>
      <c r="K182" s="64">
        <v>0.4</v>
      </c>
      <c r="L182" s="66">
        <v>22.39</v>
      </c>
      <c r="M182" s="75" t="s">
        <v>81</v>
      </c>
      <c r="N182" s="64">
        <v>19</v>
      </c>
      <c r="O182" s="64">
        <v>48</v>
      </c>
      <c r="P182" s="64">
        <v>67</v>
      </c>
      <c r="Q182" s="64"/>
      <c r="R182" s="65" t="str">
        <f t="shared" si="5"/>
        <v>Week 1</v>
      </c>
      <c r="S182" s="65" t="str">
        <f>TEXT(Table8[[#This Row],[Date Day]],"mmm,YYYY")</f>
        <v>Jan,2011</v>
      </c>
    </row>
    <row r="183" spans="1:19" ht="15.6" x14ac:dyDescent="0.3">
      <c r="A183" s="62">
        <v>150</v>
      </c>
      <c r="B183" s="63">
        <v>40550</v>
      </c>
      <c r="C183" s="64">
        <v>12</v>
      </c>
      <c r="D183" s="64" t="b">
        <f>IF(COUNTIF(AU$36:AU$52,Table8[[#This Row],[Date Day]]) &gt; 0, TRUE, FALSE)</f>
        <v>0</v>
      </c>
      <c r="E183" s="64">
        <f t="shared" si="4"/>
        <v>5</v>
      </c>
      <c r="F183" s="64">
        <v>2</v>
      </c>
      <c r="G183" s="65" t="str">
        <f>IF(Table8[[#This Row],[Weathersit]]=1, "BAD", IF(Table8[[#This Row],[Weathersit]]=2, "MODERATE", IF(Table8[[#This Row],[Weathersit]]=3, "GOOD")))</f>
        <v>MODERATE</v>
      </c>
      <c r="H183" s="64">
        <v>20</v>
      </c>
      <c r="I183" s="65" t="str">
        <f>IF(Table8[[#This Row],[Temp]]&lt;11, "COLD", IF(Table8[[#This Row],[Temp]]&lt;=25, "COMFORTABLE", "WARM"))</f>
        <v>COMFORTABLE</v>
      </c>
      <c r="J183" s="64">
        <v>0.19700000000000001</v>
      </c>
      <c r="K183" s="64">
        <v>0.37</v>
      </c>
      <c r="L183" s="66">
        <v>25.369999999999997</v>
      </c>
      <c r="M183" s="75" t="s">
        <v>81</v>
      </c>
      <c r="N183" s="64">
        <v>9</v>
      </c>
      <c r="O183" s="64">
        <v>50</v>
      </c>
      <c r="P183" s="64">
        <v>59</v>
      </c>
      <c r="Q183" s="64"/>
      <c r="R183" s="65" t="str">
        <f t="shared" si="5"/>
        <v>Week 1</v>
      </c>
      <c r="S183" s="65" t="str">
        <f>TEXT(Table8[[#This Row],[Date Day]],"mmm,YYYY")</f>
        <v>Jan,2011</v>
      </c>
    </row>
    <row r="184" spans="1:19" ht="15.6" x14ac:dyDescent="0.3">
      <c r="A184" s="62">
        <v>151</v>
      </c>
      <c r="B184" s="63">
        <v>40550</v>
      </c>
      <c r="C184" s="64">
        <v>13</v>
      </c>
      <c r="D184" s="64" t="b">
        <f>IF(COUNTIF(AU$36:AU$52,Table8[[#This Row],[Date Day]]) &gt; 0, TRUE, FALSE)</f>
        <v>0</v>
      </c>
      <c r="E184" s="64">
        <f t="shared" si="4"/>
        <v>5</v>
      </c>
      <c r="F184" s="64">
        <v>2</v>
      </c>
      <c r="G184" s="65" t="str">
        <f>IF(Table8[[#This Row],[Weathersit]]=1, "BAD", IF(Table8[[#This Row],[Weathersit]]=2, "MODERATE", IF(Table8[[#This Row],[Weathersit]]=3, "GOOD")))</f>
        <v>MODERATE</v>
      </c>
      <c r="H184" s="64">
        <v>20</v>
      </c>
      <c r="I184" s="65" t="str">
        <f>IF(Table8[[#This Row],[Temp]]&lt;11, "COLD", IF(Table8[[#This Row],[Temp]]&lt;=25, "COMFORTABLE", "WARM"))</f>
        <v>COMFORTABLE</v>
      </c>
      <c r="J184" s="64">
        <v>0.18179999999999999</v>
      </c>
      <c r="K184" s="64">
        <v>0.37</v>
      </c>
      <c r="L184" s="66">
        <v>28.360000000000003</v>
      </c>
      <c r="M184" s="75" t="s">
        <v>81</v>
      </c>
      <c r="N184" s="64">
        <v>9</v>
      </c>
      <c r="O184" s="64">
        <v>64</v>
      </c>
      <c r="P184" s="64">
        <v>73</v>
      </c>
      <c r="Q184" s="64"/>
      <c r="R184" s="65" t="str">
        <f t="shared" si="5"/>
        <v>Week 1</v>
      </c>
      <c r="S184" s="65" t="str">
        <f>TEXT(Table8[[#This Row],[Date Day]],"mmm,YYYY")</f>
        <v>Jan,2011</v>
      </c>
    </row>
    <row r="185" spans="1:19" ht="15.6" x14ac:dyDescent="0.3">
      <c r="A185" s="62">
        <v>152</v>
      </c>
      <c r="B185" s="63">
        <v>40550</v>
      </c>
      <c r="C185" s="64">
        <v>14</v>
      </c>
      <c r="D185" s="64" t="b">
        <f>IF(COUNTIF(AU$36:AU$52,Table8[[#This Row],[Date Day]]) &gt; 0, TRUE, FALSE)</f>
        <v>0</v>
      </c>
      <c r="E185" s="64">
        <f t="shared" si="4"/>
        <v>5</v>
      </c>
      <c r="F185" s="64">
        <v>2</v>
      </c>
      <c r="G185" s="65" t="str">
        <f>IF(Table8[[#This Row],[Weathersit]]=1, "BAD", IF(Table8[[#This Row],[Weathersit]]=2, "MODERATE", IF(Table8[[#This Row],[Weathersit]]=3, "GOOD")))</f>
        <v>MODERATE</v>
      </c>
      <c r="H185" s="64">
        <v>20</v>
      </c>
      <c r="I185" s="65" t="str">
        <f>IF(Table8[[#This Row],[Temp]]&lt;11, "COLD", IF(Table8[[#This Row],[Temp]]&lt;=25, "COMFORTABLE", "WARM"))</f>
        <v>COMFORTABLE</v>
      </c>
      <c r="J185" s="64">
        <v>0.19700000000000001</v>
      </c>
      <c r="K185" s="64">
        <v>0.4</v>
      </c>
      <c r="L185" s="66">
        <v>25.369999999999997</v>
      </c>
      <c r="M185" s="75" t="s">
        <v>81</v>
      </c>
      <c r="N185" s="64">
        <v>7</v>
      </c>
      <c r="O185" s="64">
        <v>43</v>
      </c>
      <c r="P185" s="64">
        <v>50</v>
      </c>
      <c r="Q185" s="64"/>
      <c r="R185" s="65" t="str">
        <f t="shared" si="5"/>
        <v>Week 1</v>
      </c>
      <c r="S185" s="65" t="str">
        <f>TEXT(Table8[[#This Row],[Date Day]],"mmm,YYYY")</f>
        <v>Jan,2011</v>
      </c>
    </row>
    <row r="186" spans="1:19" ht="15.6" x14ac:dyDescent="0.3">
      <c r="A186" s="62">
        <v>153</v>
      </c>
      <c r="B186" s="63">
        <v>40550</v>
      </c>
      <c r="C186" s="64">
        <v>15</v>
      </c>
      <c r="D186" s="64" t="b">
        <f>IF(COUNTIF(AU$36:AU$52,Table8[[#This Row],[Date Day]]) &gt; 0, TRUE, FALSE)</f>
        <v>0</v>
      </c>
      <c r="E186" s="64">
        <f t="shared" si="4"/>
        <v>5</v>
      </c>
      <c r="F186" s="64">
        <v>2</v>
      </c>
      <c r="G186" s="65" t="str">
        <f>IF(Table8[[#This Row],[Weathersit]]=1, "BAD", IF(Table8[[#This Row],[Weathersit]]=2, "MODERATE", IF(Table8[[#This Row],[Weathersit]]=3, "GOOD")))</f>
        <v>MODERATE</v>
      </c>
      <c r="H186" s="64">
        <v>20</v>
      </c>
      <c r="I186" s="65" t="str">
        <f>IF(Table8[[#This Row],[Temp]]&lt;11, "COLD", IF(Table8[[#This Row],[Temp]]&lt;=25, "COMFORTABLE", "WARM"))</f>
        <v>COMFORTABLE</v>
      </c>
      <c r="J186" s="64">
        <v>0.21210000000000001</v>
      </c>
      <c r="K186" s="64">
        <v>0.37</v>
      </c>
      <c r="L186" s="66">
        <v>16.420000000000002</v>
      </c>
      <c r="M186" s="75" t="s">
        <v>80</v>
      </c>
      <c r="N186" s="64">
        <v>9</v>
      </c>
      <c r="O186" s="64">
        <v>63</v>
      </c>
      <c r="P186" s="64">
        <v>72</v>
      </c>
      <c r="Q186" s="64"/>
      <c r="R186" s="65" t="str">
        <f t="shared" si="5"/>
        <v>Week 1</v>
      </c>
      <c r="S186" s="65" t="str">
        <f>TEXT(Table8[[#This Row],[Date Day]],"mmm,YYYY")</f>
        <v>Jan,2011</v>
      </c>
    </row>
    <row r="187" spans="1:19" ht="15.6" x14ac:dyDescent="0.3">
      <c r="A187" s="62">
        <v>154</v>
      </c>
      <c r="B187" s="63">
        <v>40550</v>
      </c>
      <c r="C187" s="64">
        <v>16</v>
      </c>
      <c r="D187" s="64" t="b">
        <f>IF(COUNTIF(AU$36:AU$52,Table8[[#This Row],[Date Day]]) &gt; 0, TRUE, FALSE)</f>
        <v>0</v>
      </c>
      <c r="E187" s="64">
        <f t="shared" si="4"/>
        <v>5</v>
      </c>
      <c r="F187" s="64">
        <v>2</v>
      </c>
      <c r="G187" s="65" t="str">
        <f>IF(Table8[[#This Row],[Weathersit]]=1, "BAD", IF(Table8[[#This Row],[Weathersit]]=2, "MODERATE", IF(Table8[[#This Row],[Weathersit]]=3, "GOOD")))</f>
        <v>MODERATE</v>
      </c>
      <c r="H187" s="64">
        <v>20</v>
      </c>
      <c r="I187" s="65" t="str">
        <f>IF(Table8[[#This Row],[Temp]]&lt;11, "COLD", IF(Table8[[#This Row],[Temp]]&lt;=25, "COMFORTABLE", "WARM"))</f>
        <v>COMFORTABLE</v>
      </c>
      <c r="J187" s="64">
        <v>0.21210000000000001</v>
      </c>
      <c r="K187" s="64">
        <v>0.37</v>
      </c>
      <c r="L187" s="66">
        <v>16.420000000000002</v>
      </c>
      <c r="M187" s="75" t="s">
        <v>80</v>
      </c>
      <c r="N187" s="64">
        <v>5</v>
      </c>
      <c r="O187" s="64">
        <v>82</v>
      </c>
      <c r="P187" s="64">
        <v>87</v>
      </c>
      <c r="Q187" s="64"/>
      <c r="R187" s="65" t="str">
        <f t="shared" si="5"/>
        <v>Week 1</v>
      </c>
      <c r="S187" s="65" t="str">
        <f>TEXT(Table8[[#This Row],[Date Day]],"mmm,YYYY")</f>
        <v>Jan,2011</v>
      </c>
    </row>
    <row r="188" spans="1:19" ht="15.6" x14ac:dyDescent="0.3">
      <c r="A188" s="62">
        <v>155</v>
      </c>
      <c r="B188" s="63">
        <v>40550</v>
      </c>
      <c r="C188" s="64">
        <v>17</v>
      </c>
      <c r="D188" s="64" t="b">
        <f>IF(COUNTIF(AU$36:AU$52,Table8[[#This Row],[Date Day]]) &gt; 0, TRUE, FALSE)</f>
        <v>0</v>
      </c>
      <c r="E188" s="64">
        <f t="shared" si="4"/>
        <v>5</v>
      </c>
      <c r="F188" s="64">
        <v>2</v>
      </c>
      <c r="G188" s="65" t="str">
        <f>IF(Table8[[#This Row],[Weathersit]]=1, "BAD", IF(Table8[[#This Row],[Weathersit]]=2, "MODERATE", IF(Table8[[#This Row],[Weathersit]]=3, "GOOD")))</f>
        <v>MODERATE</v>
      </c>
      <c r="H188" s="64">
        <v>20</v>
      </c>
      <c r="I188" s="65" t="str">
        <f>IF(Table8[[#This Row],[Temp]]&lt;11, "COLD", IF(Table8[[#This Row],[Temp]]&lt;=25, "COMFORTABLE", "WARM"))</f>
        <v>COMFORTABLE</v>
      </c>
      <c r="J188" s="64">
        <v>0.2576</v>
      </c>
      <c r="K188" s="64">
        <v>0.37</v>
      </c>
      <c r="L188" s="66">
        <v>20.485098360655737</v>
      </c>
      <c r="M188" s="75" t="s">
        <v>81</v>
      </c>
      <c r="N188" s="64">
        <v>9</v>
      </c>
      <c r="O188" s="64">
        <v>178</v>
      </c>
      <c r="P188" s="64">
        <v>187</v>
      </c>
      <c r="Q188" s="64"/>
      <c r="R188" s="65" t="str">
        <f t="shared" si="5"/>
        <v>Week 1</v>
      </c>
      <c r="S188" s="65" t="str">
        <f>TEXT(Table8[[#This Row],[Date Day]],"mmm,YYYY")</f>
        <v>Jan,2011</v>
      </c>
    </row>
    <row r="189" spans="1:19" ht="15.6" x14ac:dyDescent="0.3">
      <c r="A189" s="62">
        <v>156</v>
      </c>
      <c r="B189" s="63">
        <v>40550</v>
      </c>
      <c r="C189" s="64">
        <v>18</v>
      </c>
      <c r="D189" s="64" t="b">
        <f>IF(COUNTIF(AU$36:AU$52,Table8[[#This Row],[Date Day]]) &gt; 0, TRUE, FALSE)</f>
        <v>0</v>
      </c>
      <c r="E189" s="64">
        <f t="shared" si="4"/>
        <v>5</v>
      </c>
      <c r="F189" s="64">
        <v>1</v>
      </c>
      <c r="G189" s="65" t="str">
        <f>IF(Table8[[#This Row],[Weathersit]]=1, "BAD", IF(Table8[[#This Row],[Weathersit]]=2, "MODERATE", IF(Table8[[#This Row],[Weathersit]]=3, "GOOD")))</f>
        <v>BAD</v>
      </c>
      <c r="H189" s="64">
        <v>20</v>
      </c>
      <c r="I189" s="65" t="str">
        <f>IF(Table8[[#This Row],[Temp]]&lt;11, "COLD", IF(Table8[[#This Row],[Temp]]&lt;=25, "COMFORTABLE", "WARM"))</f>
        <v>COMFORTABLE</v>
      </c>
      <c r="J189" s="64">
        <v>0.2273</v>
      </c>
      <c r="K189" s="64">
        <v>0.4</v>
      </c>
      <c r="L189" s="66">
        <v>8.9599999999999991</v>
      </c>
      <c r="M189" s="75" t="s">
        <v>80</v>
      </c>
      <c r="N189" s="64">
        <v>7</v>
      </c>
      <c r="O189" s="64">
        <v>116</v>
      </c>
      <c r="P189" s="64">
        <v>123</v>
      </c>
      <c r="Q189" s="64"/>
      <c r="R189" s="65" t="str">
        <f t="shared" si="5"/>
        <v>Week 1</v>
      </c>
      <c r="S189" s="65" t="str">
        <f>TEXT(Table8[[#This Row],[Date Day]],"mmm,YYYY")</f>
        <v>Jan,2011</v>
      </c>
    </row>
    <row r="190" spans="1:19" ht="15.6" x14ac:dyDescent="0.3">
      <c r="A190" s="62">
        <v>157</v>
      </c>
      <c r="B190" s="63">
        <v>40550</v>
      </c>
      <c r="C190" s="64">
        <v>19</v>
      </c>
      <c r="D190" s="64" t="b">
        <f>IF(COUNTIF(AU$36:AU$52,Table8[[#This Row],[Date Day]]) &gt; 0, TRUE, FALSE)</f>
        <v>0</v>
      </c>
      <c r="E190" s="64">
        <f t="shared" si="4"/>
        <v>5</v>
      </c>
      <c r="F190" s="64">
        <v>1</v>
      </c>
      <c r="G190" s="65" t="str">
        <f>IF(Table8[[#This Row],[Weathersit]]=1, "BAD", IF(Table8[[#This Row],[Weathersit]]=2, "MODERATE", IF(Table8[[#This Row],[Weathersit]]=3, "GOOD")))</f>
        <v>BAD</v>
      </c>
      <c r="H190" s="64">
        <v>16</v>
      </c>
      <c r="I190" s="65" t="str">
        <f>IF(Table8[[#This Row],[Temp]]&lt;11, "COLD", IF(Table8[[#This Row],[Temp]]&lt;=25, "COMFORTABLE", "WARM"))</f>
        <v>COMFORTABLE</v>
      </c>
      <c r="J190" s="64">
        <v>0.19700000000000001</v>
      </c>
      <c r="K190" s="64">
        <v>0.55000000000000004</v>
      </c>
      <c r="L190" s="66">
        <v>8.9599999999999991</v>
      </c>
      <c r="M190" s="75" t="s">
        <v>80</v>
      </c>
      <c r="N190" s="64">
        <v>3</v>
      </c>
      <c r="O190" s="64">
        <v>92</v>
      </c>
      <c r="P190" s="64">
        <v>95</v>
      </c>
      <c r="Q190" s="64"/>
      <c r="R190" s="65" t="str">
        <f t="shared" si="5"/>
        <v>Week 1</v>
      </c>
      <c r="S190" s="65" t="str">
        <f>TEXT(Table8[[#This Row],[Date Day]],"mmm,YYYY")</f>
        <v>Jan,2011</v>
      </c>
    </row>
    <row r="191" spans="1:19" ht="15.6" x14ac:dyDescent="0.3">
      <c r="A191" s="62">
        <v>158</v>
      </c>
      <c r="B191" s="63">
        <v>40550</v>
      </c>
      <c r="C191" s="64">
        <v>20</v>
      </c>
      <c r="D191" s="64" t="b">
        <f>IF(COUNTIF(AU$36:AU$52,Table8[[#This Row],[Date Day]]) &gt; 0, TRUE, FALSE)</f>
        <v>0</v>
      </c>
      <c r="E191" s="64">
        <f t="shared" si="4"/>
        <v>5</v>
      </c>
      <c r="F191" s="64">
        <v>1</v>
      </c>
      <c r="G191" s="65" t="str">
        <f>IF(Table8[[#This Row],[Weathersit]]=1, "BAD", IF(Table8[[#This Row],[Weathersit]]=2, "MODERATE", IF(Table8[[#This Row],[Weathersit]]=3, "GOOD")))</f>
        <v>BAD</v>
      </c>
      <c r="H191" s="64">
        <v>18</v>
      </c>
      <c r="I191" s="65" t="str">
        <f>IF(Table8[[#This Row],[Temp]]&lt;11, "COLD", IF(Table8[[#This Row],[Temp]]&lt;=25, "COMFORTABLE", "WARM"))</f>
        <v>COMFORTABLE</v>
      </c>
      <c r="J191" s="64">
        <v>0.21210000000000001</v>
      </c>
      <c r="K191" s="64">
        <v>0.47</v>
      </c>
      <c r="L191" s="66">
        <v>10.45</v>
      </c>
      <c r="M191" s="75" t="s">
        <v>80</v>
      </c>
      <c r="N191" s="64">
        <v>1</v>
      </c>
      <c r="O191" s="64">
        <v>50</v>
      </c>
      <c r="P191" s="64">
        <v>51</v>
      </c>
      <c r="Q191" s="64"/>
      <c r="R191" s="65" t="str">
        <f t="shared" si="5"/>
        <v>Week 1</v>
      </c>
      <c r="S191" s="65" t="str">
        <f>TEXT(Table8[[#This Row],[Date Day]],"mmm,YYYY")</f>
        <v>Jan,2011</v>
      </c>
    </row>
    <row r="192" spans="1:19" ht="15.6" x14ac:dyDescent="0.3">
      <c r="A192" s="62">
        <v>159</v>
      </c>
      <c r="B192" s="63">
        <v>40550</v>
      </c>
      <c r="C192" s="64">
        <v>21</v>
      </c>
      <c r="D192" s="64" t="b">
        <f>IF(COUNTIF(AU$36:AU$52,Table8[[#This Row],[Date Day]]) &gt; 0, TRUE, FALSE)</f>
        <v>0</v>
      </c>
      <c r="E192" s="64">
        <f t="shared" si="4"/>
        <v>5</v>
      </c>
      <c r="F192" s="64">
        <v>1</v>
      </c>
      <c r="G192" s="65" t="str">
        <f>IF(Table8[[#This Row],[Weathersit]]=1, "BAD", IF(Table8[[#This Row],[Weathersit]]=2, "MODERATE", IF(Table8[[#This Row],[Weathersit]]=3, "GOOD")))</f>
        <v>BAD</v>
      </c>
      <c r="H192" s="64">
        <v>18</v>
      </c>
      <c r="I192" s="65" t="str">
        <f>IF(Table8[[#This Row],[Temp]]&lt;11, "COLD", IF(Table8[[#This Row],[Temp]]&lt;=25, "COMFORTABLE", "WARM"))</f>
        <v>COMFORTABLE</v>
      </c>
      <c r="J192" s="64">
        <v>0.19700000000000001</v>
      </c>
      <c r="K192" s="64">
        <v>0.47</v>
      </c>
      <c r="L192" s="66">
        <v>13.43</v>
      </c>
      <c r="M192" s="75" t="s">
        <v>80</v>
      </c>
      <c r="N192" s="64">
        <v>0</v>
      </c>
      <c r="O192" s="64">
        <v>39</v>
      </c>
      <c r="P192" s="64">
        <v>39</v>
      </c>
      <c r="Q192" s="64"/>
      <c r="R192" s="65" t="str">
        <f t="shared" si="5"/>
        <v>Week 1</v>
      </c>
      <c r="S192" s="65" t="str">
        <f>TEXT(Table8[[#This Row],[Date Day]],"mmm,YYYY")</f>
        <v>Jan,2011</v>
      </c>
    </row>
    <row r="193" spans="1:19" ht="15.6" x14ac:dyDescent="0.3">
      <c r="A193" s="62">
        <v>160</v>
      </c>
      <c r="B193" s="63">
        <v>40550</v>
      </c>
      <c r="C193" s="64">
        <v>22</v>
      </c>
      <c r="D193" s="64" t="b">
        <f>IF(COUNTIF(AU$36:AU$52,Table8[[#This Row],[Date Day]]) &gt; 0, TRUE, FALSE)</f>
        <v>0</v>
      </c>
      <c r="E193" s="64">
        <f t="shared" si="4"/>
        <v>5</v>
      </c>
      <c r="F193" s="64">
        <v>2</v>
      </c>
      <c r="G193" s="65" t="str">
        <f>IF(Table8[[#This Row],[Weathersit]]=1, "BAD", IF(Table8[[#This Row],[Weathersit]]=2, "MODERATE", IF(Table8[[#This Row],[Weathersit]]=3, "GOOD")))</f>
        <v>MODERATE</v>
      </c>
      <c r="H193" s="64">
        <v>18</v>
      </c>
      <c r="I193" s="65" t="str">
        <f>IF(Table8[[#This Row],[Temp]]&lt;11, "COLD", IF(Table8[[#This Row],[Temp]]&lt;=25, "COMFORTABLE", "WARM"))</f>
        <v>COMFORTABLE</v>
      </c>
      <c r="J193" s="64">
        <v>0.19700000000000001</v>
      </c>
      <c r="K193" s="64">
        <v>0.43</v>
      </c>
      <c r="L193" s="66">
        <v>16.420000000000002</v>
      </c>
      <c r="M193" s="75" t="s">
        <v>80</v>
      </c>
      <c r="N193" s="64">
        <v>2</v>
      </c>
      <c r="O193" s="64">
        <v>34</v>
      </c>
      <c r="P193" s="64">
        <v>36</v>
      </c>
      <c r="Q193" s="64"/>
      <c r="R193" s="65" t="str">
        <f t="shared" si="5"/>
        <v>Week 1</v>
      </c>
      <c r="S193" s="65" t="str">
        <f>TEXT(Table8[[#This Row],[Date Day]],"mmm,YYYY")</f>
        <v>Jan,2011</v>
      </c>
    </row>
    <row r="194" spans="1:19" ht="15.6" x14ac:dyDescent="0.3">
      <c r="A194" s="62">
        <v>161</v>
      </c>
      <c r="B194" s="63">
        <v>40550</v>
      </c>
      <c r="C194" s="64">
        <v>23</v>
      </c>
      <c r="D194" s="64" t="b">
        <f>IF(COUNTIF(AU$36:AU$52,Table8[[#This Row],[Date Day]]) &gt; 0, TRUE, FALSE)</f>
        <v>0</v>
      </c>
      <c r="E194" s="64">
        <f t="shared" si="4"/>
        <v>5</v>
      </c>
      <c r="F194" s="64">
        <v>2</v>
      </c>
      <c r="G194" s="65" t="str">
        <f>IF(Table8[[#This Row],[Weathersit]]=1, "BAD", IF(Table8[[#This Row],[Weathersit]]=2, "MODERATE", IF(Table8[[#This Row],[Weathersit]]=3, "GOOD")))</f>
        <v>MODERATE</v>
      </c>
      <c r="H194" s="64">
        <v>18</v>
      </c>
      <c r="I194" s="65" t="str">
        <f>IF(Table8[[#This Row],[Temp]]&lt;11, "COLD", IF(Table8[[#This Row],[Temp]]&lt;=25, "COMFORTABLE", "WARM"))</f>
        <v>COMFORTABLE</v>
      </c>
      <c r="J194" s="64">
        <v>0.19700000000000001</v>
      </c>
      <c r="K194" s="64">
        <v>0.51</v>
      </c>
      <c r="L194" s="66">
        <v>16.420000000000002</v>
      </c>
      <c r="M194" s="75" t="s">
        <v>80</v>
      </c>
      <c r="N194" s="64">
        <v>1</v>
      </c>
      <c r="O194" s="64">
        <v>14</v>
      </c>
      <c r="P194" s="64">
        <v>15</v>
      </c>
      <c r="Q194" s="64"/>
      <c r="R194" s="65" t="str">
        <f t="shared" si="5"/>
        <v>Week 1</v>
      </c>
      <c r="S194" s="65" t="str">
        <f>TEXT(Table8[[#This Row],[Date Day]],"mmm,YYYY")</f>
        <v>Jan,2011</v>
      </c>
    </row>
    <row r="195" spans="1:19" ht="15.6" x14ac:dyDescent="0.3">
      <c r="A195" s="62">
        <v>162</v>
      </c>
      <c r="B195" s="63">
        <v>40551</v>
      </c>
      <c r="C195" s="64">
        <v>0</v>
      </c>
      <c r="D195" s="64" t="b">
        <f>IF(COUNTIF(AU$36:AU$52,Table8[[#This Row],[Date Day]]) &gt; 0, TRUE, FALSE)</f>
        <v>0</v>
      </c>
      <c r="E195" s="64">
        <f t="shared" si="4"/>
        <v>6</v>
      </c>
      <c r="F195" s="64">
        <v>2</v>
      </c>
      <c r="G195" s="65" t="str">
        <f>IF(Table8[[#This Row],[Weathersit]]=1, "BAD", IF(Table8[[#This Row],[Weathersit]]=2, "MODERATE", IF(Table8[[#This Row],[Weathersit]]=3, "GOOD")))</f>
        <v>MODERATE</v>
      </c>
      <c r="H195" s="64">
        <v>18</v>
      </c>
      <c r="I195" s="65" t="str">
        <f>IF(Table8[[#This Row],[Temp]]&lt;11, "COLD", IF(Table8[[#This Row],[Temp]]&lt;=25, "COMFORTABLE", "WARM"))</f>
        <v>COMFORTABLE</v>
      </c>
      <c r="J195" s="64">
        <v>0.19700000000000001</v>
      </c>
      <c r="K195" s="64">
        <v>0.51</v>
      </c>
      <c r="L195" s="66">
        <v>16.420000000000002</v>
      </c>
      <c r="M195" s="75" t="s">
        <v>80</v>
      </c>
      <c r="N195" s="64">
        <v>1</v>
      </c>
      <c r="O195" s="64">
        <v>24</v>
      </c>
      <c r="P195" s="64">
        <v>25</v>
      </c>
      <c r="Q195" s="64"/>
      <c r="R195" s="65" t="str">
        <f t="shared" si="5"/>
        <v>Week 2</v>
      </c>
      <c r="S195" s="65" t="str">
        <f>TEXT(Table8[[#This Row],[Date Day]],"mmm,YYYY")</f>
        <v>Jan,2011</v>
      </c>
    </row>
    <row r="196" spans="1:19" ht="15.6" x14ac:dyDescent="0.3">
      <c r="A196" s="62">
        <v>163</v>
      </c>
      <c r="B196" s="63">
        <v>40551</v>
      </c>
      <c r="C196" s="64">
        <v>1</v>
      </c>
      <c r="D196" s="64" t="b">
        <f>IF(COUNTIF(AU$36:AU$52,Table8[[#This Row],[Date Day]]) &gt; 0, TRUE, FALSE)</f>
        <v>0</v>
      </c>
      <c r="E196" s="64">
        <f t="shared" si="4"/>
        <v>6</v>
      </c>
      <c r="F196" s="64">
        <v>2</v>
      </c>
      <c r="G196" s="65" t="str">
        <f>IF(Table8[[#This Row],[Weathersit]]=1, "BAD", IF(Table8[[#This Row],[Weathersit]]=2, "MODERATE", IF(Table8[[#This Row],[Weathersit]]=3, "GOOD")))</f>
        <v>MODERATE</v>
      </c>
      <c r="H196" s="64">
        <v>18</v>
      </c>
      <c r="I196" s="65" t="str">
        <f>IF(Table8[[#This Row],[Temp]]&lt;11, "COLD", IF(Table8[[#This Row],[Temp]]&lt;=25, "COMFORTABLE", "WARM"))</f>
        <v>COMFORTABLE</v>
      </c>
      <c r="J196" s="64">
        <v>0.21210000000000001</v>
      </c>
      <c r="K196" s="64">
        <v>0.55000000000000004</v>
      </c>
      <c r="L196" s="66">
        <v>8.9599999999999991</v>
      </c>
      <c r="M196" s="75" t="s">
        <v>80</v>
      </c>
      <c r="N196" s="64">
        <v>1</v>
      </c>
      <c r="O196" s="64">
        <v>15</v>
      </c>
      <c r="P196" s="64">
        <v>16</v>
      </c>
      <c r="Q196" s="64"/>
      <c r="R196" s="65" t="str">
        <f t="shared" si="5"/>
        <v>Week 2</v>
      </c>
      <c r="S196" s="65" t="str">
        <f>TEXT(Table8[[#This Row],[Date Day]],"mmm,YYYY")</f>
        <v>Jan,2011</v>
      </c>
    </row>
    <row r="197" spans="1:19" ht="15.6" x14ac:dyDescent="0.3">
      <c r="A197" s="62">
        <v>164</v>
      </c>
      <c r="B197" s="63">
        <v>40551</v>
      </c>
      <c r="C197" s="64">
        <v>2</v>
      </c>
      <c r="D197" s="64" t="b">
        <f>IF(COUNTIF(AU$36:AU$52,Table8[[#This Row],[Date Day]]) &gt; 0, TRUE, FALSE)</f>
        <v>0</v>
      </c>
      <c r="E197" s="64">
        <f t="shared" si="4"/>
        <v>6</v>
      </c>
      <c r="F197" s="64">
        <v>2</v>
      </c>
      <c r="G197" s="65" t="str">
        <f>IF(Table8[[#This Row],[Weathersit]]=1, "BAD", IF(Table8[[#This Row],[Weathersit]]=2, "MODERATE", IF(Table8[[#This Row],[Weathersit]]=3, "GOOD")))</f>
        <v>MODERATE</v>
      </c>
      <c r="H197" s="64">
        <v>18</v>
      </c>
      <c r="I197" s="65" t="str">
        <f>IF(Table8[[#This Row],[Temp]]&lt;11, "COLD", IF(Table8[[#This Row],[Temp]]&lt;=25, "COMFORTABLE", "WARM"))</f>
        <v>COMFORTABLE</v>
      </c>
      <c r="J197" s="64">
        <v>0.2424</v>
      </c>
      <c r="K197" s="64">
        <v>0.55000000000000004</v>
      </c>
      <c r="L197" s="66">
        <v>20.485098360655737</v>
      </c>
      <c r="M197" s="75" t="s">
        <v>81</v>
      </c>
      <c r="N197" s="64">
        <v>3</v>
      </c>
      <c r="O197" s="64">
        <v>13</v>
      </c>
      <c r="P197" s="64">
        <v>16</v>
      </c>
      <c r="Q197" s="64"/>
      <c r="R197" s="65" t="str">
        <f t="shared" si="5"/>
        <v>Week 2</v>
      </c>
      <c r="S197" s="65" t="str">
        <f>TEXT(Table8[[#This Row],[Date Day]],"mmm,YYYY")</f>
        <v>Jan,2011</v>
      </c>
    </row>
    <row r="198" spans="1:19" ht="15.6" x14ac:dyDescent="0.3">
      <c r="A198" s="62">
        <v>165</v>
      </c>
      <c r="B198" s="63">
        <v>40551</v>
      </c>
      <c r="C198" s="64">
        <v>3</v>
      </c>
      <c r="D198" s="64" t="b">
        <f>IF(COUNTIF(AU$36:AU$52,Table8[[#This Row],[Date Day]]) &gt; 0, TRUE, FALSE)</f>
        <v>0</v>
      </c>
      <c r="E198" s="64">
        <f t="shared" si="4"/>
        <v>6</v>
      </c>
      <c r="F198" s="64">
        <v>3</v>
      </c>
      <c r="G198" s="65" t="str">
        <f>IF(Table8[[#This Row],[Weathersit]]=1, "BAD", IF(Table8[[#This Row],[Weathersit]]=2, "MODERATE", IF(Table8[[#This Row],[Weathersit]]=3, "GOOD")))</f>
        <v>GOOD</v>
      </c>
      <c r="H198" s="64">
        <v>18</v>
      </c>
      <c r="I198" s="65" t="str">
        <f>IF(Table8[[#This Row],[Temp]]&lt;11, "COLD", IF(Table8[[#This Row],[Temp]]&lt;=25, "COMFORTABLE", "WARM"))</f>
        <v>COMFORTABLE</v>
      </c>
      <c r="J198" s="64">
        <v>0.19700000000000001</v>
      </c>
      <c r="K198" s="64">
        <v>0.55000000000000004</v>
      </c>
      <c r="L198" s="66">
        <v>16.420000000000002</v>
      </c>
      <c r="M198" s="75" t="s">
        <v>80</v>
      </c>
      <c r="N198" s="64">
        <v>0</v>
      </c>
      <c r="O198" s="64">
        <v>7</v>
      </c>
      <c r="P198" s="64">
        <v>7</v>
      </c>
      <c r="Q198" s="64"/>
      <c r="R198" s="65" t="str">
        <f t="shared" si="5"/>
        <v>Week 2</v>
      </c>
      <c r="S198" s="65" t="str">
        <f>TEXT(Table8[[#This Row],[Date Day]],"mmm,YYYY")</f>
        <v>Jan,2011</v>
      </c>
    </row>
    <row r="199" spans="1:19" ht="15.6" x14ac:dyDescent="0.3">
      <c r="A199" s="62">
        <v>166</v>
      </c>
      <c r="B199" s="63">
        <v>40551</v>
      </c>
      <c r="C199" s="64">
        <v>4</v>
      </c>
      <c r="D199" s="64" t="b">
        <f>IF(COUNTIF(AU$36:AU$52,Table8[[#This Row],[Date Day]]) &gt; 0, TRUE, FALSE)</f>
        <v>0</v>
      </c>
      <c r="E199" s="64">
        <f t="shared" si="4"/>
        <v>6</v>
      </c>
      <c r="F199" s="64">
        <v>3</v>
      </c>
      <c r="G199" s="65" t="str">
        <f>IF(Table8[[#This Row],[Weathersit]]=1, "BAD", IF(Table8[[#This Row],[Weathersit]]=2, "MODERATE", IF(Table8[[#This Row],[Weathersit]]=3, "GOOD")))</f>
        <v>GOOD</v>
      </c>
      <c r="H199" s="64">
        <v>18</v>
      </c>
      <c r="I199" s="65" t="str">
        <f>IF(Table8[[#This Row],[Temp]]&lt;11, "COLD", IF(Table8[[#This Row],[Temp]]&lt;=25, "COMFORTABLE", "WARM"))</f>
        <v>COMFORTABLE</v>
      </c>
      <c r="J199" s="64">
        <v>0.19700000000000001</v>
      </c>
      <c r="K199" s="64">
        <v>0.55000000000000004</v>
      </c>
      <c r="L199" s="66">
        <v>16.420000000000002</v>
      </c>
      <c r="M199" s="75" t="s">
        <v>80</v>
      </c>
      <c r="N199" s="64">
        <v>0</v>
      </c>
      <c r="O199" s="64">
        <v>1</v>
      </c>
      <c r="P199" s="64">
        <v>1</v>
      </c>
      <c r="Q199" s="64"/>
      <c r="R199" s="65" t="str">
        <f t="shared" si="5"/>
        <v>Week 2</v>
      </c>
      <c r="S199" s="65" t="str">
        <f>TEXT(Table8[[#This Row],[Date Day]],"mmm,YYYY")</f>
        <v>Jan,2011</v>
      </c>
    </row>
    <row r="200" spans="1:19" ht="15.6" x14ac:dyDescent="0.3">
      <c r="A200" s="62">
        <v>167</v>
      </c>
      <c r="B200" s="63">
        <v>40551</v>
      </c>
      <c r="C200" s="64">
        <v>5</v>
      </c>
      <c r="D200" s="64" t="b">
        <f>IF(COUNTIF(AU$36:AU$52,Table8[[#This Row],[Date Day]]) &gt; 0, TRUE, FALSE)</f>
        <v>0</v>
      </c>
      <c r="E200" s="64">
        <f t="shared" si="4"/>
        <v>6</v>
      </c>
      <c r="F200" s="64">
        <v>2</v>
      </c>
      <c r="G200" s="65" t="str">
        <f>IF(Table8[[#This Row],[Weathersit]]=1, "BAD", IF(Table8[[#This Row],[Weathersit]]=2, "MODERATE", IF(Table8[[#This Row],[Weathersit]]=3, "GOOD")))</f>
        <v>MODERATE</v>
      </c>
      <c r="H200" s="64">
        <v>16</v>
      </c>
      <c r="I200" s="65" t="str">
        <f>IF(Table8[[#This Row],[Temp]]&lt;11, "COLD", IF(Table8[[#This Row],[Temp]]&lt;=25, "COMFORTABLE", "WARM"))</f>
        <v>COMFORTABLE</v>
      </c>
      <c r="J200" s="64">
        <v>0.16669999999999999</v>
      </c>
      <c r="K200" s="64">
        <v>0.74</v>
      </c>
      <c r="L200" s="66">
        <v>16.420000000000002</v>
      </c>
      <c r="M200" s="75" t="s">
        <v>80</v>
      </c>
      <c r="N200" s="64">
        <v>0</v>
      </c>
      <c r="O200" s="64">
        <v>5</v>
      </c>
      <c r="P200" s="64">
        <v>5</v>
      </c>
      <c r="Q200" s="64"/>
      <c r="R200" s="65" t="str">
        <f t="shared" si="5"/>
        <v>Week 2</v>
      </c>
      <c r="S200" s="65" t="str">
        <f>TEXT(Table8[[#This Row],[Date Day]],"mmm,YYYY")</f>
        <v>Jan,2011</v>
      </c>
    </row>
    <row r="201" spans="1:19" ht="15.6" x14ac:dyDescent="0.3">
      <c r="A201" s="62">
        <v>168</v>
      </c>
      <c r="B201" s="63">
        <v>40551</v>
      </c>
      <c r="C201" s="64">
        <v>6</v>
      </c>
      <c r="D201" s="64" t="b">
        <f>IF(COUNTIF(AU$36:AU$52,Table8[[#This Row],[Date Day]]) &gt; 0, TRUE, FALSE)</f>
        <v>0</v>
      </c>
      <c r="E201" s="64">
        <f t="shared" si="4"/>
        <v>6</v>
      </c>
      <c r="F201" s="64">
        <v>2</v>
      </c>
      <c r="G201" s="65" t="str">
        <f>IF(Table8[[#This Row],[Weathersit]]=1, "BAD", IF(Table8[[#This Row],[Weathersit]]=2, "MODERATE", IF(Table8[[#This Row],[Weathersit]]=3, "GOOD")))</f>
        <v>MODERATE</v>
      </c>
      <c r="H201" s="64">
        <v>16</v>
      </c>
      <c r="I201" s="65" t="str">
        <f>IF(Table8[[#This Row],[Temp]]&lt;11, "COLD", IF(Table8[[#This Row],[Temp]]&lt;=25, "COMFORTABLE", "WARM"))</f>
        <v>COMFORTABLE</v>
      </c>
      <c r="J201" s="64">
        <v>0.16669999999999999</v>
      </c>
      <c r="K201" s="64">
        <v>0.74</v>
      </c>
      <c r="L201" s="66">
        <v>16.420000000000002</v>
      </c>
      <c r="M201" s="75" t="s">
        <v>80</v>
      </c>
      <c r="N201" s="64">
        <v>0</v>
      </c>
      <c r="O201" s="64">
        <v>2</v>
      </c>
      <c r="P201" s="64">
        <v>2</v>
      </c>
      <c r="Q201" s="64"/>
      <c r="R201" s="65" t="str">
        <f t="shared" si="5"/>
        <v>Week 2</v>
      </c>
      <c r="S201" s="65" t="str">
        <f>TEXT(Table8[[#This Row],[Date Day]],"mmm,YYYY")</f>
        <v>Jan,2011</v>
      </c>
    </row>
    <row r="202" spans="1:19" ht="15.6" x14ac:dyDescent="0.3">
      <c r="A202" s="62">
        <v>169</v>
      </c>
      <c r="B202" s="63">
        <v>40551</v>
      </c>
      <c r="C202" s="64">
        <v>7</v>
      </c>
      <c r="D202" s="64" t="b">
        <f>IF(COUNTIF(AU$36:AU$52,Table8[[#This Row],[Date Day]]) &gt; 0, TRUE, FALSE)</f>
        <v>0</v>
      </c>
      <c r="E202" s="64">
        <f t="shared" si="4"/>
        <v>6</v>
      </c>
      <c r="F202" s="64">
        <v>2</v>
      </c>
      <c r="G202" s="65" t="str">
        <f>IF(Table8[[#This Row],[Weathersit]]=1, "BAD", IF(Table8[[#This Row],[Weathersit]]=2, "MODERATE", IF(Table8[[#This Row],[Weathersit]]=3, "GOOD")))</f>
        <v>MODERATE</v>
      </c>
      <c r="H202" s="64">
        <v>16</v>
      </c>
      <c r="I202" s="65" t="str">
        <f>IF(Table8[[#This Row],[Temp]]&lt;11, "COLD", IF(Table8[[#This Row],[Temp]]&lt;=25, "COMFORTABLE", "WARM"))</f>
        <v>COMFORTABLE</v>
      </c>
      <c r="J202" s="64">
        <v>0.18179999999999999</v>
      </c>
      <c r="K202" s="64">
        <v>0.74</v>
      </c>
      <c r="L202" s="66">
        <v>10.45</v>
      </c>
      <c r="M202" s="75" t="s">
        <v>80</v>
      </c>
      <c r="N202" s="64">
        <v>1</v>
      </c>
      <c r="O202" s="64">
        <v>8</v>
      </c>
      <c r="P202" s="64">
        <v>9</v>
      </c>
      <c r="Q202" s="64"/>
      <c r="R202" s="65" t="str">
        <f t="shared" si="5"/>
        <v>Week 2</v>
      </c>
      <c r="S202" s="65" t="str">
        <f>TEXT(Table8[[#This Row],[Date Day]],"mmm,YYYY")</f>
        <v>Jan,2011</v>
      </c>
    </row>
    <row r="203" spans="1:19" ht="15.6" x14ac:dyDescent="0.3">
      <c r="A203" s="62">
        <v>170</v>
      </c>
      <c r="B203" s="63">
        <v>40551</v>
      </c>
      <c r="C203" s="64">
        <v>8</v>
      </c>
      <c r="D203" s="64" t="b">
        <f>IF(COUNTIF(AU$36:AU$52,Table8[[#This Row],[Date Day]]) &gt; 0, TRUE, FALSE)</f>
        <v>0</v>
      </c>
      <c r="E203" s="64">
        <f t="shared" si="4"/>
        <v>6</v>
      </c>
      <c r="F203" s="64">
        <v>3</v>
      </c>
      <c r="G203" s="65" t="str">
        <f>IF(Table8[[#This Row],[Weathersit]]=1, "BAD", IF(Table8[[#This Row],[Weathersit]]=2, "MODERATE", IF(Table8[[#This Row],[Weathersit]]=3, "GOOD")))</f>
        <v>GOOD</v>
      </c>
      <c r="H203" s="64">
        <v>16</v>
      </c>
      <c r="I203" s="65" t="str">
        <f>IF(Table8[[#This Row],[Temp]]&lt;11, "COLD", IF(Table8[[#This Row],[Temp]]&lt;=25, "COMFORTABLE", "WARM"))</f>
        <v>COMFORTABLE</v>
      </c>
      <c r="J203" s="64">
        <v>0.18179999999999999</v>
      </c>
      <c r="K203" s="64">
        <v>0.93</v>
      </c>
      <c r="L203" s="66">
        <v>10.45</v>
      </c>
      <c r="M203" s="75" t="s">
        <v>80</v>
      </c>
      <c r="N203" s="64">
        <v>0</v>
      </c>
      <c r="O203" s="64">
        <v>15</v>
      </c>
      <c r="P203" s="64">
        <v>15</v>
      </c>
      <c r="Q203" s="64"/>
      <c r="R203" s="65" t="str">
        <f t="shared" si="5"/>
        <v>Week 2</v>
      </c>
      <c r="S203" s="65" t="str">
        <f>TEXT(Table8[[#This Row],[Date Day]],"mmm,YYYY")</f>
        <v>Jan,2011</v>
      </c>
    </row>
    <row r="204" spans="1:19" ht="15.6" x14ac:dyDescent="0.3">
      <c r="A204" s="62">
        <v>171</v>
      </c>
      <c r="B204" s="63">
        <v>40551</v>
      </c>
      <c r="C204" s="64">
        <v>9</v>
      </c>
      <c r="D204" s="64" t="b">
        <f>IF(COUNTIF(AU$36:AU$52,Table8[[#This Row],[Date Day]]) &gt; 0, TRUE, FALSE)</f>
        <v>0</v>
      </c>
      <c r="E204" s="64">
        <f t="shared" si="4"/>
        <v>6</v>
      </c>
      <c r="F204" s="64">
        <v>3</v>
      </c>
      <c r="G204" s="65" t="str">
        <f>IF(Table8[[#This Row],[Weathersit]]=1, "BAD", IF(Table8[[#This Row],[Weathersit]]=2, "MODERATE", IF(Table8[[#This Row],[Weathersit]]=3, "GOOD")))</f>
        <v>GOOD</v>
      </c>
      <c r="H204" s="64">
        <v>16</v>
      </c>
      <c r="I204" s="65" t="str">
        <f>IF(Table8[[#This Row],[Temp]]&lt;11, "COLD", IF(Table8[[#This Row],[Temp]]&lt;=25, "COMFORTABLE", "WARM"))</f>
        <v>COMFORTABLE</v>
      </c>
      <c r="J204" s="64">
        <v>0.18179999999999999</v>
      </c>
      <c r="K204" s="64">
        <v>0.93</v>
      </c>
      <c r="L204" s="66">
        <v>10.45</v>
      </c>
      <c r="M204" s="75" t="s">
        <v>80</v>
      </c>
      <c r="N204" s="64">
        <v>0</v>
      </c>
      <c r="O204" s="64">
        <v>20</v>
      </c>
      <c r="P204" s="64">
        <v>20</v>
      </c>
      <c r="Q204" s="64"/>
      <c r="R204" s="65" t="str">
        <f t="shared" si="5"/>
        <v>Week 2</v>
      </c>
      <c r="S204" s="65" t="str">
        <f>TEXT(Table8[[#This Row],[Date Day]],"mmm,YYYY")</f>
        <v>Jan,2011</v>
      </c>
    </row>
    <row r="205" spans="1:19" ht="15.6" x14ac:dyDescent="0.3">
      <c r="A205" s="62">
        <v>172</v>
      </c>
      <c r="B205" s="63">
        <v>40551</v>
      </c>
      <c r="C205" s="64">
        <v>10</v>
      </c>
      <c r="D205" s="64" t="b">
        <f>IF(COUNTIF(AU$36:AU$52,Table8[[#This Row],[Date Day]]) &gt; 0, TRUE, FALSE)</f>
        <v>0</v>
      </c>
      <c r="E205" s="64">
        <f t="shared" si="4"/>
        <v>6</v>
      </c>
      <c r="F205" s="64">
        <v>2</v>
      </c>
      <c r="G205" s="65" t="str">
        <f>IF(Table8[[#This Row],[Weathersit]]=1, "BAD", IF(Table8[[#This Row],[Weathersit]]=2, "MODERATE", IF(Table8[[#This Row],[Weathersit]]=3, "GOOD")))</f>
        <v>MODERATE</v>
      </c>
      <c r="H205" s="64">
        <v>18</v>
      </c>
      <c r="I205" s="65" t="str">
        <f>IF(Table8[[#This Row],[Temp]]&lt;11, "COLD", IF(Table8[[#This Row],[Temp]]&lt;=25, "COMFORTABLE", "WARM"))</f>
        <v>COMFORTABLE</v>
      </c>
      <c r="J205" s="64">
        <v>0.19700000000000001</v>
      </c>
      <c r="K205" s="64">
        <v>0.8</v>
      </c>
      <c r="L205" s="66">
        <v>16.420000000000002</v>
      </c>
      <c r="M205" s="75" t="s">
        <v>80</v>
      </c>
      <c r="N205" s="64">
        <v>5</v>
      </c>
      <c r="O205" s="64">
        <v>56</v>
      </c>
      <c r="P205" s="64">
        <v>61</v>
      </c>
      <c r="Q205" s="64"/>
      <c r="R205" s="65" t="str">
        <f t="shared" si="5"/>
        <v>Week 2</v>
      </c>
      <c r="S205" s="65" t="str">
        <f>TEXT(Table8[[#This Row],[Date Day]],"mmm,YYYY")</f>
        <v>Jan,2011</v>
      </c>
    </row>
    <row r="206" spans="1:19" ht="15.6" x14ac:dyDescent="0.3">
      <c r="A206" s="62">
        <v>173</v>
      </c>
      <c r="B206" s="63">
        <v>40551</v>
      </c>
      <c r="C206" s="64">
        <v>11</v>
      </c>
      <c r="D206" s="64" t="b">
        <f>IF(COUNTIF(AU$36:AU$52,Table8[[#This Row],[Date Day]]) &gt; 0, TRUE, FALSE)</f>
        <v>0</v>
      </c>
      <c r="E206" s="64">
        <f t="shared" si="4"/>
        <v>6</v>
      </c>
      <c r="F206" s="64">
        <v>2</v>
      </c>
      <c r="G206" s="65" t="str">
        <f>IF(Table8[[#This Row],[Weathersit]]=1, "BAD", IF(Table8[[#This Row],[Weathersit]]=2, "MODERATE", IF(Table8[[#This Row],[Weathersit]]=3, "GOOD")))</f>
        <v>MODERATE</v>
      </c>
      <c r="H206" s="64">
        <v>20</v>
      </c>
      <c r="I206" s="65" t="str">
        <f>IF(Table8[[#This Row],[Temp]]&lt;11, "COLD", IF(Table8[[#This Row],[Temp]]&lt;=25, "COMFORTABLE", "WARM"))</f>
        <v>COMFORTABLE</v>
      </c>
      <c r="J206" s="64">
        <v>0.18179999999999999</v>
      </c>
      <c r="K206" s="64">
        <v>0.69</v>
      </c>
      <c r="L206" s="66">
        <v>38.81</v>
      </c>
      <c r="M206" s="75" t="s">
        <v>84</v>
      </c>
      <c r="N206" s="64">
        <v>2</v>
      </c>
      <c r="O206" s="64">
        <v>60</v>
      </c>
      <c r="P206" s="64">
        <v>62</v>
      </c>
      <c r="Q206" s="64"/>
      <c r="R206" s="65" t="str">
        <f t="shared" si="5"/>
        <v>Week 2</v>
      </c>
      <c r="S206" s="65" t="str">
        <f>TEXT(Table8[[#This Row],[Date Day]],"mmm,YYYY")</f>
        <v>Jan,2011</v>
      </c>
    </row>
    <row r="207" spans="1:19" ht="15.6" x14ac:dyDescent="0.3">
      <c r="A207" s="62">
        <v>174</v>
      </c>
      <c r="B207" s="63">
        <v>40551</v>
      </c>
      <c r="C207" s="64">
        <v>12</v>
      </c>
      <c r="D207" s="64" t="b">
        <f>IF(COUNTIF(AU$36:AU$52,Table8[[#This Row],[Date Day]]) &gt; 0, TRUE, FALSE)</f>
        <v>0</v>
      </c>
      <c r="E207" s="64">
        <f t="shared" si="4"/>
        <v>6</v>
      </c>
      <c r="F207" s="64">
        <v>2</v>
      </c>
      <c r="G207" s="65" t="str">
        <f>IF(Table8[[#This Row],[Weathersit]]=1, "BAD", IF(Table8[[#This Row],[Weathersit]]=2, "MODERATE", IF(Table8[[#This Row],[Weathersit]]=3, "GOOD")))</f>
        <v>MODERATE</v>
      </c>
      <c r="H207" s="64">
        <v>20</v>
      </c>
      <c r="I207" s="65" t="str">
        <f>IF(Table8[[#This Row],[Temp]]&lt;11, "COLD", IF(Table8[[#This Row],[Temp]]&lt;=25, "COMFORTABLE", "WARM"))</f>
        <v>COMFORTABLE</v>
      </c>
      <c r="J207" s="64">
        <v>0.18179999999999999</v>
      </c>
      <c r="K207" s="64">
        <v>0.59</v>
      </c>
      <c r="L207" s="66">
        <v>35.82</v>
      </c>
      <c r="M207" s="75" t="s">
        <v>84</v>
      </c>
      <c r="N207" s="64">
        <v>8</v>
      </c>
      <c r="O207" s="64">
        <v>90</v>
      </c>
      <c r="P207" s="64">
        <v>98</v>
      </c>
      <c r="Q207" s="64"/>
      <c r="R207" s="65" t="str">
        <f t="shared" si="5"/>
        <v>Week 2</v>
      </c>
      <c r="S207" s="65" t="str">
        <f>TEXT(Table8[[#This Row],[Date Day]],"mmm,YYYY")</f>
        <v>Jan,2011</v>
      </c>
    </row>
    <row r="208" spans="1:19" ht="15.6" x14ac:dyDescent="0.3">
      <c r="A208" s="62">
        <v>175</v>
      </c>
      <c r="B208" s="63">
        <v>40551</v>
      </c>
      <c r="C208" s="64">
        <v>13</v>
      </c>
      <c r="D208" s="64" t="b">
        <f>IF(COUNTIF(AU$36:AU$52,Table8[[#This Row],[Date Day]]) &gt; 0, TRUE, FALSE)</f>
        <v>0</v>
      </c>
      <c r="E208" s="64">
        <f t="shared" si="4"/>
        <v>6</v>
      </c>
      <c r="F208" s="64">
        <v>1</v>
      </c>
      <c r="G208" s="65" t="str">
        <f>IF(Table8[[#This Row],[Weathersit]]=1, "BAD", IF(Table8[[#This Row],[Weathersit]]=2, "MODERATE", IF(Table8[[#This Row],[Weathersit]]=3, "GOOD")))</f>
        <v>BAD</v>
      </c>
      <c r="H208" s="64">
        <v>20</v>
      </c>
      <c r="I208" s="65" t="str">
        <f>IF(Table8[[#This Row],[Temp]]&lt;11, "COLD", IF(Table8[[#This Row],[Temp]]&lt;=25, "COMFORTABLE", "WARM"))</f>
        <v>COMFORTABLE</v>
      </c>
      <c r="J208" s="64">
        <v>0.18179999999999999</v>
      </c>
      <c r="K208" s="64">
        <v>0.44</v>
      </c>
      <c r="L208" s="66">
        <v>32.840000000000003</v>
      </c>
      <c r="M208" s="75" t="s">
        <v>84</v>
      </c>
      <c r="N208" s="64">
        <v>7</v>
      </c>
      <c r="O208" s="64">
        <v>95</v>
      </c>
      <c r="P208" s="64">
        <v>102</v>
      </c>
      <c r="Q208" s="64"/>
      <c r="R208" s="65" t="str">
        <f t="shared" si="5"/>
        <v>Week 2</v>
      </c>
      <c r="S208" s="65" t="str">
        <f>TEXT(Table8[[#This Row],[Date Day]],"mmm,YYYY")</f>
        <v>Jan,2011</v>
      </c>
    </row>
    <row r="209" spans="1:19" ht="15.6" x14ac:dyDescent="0.3">
      <c r="A209" s="62">
        <v>176</v>
      </c>
      <c r="B209" s="63">
        <v>40551</v>
      </c>
      <c r="C209" s="64">
        <v>14</v>
      </c>
      <c r="D209" s="64" t="b">
        <f>IF(COUNTIF(AU$36:AU$52,Table8[[#This Row],[Date Day]]) &gt; 0, TRUE, FALSE)</f>
        <v>0</v>
      </c>
      <c r="E209" s="64">
        <f t="shared" si="4"/>
        <v>6</v>
      </c>
      <c r="F209" s="64">
        <v>1</v>
      </c>
      <c r="G209" s="65" t="str">
        <f>IF(Table8[[#This Row],[Weathersit]]=1, "BAD", IF(Table8[[#This Row],[Weathersit]]=2, "MODERATE", IF(Table8[[#This Row],[Weathersit]]=3, "GOOD")))</f>
        <v>BAD</v>
      </c>
      <c r="H209" s="64">
        <v>20</v>
      </c>
      <c r="I209" s="65" t="str">
        <f>IF(Table8[[#This Row],[Temp]]&lt;11, "COLD", IF(Table8[[#This Row],[Temp]]&lt;=25, "COMFORTABLE", "WARM"))</f>
        <v>COMFORTABLE</v>
      </c>
      <c r="J209" s="64">
        <v>0.16669999999999999</v>
      </c>
      <c r="K209" s="64">
        <v>0.32</v>
      </c>
      <c r="L209" s="66">
        <v>49.25</v>
      </c>
      <c r="M209" s="75" t="s">
        <v>84</v>
      </c>
      <c r="N209" s="64">
        <v>12</v>
      </c>
      <c r="O209" s="64">
        <v>83</v>
      </c>
      <c r="P209" s="64">
        <v>95</v>
      </c>
      <c r="Q209" s="64"/>
      <c r="R209" s="65" t="str">
        <f t="shared" si="5"/>
        <v>Week 2</v>
      </c>
      <c r="S209" s="65" t="str">
        <f>TEXT(Table8[[#This Row],[Date Day]],"mmm,YYYY")</f>
        <v>Jan,2011</v>
      </c>
    </row>
    <row r="210" spans="1:19" ht="15.6" x14ac:dyDescent="0.3">
      <c r="A210" s="62">
        <v>177</v>
      </c>
      <c r="B210" s="63">
        <v>40551</v>
      </c>
      <c r="C210" s="64">
        <v>15</v>
      </c>
      <c r="D210" s="64" t="b">
        <f>IF(COUNTIF(AU$36:AU$52,Table8[[#This Row],[Date Day]]) &gt; 0, TRUE, FALSE)</f>
        <v>0</v>
      </c>
      <c r="E210" s="64">
        <f t="shared" si="4"/>
        <v>6</v>
      </c>
      <c r="F210" s="64">
        <v>1</v>
      </c>
      <c r="G210" s="65" t="str">
        <f>IF(Table8[[#This Row],[Weathersit]]=1, "BAD", IF(Table8[[#This Row],[Weathersit]]=2, "MODERATE", IF(Table8[[#This Row],[Weathersit]]=3, "GOOD")))</f>
        <v>BAD</v>
      </c>
      <c r="H210" s="64">
        <v>20</v>
      </c>
      <c r="I210" s="65" t="str">
        <f>IF(Table8[[#This Row],[Temp]]&lt;11, "COLD", IF(Table8[[#This Row],[Temp]]&lt;=25, "COMFORTABLE", "WARM"))</f>
        <v>COMFORTABLE</v>
      </c>
      <c r="J210" s="64">
        <v>0.16669999999999999</v>
      </c>
      <c r="K210" s="64">
        <v>0.32</v>
      </c>
      <c r="L210" s="66">
        <v>44.78</v>
      </c>
      <c r="M210" s="75" t="s">
        <v>84</v>
      </c>
      <c r="N210" s="64">
        <v>5</v>
      </c>
      <c r="O210" s="64">
        <v>69</v>
      </c>
      <c r="P210" s="64">
        <v>74</v>
      </c>
      <c r="Q210" s="64"/>
      <c r="R210" s="65" t="str">
        <f t="shared" si="5"/>
        <v>Week 2</v>
      </c>
      <c r="S210" s="65" t="str">
        <f>TEXT(Table8[[#This Row],[Date Day]],"mmm,YYYY")</f>
        <v>Jan,2011</v>
      </c>
    </row>
    <row r="211" spans="1:19" ht="15.6" x14ac:dyDescent="0.3">
      <c r="A211" s="62">
        <v>178</v>
      </c>
      <c r="B211" s="63">
        <v>40551</v>
      </c>
      <c r="C211" s="64">
        <v>16</v>
      </c>
      <c r="D211" s="64" t="b">
        <f>IF(COUNTIF(AU$36:AU$52,Table8[[#This Row],[Date Day]]) &gt; 0, TRUE, FALSE)</f>
        <v>0</v>
      </c>
      <c r="E211" s="64">
        <f t="shared" si="4"/>
        <v>6</v>
      </c>
      <c r="F211" s="64">
        <v>1</v>
      </c>
      <c r="G211" s="65" t="str">
        <f>IF(Table8[[#This Row],[Weathersit]]=1, "BAD", IF(Table8[[#This Row],[Weathersit]]=2, "MODERATE", IF(Table8[[#This Row],[Weathersit]]=3, "GOOD")))</f>
        <v>BAD</v>
      </c>
      <c r="H211" s="64">
        <v>18</v>
      </c>
      <c r="I211" s="65" t="str">
        <f>IF(Table8[[#This Row],[Temp]]&lt;11, "COLD", IF(Table8[[#This Row],[Temp]]&lt;=25, "COMFORTABLE", "WARM"))</f>
        <v>COMFORTABLE</v>
      </c>
      <c r="J211" s="64">
        <v>0.13639999999999999</v>
      </c>
      <c r="K211" s="64">
        <v>0.28999999999999998</v>
      </c>
      <c r="L211" s="66">
        <v>44.78</v>
      </c>
      <c r="M211" s="75" t="s">
        <v>84</v>
      </c>
      <c r="N211" s="64">
        <v>8</v>
      </c>
      <c r="O211" s="64">
        <v>68</v>
      </c>
      <c r="P211" s="64">
        <v>76</v>
      </c>
      <c r="Q211" s="64"/>
      <c r="R211" s="65" t="str">
        <f t="shared" si="5"/>
        <v>Week 2</v>
      </c>
      <c r="S211" s="65" t="str">
        <f>TEXT(Table8[[#This Row],[Date Day]],"mmm,YYYY")</f>
        <v>Jan,2011</v>
      </c>
    </row>
    <row r="212" spans="1:19" ht="15.6" x14ac:dyDescent="0.3">
      <c r="A212" s="62">
        <v>179</v>
      </c>
      <c r="B212" s="63">
        <v>40551</v>
      </c>
      <c r="C212" s="64">
        <v>17</v>
      </c>
      <c r="D212" s="64" t="b">
        <f>IF(COUNTIF(AU$36:AU$52,Table8[[#This Row],[Date Day]]) &gt; 0, TRUE, FALSE)</f>
        <v>0</v>
      </c>
      <c r="E212" s="64">
        <f t="shared" si="4"/>
        <v>6</v>
      </c>
      <c r="F212" s="64">
        <v>1</v>
      </c>
      <c r="G212" s="65" t="str">
        <f>IF(Table8[[#This Row],[Weathersit]]=1, "BAD", IF(Table8[[#This Row],[Weathersit]]=2, "MODERATE", IF(Table8[[#This Row],[Weathersit]]=3, "GOOD")))</f>
        <v>BAD</v>
      </c>
      <c r="H212" s="64">
        <v>16</v>
      </c>
      <c r="I212" s="65" t="str">
        <f>IF(Table8[[#This Row],[Temp]]&lt;11, "COLD", IF(Table8[[#This Row],[Temp]]&lt;=25, "COMFORTABLE", "WARM"))</f>
        <v>COMFORTABLE</v>
      </c>
      <c r="J212" s="64">
        <v>0.1212</v>
      </c>
      <c r="K212" s="64">
        <v>0.37</v>
      </c>
      <c r="L212" s="66">
        <v>55.22</v>
      </c>
      <c r="M212" s="75" t="s">
        <v>84</v>
      </c>
      <c r="N212" s="64">
        <v>5</v>
      </c>
      <c r="O212" s="64">
        <v>64</v>
      </c>
      <c r="P212" s="64">
        <v>69</v>
      </c>
      <c r="Q212" s="64"/>
      <c r="R212" s="65" t="str">
        <f t="shared" si="5"/>
        <v>Week 2</v>
      </c>
      <c r="S212" s="65" t="str">
        <f>TEXT(Table8[[#This Row],[Date Day]],"mmm,YYYY")</f>
        <v>Jan,2011</v>
      </c>
    </row>
    <row r="213" spans="1:19" ht="15.6" x14ac:dyDescent="0.3">
      <c r="A213" s="62">
        <v>180</v>
      </c>
      <c r="B213" s="63">
        <v>40551</v>
      </c>
      <c r="C213" s="64">
        <v>18</v>
      </c>
      <c r="D213" s="64" t="b">
        <f>IF(COUNTIF(AU$36:AU$52,Table8[[#This Row],[Date Day]]) &gt; 0, TRUE, FALSE)</f>
        <v>0</v>
      </c>
      <c r="E213" s="64">
        <f t="shared" si="4"/>
        <v>6</v>
      </c>
      <c r="F213" s="64">
        <v>1</v>
      </c>
      <c r="G213" s="65" t="str">
        <f>IF(Table8[[#This Row],[Weathersit]]=1, "BAD", IF(Table8[[#This Row],[Weathersit]]=2, "MODERATE", IF(Table8[[#This Row],[Weathersit]]=3, "GOOD")))</f>
        <v>BAD</v>
      </c>
      <c r="H213" s="64">
        <v>14.000000000000002</v>
      </c>
      <c r="I213" s="65" t="str">
        <f>IF(Table8[[#This Row],[Temp]]&lt;11, "COLD", IF(Table8[[#This Row],[Temp]]&lt;=25, "COMFORTABLE", "WARM"))</f>
        <v>COMFORTABLE</v>
      </c>
      <c r="J213" s="64">
        <v>0.1212</v>
      </c>
      <c r="K213" s="64">
        <v>0.39</v>
      </c>
      <c r="L213" s="66">
        <v>29.849999999999998</v>
      </c>
      <c r="M213" s="75" t="s">
        <v>81</v>
      </c>
      <c r="N213" s="64">
        <v>3</v>
      </c>
      <c r="O213" s="64">
        <v>52</v>
      </c>
      <c r="P213" s="64">
        <v>55</v>
      </c>
      <c r="Q213" s="64"/>
      <c r="R213" s="65" t="str">
        <f t="shared" si="5"/>
        <v>Week 2</v>
      </c>
      <c r="S213" s="65" t="str">
        <f>TEXT(Table8[[#This Row],[Date Day]],"mmm,YYYY")</f>
        <v>Jan,2011</v>
      </c>
    </row>
    <row r="214" spans="1:19" ht="15.6" x14ac:dyDescent="0.3">
      <c r="A214" s="62">
        <v>181</v>
      </c>
      <c r="B214" s="63">
        <v>40551</v>
      </c>
      <c r="C214" s="64">
        <v>19</v>
      </c>
      <c r="D214" s="64" t="b">
        <f>IF(COUNTIF(AU$36:AU$52,Table8[[#This Row],[Date Day]]) &gt; 0, TRUE, FALSE)</f>
        <v>0</v>
      </c>
      <c r="E214" s="64">
        <f t="shared" si="4"/>
        <v>6</v>
      </c>
      <c r="F214" s="64">
        <v>1</v>
      </c>
      <c r="G214" s="65" t="str">
        <f>IF(Table8[[#This Row],[Weathersit]]=1, "BAD", IF(Table8[[#This Row],[Weathersit]]=2, "MODERATE", IF(Table8[[#This Row],[Weathersit]]=3, "GOOD")))</f>
        <v>BAD</v>
      </c>
      <c r="H214" s="64">
        <v>14.000000000000002</v>
      </c>
      <c r="I214" s="65" t="str">
        <f>IF(Table8[[#This Row],[Temp]]&lt;11, "COLD", IF(Table8[[#This Row],[Temp]]&lt;=25, "COMFORTABLE", "WARM"))</f>
        <v>COMFORTABLE</v>
      </c>
      <c r="J214" s="64">
        <v>0.1212</v>
      </c>
      <c r="K214" s="64">
        <v>0.36</v>
      </c>
      <c r="L214" s="66">
        <v>25.369999999999997</v>
      </c>
      <c r="M214" s="75" t="s">
        <v>81</v>
      </c>
      <c r="N214" s="64">
        <v>4</v>
      </c>
      <c r="O214" s="64">
        <v>26</v>
      </c>
      <c r="P214" s="64">
        <v>30</v>
      </c>
      <c r="Q214" s="64"/>
      <c r="R214" s="65" t="str">
        <f t="shared" si="5"/>
        <v>Week 2</v>
      </c>
      <c r="S214" s="65" t="str">
        <f>TEXT(Table8[[#This Row],[Date Day]],"mmm,YYYY")</f>
        <v>Jan,2011</v>
      </c>
    </row>
    <row r="215" spans="1:19" ht="15.6" x14ac:dyDescent="0.3">
      <c r="A215" s="62">
        <v>182</v>
      </c>
      <c r="B215" s="63">
        <v>40551</v>
      </c>
      <c r="C215" s="64">
        <v>20</v>
      </c>
      <c r="D215" s="64" t="b">
        <f>IF(COUNTIF(AU$36:AU$52,Table8[[#This Row],[Date Day]]) &gt; 0, TRUE, FALSE)</f>
        <v>0</v>
      </c>
      <c r="E215" s="64">
        <f t="shared" si="4"/>
        <v>6</v>
      </c>
      <c r="F215" s="64">
        <v>1</v>
      </c>
      <c r="G215" s="65" t="str">
        <f>IF(Table8[[#This Row],[Weathersit]]=1, "BAD", IF(Table8[[#This Row],[Weathersit]]=2, "MODERATE", IF(Table8[[#This Row],[Weathersit]]=3, "GOOD")))</f>
        <v>BAD</v>
      </c>
      <c r="H215" s="64">
        <v>12</v>
      </c>
      <c r="I215" s="65" t="str">
        <f>IF(Table8[[#This Row],[Temp]]&lt;11, "COLD", IF(Table8[[#This Row],[Temp]]&lt;=25, "COMFORTABLE", "WARM"))</f>
        <v>COMFORTABLE</v>
      </c>
      <c r="J215" s="64">
        <v>0.1212</v>
      </c>
      <c r="K215" s="64">
        <v>0.36</v>
      </c>
      <c r="L215" s="66">
        <v>25.369999999999997</v>
      </c>
      <c r="M215" s="75" t="s">
        <v>81</v>
      </c>
      <c r="N215" s="64">
        <v>0</v>
      </c>
      <c r="O215" s="64">
        <v>28</v>
      </c>
      <c r="P215" s="64">
        <v>28</v>
      </c>
      <c r="Q215" s="64"/>
      <c r="R215" s="65" t="str">
        <f t="shared" si="5"/>
        <v>Week 2</v>
      </c>
      <c r="S215" s="65" t="str">
        <f>TEXT(Table8[[#This Row],[Date Day]],"mmm,YYYY")</f>
        <v>Jan,2011</v>
      </c>
    </row>
    <row r="216" spans="1:19" ht="15.6" x14ac:dyDescent="0.3">
      <c r="A216" s="62">
        <v>183</v>
      </c>
      <c r="B216" s="63">
        <v>40551</v>
      </c>
      <c r="C216" s="64">
        <v>21</v>
      </c>
      <c r="D216" s="64" t="b">
        <f>IF(COUNTIF(AU$36:AU$52,Table8[[#This Row],[Date Day]]) &gt; 0, TRUE, FALSE)</f>
        <v>0</v>
      </c>
      <c r="E216" s="64">
        <f t="shared" si="4"/>
        <v>6</v>
      </c>
      <c r="F216" s="64">
        <v>1</v>
      </c>
      <c r="G216" s="65" t="str">
        <f>IF(Table8[[#This Row],[Weathersit]]=1, "BAD", IF(Table8[[#This Row],[Weathersit]]=2, "MODERATE", IF(Table8[[#This Row],[Weathersit]]=3, "GOOD")))</f>
        <v>BAD</v>
      </c>
      <c r="H216" s="64">
        <v>12</v>
      </c>
      <c r="I216" s="65" t="str">
        <f>IF(Table8[[#This Row],[Temp]]&lt;11, "COLD", IF(Table8[[#This Row],[Temp]]&lt;=25, "COMFORTABLE", "WARM"))</f>
        <v>COMFORTABLE</v>
      </c>
      <c r="J216" s="64">
        <v>0.1061</v>
      </c>
      <c r="K216" s="64">
        <v>0.39</v>
      </c>
      <c r="L216" s="66">
        <v>35.82</v>
      </c>
      <c r="M216" s="75" t="s">
        <v>84</v>
      </c>
      <c r="N216" s="64">
        <v>2</v>
      </c>
      <c r="O216" s="64">
        <v>35</v>
      </c>
      <c r="P216" s="64">
        <v>37</v>
      </c>
      <c r="Q216" s="64"/>
      <c r="R216" s="65" t="str">
        <f t="shared" si="5"/>
        <v>Week 2</v>
      </c>
      <c r="S216" s="65" t="str">
        <f>TEXT(Table8[[#This Row],[Date Day]],"mmm,YYYY")</f>
        <v>Jan,2011</v>
      </c>
    </row>
    <row r="217" spans="1:19" ht="15.6" x14ac:dyDescent="0.3">
      <c r="A217" s="62">
        <v>184</v>
      </c>
      <c r="B217" s="63">
        <v>40551</v>
      </c>
      <c r="C217" s="64">
        <v>22</v>
      </c>
      <c r="D217" s="64" t="b">
        <f>IF(COUNTIF(AU$36:AU$52,Table8[[#This Row],[Date Day]]) &gt; 0, TRUE, FALSE)</f>
        <v>0</v>
      </c>
      <c r="E217" s="64">
        <f t="shared" si="4"/>
        <v>6</v>
      </c>
      <c r="F217" s="64">
        <v>1</v>
      </c>
      <c r="G217" s="65" t="str">
        <f>IF(Table8[[#This Row],[Weathersit]]=1, "BAD", IF(Table8[[#This Row],[Weathersit]]=2, "MODERATE", IF(Table8[[#This Row],[Weathersit]]=3, "GOOD")))</f>
        <v>BAD</v>
      </c>
      <c r="H217" s="64">
        <v>12</v>
      </c>
      <c r="I217" s="65" t="str">
        <f>IF(Table8[[#This Row],[Temp]]&lt;11, "COLD", IF(Table8[[#This Row],[Temp]]&lt;=25, "COMFORTABLE", "WARM"))</f>
        <v>COMFORTABLE</v>
      </c>
      <c r="J217" s="64">
        <v>0.1061</v>
      </c>
      <c r="K217" s="64">
        <v>0.36</v>
      </c>
      <c r="L217" s="66">
        <v>38.81</v>
      </c>
      <c r="M217" s="75" t="s">
        <v>84</v>
      </c>
      <c r="N217" s="64">
        <v>1</v>
      </c>
      <c r="O217" s="64">
        <v>33</v>
      </c>
      <c r="P217" s="64">
        <v>34</v>
      </c>
      <c r="Q217" s="64"/>
      <c r="R217" s="65" t="str">
        <f t="shared" si="5"/>
        <v>Week 2</v>
      </c>
      <c r="S217" s="65" t="str">
        <f>TEXT(Table8[[#This Row],[Date Day]],"mmm,YYYY")</f>
        <v>Jan,2011</v>
      </c>
    </row>
    <row r="218" spans="1:19" ht="15.6" x14ac:dyDescent="0.3">
      <c r="A218" s="62">
        <v>185</v>
      </c>
      <c r="B218" s="63">
        <v>40551</v>
      </c>
      <c r="C218" s="64">
        <v>23</v>
      </c>
      <c r="D218" s="64" t="b">
        <f>IF(COUNTIF(AU$36:AU$52,Table8[[#This Row],[Date Day]]) &gt; 0, TRUE, FALSE)</f>
        <v>0</v>
      </c>
      <c r="E218" s="64">
        <f t="shared" si="4"/>
        <v>6</v>
      </c>
      <c r="F218" s="64">
        <v>1</v>
      </c>
      <c r="G218" s="65" t="str">
        <f>IF(Table8[[#This Row],[Weathersit]]=1, "BAD", IF(Table8[[#This Row],[Weathersit]]=2, "MODERATE", IF(Table8[[#This Row],[Weathersit]]=3, "GOOD")))</f>
        <v>BAD</v>
      </c>
      <c r="H218" s="64">
        <v>10</v>
      </c>
      <c r="I218" s="65" t="str">
        <f>IF(Table8[[#This Row],[Temp]]&lt;11, "COLD", IF(Table8[[#This Row],[Temp]]&lt;=25, "COMFORTABLE", "WARM"))</f>
        <v>COLD</v>
      </c>
      <c r="J218" s="64">
        <v>6.0600000000000001E-2</v>
      </c>
      <c r="K218" s="64">
        <v>0.39</v>
      </c>
      <c r="L218" s="66">
        <v>44.78</v>
      </c>
      <c r="M218" s="75" t="s">
        <v>84</v>
      </c>
      <c r="N218" s="64">
        <v>0</v>
      </c>
      <c r="O218" s="64">
        <v>22</v>
      </c>
      <c r="P218" s="64">
        <v>22</v>
      </c>
      <c r="Q218" s="64"/>
      <c r="R218" s="65" t="str">
        <f t="shared" si="5"/>
        <v>Week 2</v>
      </c>
      <c r="S218" s="65" t="str">
        <f>TEXT(Table8[[#This Row],[Date Day]],"mmm,YYYY")</f>
        <v>Jan,2011</v>
      </c>
    </row>
    <row r="219" spans="1:19" ht="15.6" x14ac:dyDescent="0.3">
      <c r="A219" s="62">
        <v>186</v>
      </c>
      <c r="B219" s="63">
        <v>40552</v>
      </c>
      <c r="C219" s="64">
        <v>0</v>
      </c>
      <c r="D219" s="64" t="b">
        <f>IF(COUNTIF(AU$36:AU$52,Table8[[#This Row],[Date Day]]) &gt; 0, TRUE, FALSE)</f>
        <v>0</v>
      </c>
      <c r="E219" s="64">
        <f t="shared" si="4"/>
        <v>7</v>
      </c>
      <c r="F219" s="64">
        <v>1</v>
      </c>
      <c r="G219" s="65" t="str">
        <f>IF(Table8[[#This Row],[Weathersit]]=1, "BAD", IF(Table8[[#This Row],[Weathersit]]=2, "MODERATE", IF(Table8[[#This Row],[Weathersit]]=3, "GOOD")))</f>
        <v>BAD</v>
      </c>
      <c r="H219" s="64">
        <v>10</v>
      </c>
      <c r="I219" s="65" t="str">
        <f>IF(Table8[[#This Row],[Temp]]&lt;11, "COLD", IF(Table8[[#This Row],[Temp]]&lt;=25, "COMFORTABLE", "WARM"))</f>
        <v>COLD</v>
      </c>
      <c r="J219" s="64">
        <v>7.5800000000000006E-2</v>
      </c>
      <c r="K219" s="64">
        <v>0.42</v>
      </c>
      <c r="L219" s="66">
        <v>38.81</v>
      </c>
      <c r="M219" s="75" t="s">
        <v>84</v>
      </c>
      <c r="N219" s="64">
        <v>1</v>
      </c>
      <c r="O219" s="64">
        <v>24</v>
      </c>
      <c r="P219" s="64">
        <v>25</v>
      </c>
      <c r="Q219" s="64"/>
      <c r="R219" s="65" t="str">
        <f t="shared" si="5"/>
        <v>Week 2</v>
      </c>
      <c r="S219" s="65" t="str">
        <f>TEXT(Table8[[#This Row],[Date Day]],"mmm,YYYY")</f>
        <v>Jan,2011</v>
      </c>
    </row>
    <row r="220" spans="1:19" ht="15.6" x14ac:dyDescent="0.3">
      <c r="A220" s="62">
        <v>187</v>
      </c>
      <c r="B220" s="63">
        <v>40552</v>
      </c>
      <c r="C220" s="64">
        <v>1</v>
      </c>
      <c r="D220" s="64" t="b">
        <f>IF(COUNTIF(AU$36:AU$52,Table8[[#This Row],[Date Day]]) &gt; 0, TRUE, FALSE)</f>
        <v>0</v>
      </c>
      <c r="E220" s="64">
        <f t="shared" si="4"/>
        <v>7</v>
      </c>
      <c r="F220" s="64">
        <v>1</v>
      </c>
      <c r="G220" s="65" t="str">
        <f>IF(Table8[[#This Row],[Weathersit]]=1, "BAD", IF(Table8[[#This Row],[Weathersit]]=2, "MODERATE", IF(Table8[[#This Row],[Weathersit]]=3, "GOOD")))</f>
        <v>BAD</v>
      </c>
      <c r="H220" s="64">
        <v>10</v>
      </c>
      <c r="I220" s="65" t="str">
        <f>IF(Table8[[#This Row],[Temp]]&lt;11, "COLD", IF(Table8[[#This Row],[Temp]]&lt;=25, "COMFORTABLE", "WARM"))</f>
        <v>COLD</v>
      </c>
      <c r="J220" s="64">
        <v>6.0600000000000001E-2</v>
      </c>
      <c r="K220" s="64">
        <v>0.42</v>
      </c>
      <c r="L220" s="66">
        <v>46.27</v>
      </c>
      <c r="M220" s="75" t="s">
        <v>84</v>
      </c>
      <c r="N220" s="64">
        <v>0</v>
      </c>
      <c r="O220" s="64">
        <v>12</v>
      </c>
      <c r="P220" s="64">
        <v>12</v>
      </c>
      <c r="Q220" s="64"/>
      <c r="R220" s="65" t="str">
        <f t="shared" si="5"/>
        <v>Week 2</v>
      </c>
      <c r="S220" s="65" t="str">
        <f>TEXT(Table8[[#This Row],[Date Day]],"mmm,YYYY")</f>
        <v>Jan,2011</v>
      </c>
    </row>
    <row r="221" spans="1:19" ht="15.6" x14ac:dyDescent="0.3">
      <c r="A221" s="62">
        <v>188</v>
      </c>
      <c r="B221" s="63">
        <v>40552</v>
      </c>
      <c r="C221" s="64">
        <v>2</v>
      </c>
      <c r="D221" s="64" t="b">
        <f>IF(COUNTIF(AU$36:AU$52,Table8[[#This Row],[Date Day]]) &gt; 0, TRUE, FALSE)</f>
        <v>0</v>
      </c>
      <c r="E221" s="64">
        <f t="shared" si="4"/>
        <v>7</v>
      </c>
      <c r="F221" s="64">
        <v>1</v>
      </c>
      <c r="G221" s="65" t="str">
        <f>IF(Table8[[#This Row],[Weathersit]]=1, "BAD", IF(Table8[[#This Row],[Weathersit]]=2, "MODERATE", IF(Table8[[#This Row],[Weathersit]]=3, "GOOD")))</f>
        <v>BAD</v>
      </c>
      <c r="H221" s="64">
        <v>10</v>
      </c>
      <c r="I221" s="65" t="str">
        <f>IF(Table8[[#This Row],[Temp]]&lt;11, "COLD", IF(Table8[[#This Row],[Temp]]&lt;=25, "COMFORTABLE", "WARM"))</f>
        <v>COLD</v>
      </c>
      <c r="J221" s="64">
        <v>6.0600000000000001E-2</v>
      </c>
      <c r="K221" s="64">
        <v>0.46</v>
      </c>
      <c r="L221" s="66">
        <v>46.27</v>
      </c>
      <c r="M221" s="75" t="s">
        <v>84</v>
      </c>
      <c r="N221" s="64">
        <v>0</v>
      </c>
      <c r="O221" s="64">
        <v>11</v>
      </c>
      <c r="P221" s="64">
        <v>11</v>
      </c>
      <c r="Q221" s="64"/>
      <c r="R221" s="65" t="str">
        <f t="shared" si="5"/>
        <v>Week 2</v>
      </c>
      <c r="S221" s="65" t="str">
        <f>TEXT(Table8[[#This Row],[Date Day]],"mmm,YYYY")</f>
        <v>Jan,2011</v>
      </c>
    </row>
    <row r="222" spans="1:19" ht="15.6" x14ac:dyDescent="0.3">
      <c r="A222" s="62">
        <v>189</v>
      </c>
      <c r="B222" s="63">
        <v>40552</v>
      </c>
      <c r="C222" s="64">
        <v>3</v>
      </c>
      <c r="D222" s="64" t="b">
        <f>IF(COUNTIF(AU$36:AU$52,Table8[[#This Row],[Date Day]]) &gt; 0, TRUE, FALSE)</f>
        <v>0</v>
      </c>
      <c r="E222" s="64">
        <f t="shared" si="4"/>
        <v>7</v>
      </c>
      <c r="F222" s="64">
        <v>1</v>
      </c>
      <c r="G222" s="65" t="str">
        <f>IF(Table8[[#This Row],[Weathersit]]=1, "BAD", IF(Table8[[#This Row],[Weathersit]]=2, "MODERATE", IF(Table8[[#This Row],[Weathersit]]=3, "GOOD")))</f>
        <v>BAD</v>
      </c>
      <c r="H222" s="64">
        <v>10</v>
      </c>
      <c r="I222" s="65" t="str">
        <f>IF(Table8[[#This Row],[Temp]]&lt;11, "COLD", IF(Table8[[#This Row],[Temp]]&lt;=25, "COMFORTABLE", "WARM"))</f>
        <v>COLD</v>
      </c>
      <c r="J222" s="64">
        <v>7.5800000000000006E-2</v>
      </c>
      <c r="K222" s="64">
        <v>0.46</v>
      </c>
      <c r="L222" s="66">
        <v>41.79</v>
      </c>
      <c r="M222" s="75" t="s">
        <v>84</v>
      </c>
      <c r="N222" s="64">
        <v>0</v>
      </c>
      <c r="O222" s="64">
        <v>4</v>
      </c>
      <c r="P222" s="64">
        <v>4</v>
      </c>
      <c r="Q222" s="64"/>
      <c r="R222" s="65" t="str">
        <f t="shared" si="5"/>
        <v>Week 2</v>
      </c>
      <c r="S222" s="65" t="str">
        <f>TEXT(Table8[[#This Row],[Date Day]],"mmm,YYYY")</f>
        <v>Jan,2011</v>
      </c>
    </row>
    <row r="223" spans="1:19" ht="15.6" x14ac:dyDescent="0.3">
      <c r="A223" s="62">
        <v>190</v>
      </c>
      <c r="B223" s="63">
        <v>40552</v>
      </c>
      <c r="C223" s="64">
        <v>4</v>
      </c>
      <c r="D223" s="64" t="b">
        <f>IF(COUNTIF(AU$36:AU$52,Table8[[#This Row],[Date Day]]) &gt; 0, TRUE, FALSE)</f>
        <v>0</v>
      </c>
      <c r="E223" s="64">
        <f t="shared" si="4"/>
        <v>7</v>
      </c>
      <c r="F223" s="64">
        <v>1</v>
      </c>
      <c r="G223" s="65" t="str">
        <f>IF(Table8[[#This Row],[Weathersit]]=1, "BAD", IF(Table8[[#This Row],[Weathersit]]=2, "MODERATE", IF(Table8[[#This Row],[Weathersit]]=3, "GOOD")))</f>
        <v>BAD</v>
      </c>
      <c r="H223" s="64">
        <v>8</v>
      </c>
      <c r="I223" s="65" t="str">
        <f>IF(Table8[[#This Row],[Temp]]&lt;11, "COLD", IF(Table8[[#This Row],[Temp]]&lt;=25, "COMFORTABLE", "WARM"))</f>
        <v>COLD</v>
      </c>
      <c r="J223" s="64">
        <v>9.0899999999999995E-2</v>
      </c>
      <c r="K223" s="64">
        <v>0.53</v>
      </c>
      <c r="L223" s="66">
        <v>19.400000000000002</v>
      </c>
      <c r="M223" s="75" t="s">
        <v>80</v>
      </c>
      <c r="N223" s="64">
        <v>0</v>
      </c>
      <c r="O223" s="64">
        <v>1</v>
      </c>
      <c r="P223" s="64">
        <v>1</v>
      </c>
      <c r="Q223" s="64"/>
      <c r="R223" s="65" t="str">
        <f t="shared" si="5"/>
        <v>Week 2</v>
      </c>
      <c r="S223" s="65" t="str">
        <f>TEXT(Table8[[#This Row],[Date Day]],"mmm,YYYY")</f>
        <v>Jan,2011</v>
      </c>
    </row>
    <row r="224" spans="1:19" ht="15.6" x14ac:dyDescent="0.3">
      <c r="A224" s="62">
        <v>191</v>
      </c>
      <c r="B224" s="63">
        <v>40552</v>
      </c>
      <c r="C224" s="64">
        <v>5</v>
      </c>
      <c r="D224" s="64" t="b">
        <f>IF(COUNTIF(AU$36:AU$52,Table8[[#This Row],[Date Day]]) &gt; 0, TRUE, FALSE)</f>
        <v>0</v>
      </c>
      <c r="E224" s="64">
        <f t="shared" si="4"/>
        <v>7</v>
      </c>
      <c r="F224" s="64">
        <v>1</v>
      </c>
      <c r="G224" s="65" t="str">
        <f>IF(Table8[[#This Row],[Weathersit]]=1, "BAD", IF(Table8[[#This Row],[Weathersit]]=2, "MODERATE", IF(Table8[[#This Row],[Weathersit]]=3, "GOOD")))</f>
        <v>BAD</v>
      </c>
      <c r="H224" s="64">
        <v>8</v>
      </c>
      <c r="I224" s="65" t="str">
        <f>IF(Table8[[#This Row],[Temp]]&lt;11, "COLD", IF(Table8[[#This Row],[Temp]]&lt;=25, "COMFORTABLE", "WARM"))</f>
        <v>COLD</v>
      </c>
      <c r="J224" s="64">
        <v>9.0899999999999995E-2</v>
      </c>
      <c r="K224" s="64">
        <v>0.53</v>
      </c>
      <c r="L224" s="66">
        <v>19.400000000000002</v>
      </c>
      <c r="M224" s="75" t="s">
        <v>80</v>
      </c>
      <c r="N224" s="64">
        <v>0</v>
      </c>
      <c r="O224" s="64">
        <v>1</v>
      </c>
      <c r="P224" s="64">
        <v>1</v>
      </c>
      <c r="Q224" s="64"/>
      <c r="R224" s="65" t="str">
        <f t="shared" si="5"/>
        <v>Week 2</v>
      </c>
      <c r="S224" s="65" t="str">
        <f>TEXT(Table8[[#This Row],[Date Day]],"mmm,YYYY")</f>
        <v>Jan,2011</v>
      </c>
    </row>
    <row r="225" spans="1:19" ht="15.6" x14ac:dyDescent="0.3">
      <c r="A225" s="62">
        <v>192</v>
      </c>
      <c r="B225" s="63">
        <v>40552</v>
      </c>
      <c r="C225" s="64">
        <v>6</v>
      </c>
      <c r="D225" s="64" t="b">
        <f>IF(COUNTIF(AU$36:AU$52,Table8[[#This Row],[Date Day]]) &gt; 0, TRUE, FALSE)</f>
        <v>0</v>
      </c>
      <c r="E225" s="64">
        <f t="shared" si="4"/>
        <v>7</v>
      </c>
      <c r="F225" s="64">
        <v>1</v>
      </c>
      <c r="G225" s="65" t="str">
        <f>IF(Table8[[#This Row],[Weathersit]]=1, "BAD", IF(Table8[[#This Row],[Weathersit]]=2, "MODERATE", IF(Table8[[#This Row],[Weathersit]]=3, "GOOD")))</f>
        <v>BAD</v>
      </c>
      <c r="H225" s="64">
        <v>10</v>
      </c>
      <c r="I225" s="65" t="str">
        <f>IF(Table8[[#This Row],[Temp]]&lt;11, "COLD", IF(Table8[[#This Row],[Temp]]&lt;=25, "COMFORTABLE", "WARM"))</f>
        <v>COLD</v>
      </c>
      <c r="J225" s="64">
        <v>9.0899999999999995E-2</v>
      </c>
      <c r="K225" s="64">
        <v>0.49</v>
      </c>
      <c r="L225" s="66">
        <v>28.360000000000003</v>
      </c>
      <c r="M225" s="75" t="s">
        <v>81</v>
      </c>
      <c r="N225" s="64">
        <v>0</v>
      </c>
      <c r="O225" s="64">
        <v>1</v>
      </c>
      <c r="P225" s="64">
        <v>1</v>
      </c>
      <c r="Q225" s="64"/>
      <c r="R225" s="65" t="str">
        <f t="shared" si="5"/>
        <v>Week 2</v>
      </c>
      <c r="S225" s="65" t="str">
        <f>TEXT(Table8[[#This Row],[Date Day]],"mmm,YYYY")</f>
        <v>Jan,2011</v>
      </c>
    </row>
    <row r="226" spans="1:19" ht="15.6" x14ac:dyDescent="0.3">
      <c r="A226" s="62">
        <v>193</v>
      </c>
      <c r="B226" s="63">
        <v>40552</v>
      </c>
      <c r="C226" s="64">
        <v>7</v>
      </c>
      <c r="D226" s="64" t="b">
        <f>IF(COUNTIF(AU$36:AU$52,Table8[[#This Row],[Date Day]]) &gt; 0, TRUE, FALSE)</f>
        <v>0</v>
      </c>
      <c r="E226" s="64">
        <f t="shared" ref="E226:E289" si="6">WEEKDAY(B:B,2)</f>
        <v>7</v>
      </c>
      <c r="F226" s="64">
        <v>1</v>
      </c>
      <c r="G226" s="65" t="str">
        <f>IF(Table8[[#This Row],[Weathersit]]=1, "BAD", IF(Table8[[#This Row],[Weathersit]]=2, "MODERATE", IF(Table8[[#This Row],[Weathersit]]=3, "GOOD")))</f>
        <v>BAD</v>
      </c>
      <c r="H226" s="64">
        <v>8</v>
      </c>
      <c r="I226" s="65" t="str">
        <f>IF(Table8[[#This Row],[Temp]]&lt;11, "COLD", IF(Table8[[#This Row],[Temp]]&lt;=25, "COMFORTABLE", "WARM"))</f>
        <v>COLD</v>
      </c>
      <c r="J226" s="64">
        <v>9.0899999999999995E-2</v>
      </c>
      <c r="K226" s="64">
        <v>0.53</v>
      </c>
      <c r="L226" s="66">
        <v>19.400000000000002</v>
      </c>
      <c r="M226" s="75" t="s">
        <v>80</v>
      </c>
      <c r="N226" s="64">
        <v>1</v>
      </c>
      <c r="O226" s="64">
        <v>5</v>
      </c>
      <c r="P226" s="64">
        <v>6</v>
      </c>
      <c r="Q226" s="64"/>
      <c r="R226" s="65" t="str">
        <f t="shared" ref="R226:R289" si="7">"Week " &amp; INT((DAY(B226)-1)/7)+1</f>
        <v>Week 2</v>
      </c>
      <c r="S226" s="65" t="str">
        <f>TEXT(Table8[[#This Row],[Date Day]],"mmm,YYYY")</f>
        <v>Jan,2011</v>
      </c>
    </row>
    <row r="227" spans="1:19" ht="15.6" x14ac:dyDescent="0.3">
      <c r="A227" s="62">
        <v>194</v>
      </c>
      <c r="B227" s="63">
        <v>40552</v>
      </c>
      <c r="C227" s="64">
        <v>8</v>
      </c>
      <c r="D227" s="64" t="b">
        <f>IF(COUNTIF(AU$36:AU$52,Table8[[#This Row],[Date Day]]) &gt; 0, TRUE, FALSE)</f>
        <v>0</v>
      </c>
      <c r="E227" s="64">
        <f t="shared" si="6"/>
        <v>7</v>
      </c>
      <c r="F227" s="64">
        <v>1</v>
      </c>
      <c r="G227" s="65" t="str">
        <f>IF(Table8[[#This Row],[Weathersit]]=1, "BAD", IF(Table8[[#This Row],[Weathersit]]=2, "MODERATE", IF(Table8[[#This Row],[Weathersit]]=3, "GOOD")))</f>
        <v>BAD</v>
      </c>
      <c r="H227" s="64">
        <v>10</v>
      </c>
      <c r="I227" s="65" t="str">
        <f>IF(Table8[[#This Row],[Temp]]&lt;11, "COLD", IF(Table8[[#This Row],[Temp]]&lt;=25, "COMFORTABLE", "WARM"))</f>
        <v>COLD</v>
      </c>
      <c r="J227" s="64">
        <v>9.0899999999999995E-2</v>
      </c>
      <c r="K227" s="64">
        <v>0.49</v>
      </c>
      <c r="L227" s="66">
        <v>28.360000000000003</v>
      </c>
      <c r="M227" s="75" t="s">
        <v>81</v>
      </c>
      <c r="N227" s="64">
        <v>0</v>
      </c>
      <c r="O227" s="64">
        <v>10</v>
      </c>
      <c r="P227" s="64">
        <v>10</v>
      </c>
      <c r="Q227" s="64"/>
      <c r="R227" s="65" t="str">
        <f t="shared" si="7"/>
        <v>Week 2</v>
      </c>
      <c r="S227" s="65" t="str">
        <f>TEXT(Table8[[#This Row],[Date Day]],"mmm,YYYY")</f>
        <v>Jan,2011</v>
      </c>
    </row>
    <row r="228" spans="1:19" ht="15.6" x14ac:dyDescent="0.3">
      <c r="A228" s="62">
        <v>195</v>
      </c>
      <c r="B228" s="63">
        <v>40552</v>
      </c>
      <c r="C228" s="64">
        <v>9</v>
      </c>
      <c r="D228" s="64" t="b">
        <f>IF(COUNTIF(AU$36:AU$52,Table8[[#This Row],[Date Day]]) &gt; 0, TRUE, FALSE)</f>
        <v>0</v>
      </c>
      <c r="E228" s="64">
        <f t="shared" si="6"/>
        <v>7</v>
      </c>
      <c r="F228" s="64">
        <v>1</v>
      </c>
      <c r="G228" s="65" t="str">
        <f>IF(Table8[[#This Row],[Weathersit]]=1, "BAD", IF(Table8[[#This Row],[Weathersit]]=2, "MODERATE", IF(Table8[[#This Row],[Weathersit]]=3, "GOOD")))</f>
        <v>BAD</v>
      </c>
      <c r="H228" s="64">
        <v>12</v>
      </c>
      <c r="I228" s="65" t="str">
        <f>IF(Table8[[#This Row],[Temp]]&lt;11, "COLD", IF(Table8[[#This Row],[Temp]]&lt;=25, "COMFORTABLE", "WARM"))</f>
        <v>COMFORTABLE</v>
      </c>
      <c r="J228" s="64">
        <v>7.5800000000000006E-2</v>
      </c>
      <c r="K228" s="64">
        <v>0.46</v>
      </c>
      <c r="L228" s="66">
        <v>52.239999999999995</v>
      </c>
      <c r="M228" s="75" t="s">
        <v>84</v>
      </c>
      <c r="N228" s="64">
        <v>0</v>
      </c>
      <c r="O228" s="64">
        <v>19</v>
      </c>
      <c r="P228" s="64">
        <v>19</v>
      </c>
      <c r="Q228" s="64"/>
      <c r="R228" s="65" t="str">
        <f t="shared" si="7"/>
        <v>Week 2</v>
      </c>
      <c r="S228" s="65" t="str">
        <f>TEXT(Table8[[#This Row],[Date Day]],"mmm,YYYY")</f>
        <v>Jan,2011</v>
      </c>
    </row>
    <row r="229" spans="1:19" ht="15.6" x14ac:dyDescent="0.3">
      <c r="A229" s="62">
        <v>196</v>
      </c>
      <c r="B229" s="63">
        <v>40552</v>
      </c>
      <c r="C229" s="64">
        <v>10</v>
      </c>
      <c r="D229" s="64" t="b">
        <f>IF(COUNTIF(AU$36:AU$52,Table8[[#This Row],[Date Day]]) &gt; 0, TRUE, FALSE)</f>
        <v>0</v>
      </c>
      <c r="E229" s="64">
        <f t="shared" si="6"/>
        <v>7</v>
      </c>
      <c r="F229" s="64">
        <v>1</v>
      </c>
      <c r="G229" s="65" t="str">
        <f>IF(Table8[[#This Row],[Weathersit]]=1, "BAD", IF(Table8[[#This Row],[Weathersit]]=2, "MODERATE", IF(Table8[[#This Row],[Weathersit]]=3, "GOOD")))</f>
        <v>BAD</v>
      </c>
      <c r="H229" s="64">
        <v>14.000000000000002</v>
      </c>
      <c r="I229" s="65" t="str">
        <f>IF(Table8[[#This Row],[Temp]]&lt;11, "COLD", IF(Table8[[#This Row],[Temp]]&lt;=25, "COMFORTABLE", "WARM"))</f>
        <v>COMFORTABLE</v>
      </c>
      <c r="J229" s="64">
        <v>0.1061</v>
      </c>
      <c r="K229" s="64">
        <v>0.43</v>
      </c>
      <c r="L229" s="66">
        <v>38.81</v>
      </c>
      <c r="M229" s="75" t="s">
        <v>84</v>
      </c>
      <c r="N229" s="64">
        <v>0</v>
      </c>
      <c r="O229" s="64">
        <v>49</v>
      </c>
      <c r="P229" s="64">
        <v>49</v>
      </c>
      <c r="Q229" s="64"/>
      <c r="R229" s="65" t="str">
        <f t="shared" si="7"/>
        <v>Week 2</v>
      </c>
      <c r="S229" s="65" t="str">
        <f>TEXT(Table8[[#This Row],[Date Day]],"mmm,YYYY")</f>
        <v>Jan,2011</v>
      </c>
    </row>
    <row r="230" spans="1:19" ht="15.6" x14ac:dyDescent="0.3">
      <c r="A230" s="62">
        <v>197</v>
      </c>
      <c r="B230" s="63">
        <v>40552</v>
      </c>
      <c r="C230" s="64">
        <v>11</v>
      </c>
      <c r="D230" s="64" t="b">
        <f>IF(COUNTIF(AU$36:AU$52,Table8[[#This Row],[Date Day]]) &gt; 0, TRUE, FALSE)</f>
        <v>0</v>
      </c>
      <c r="E230" s="64">
        <f t="shared" si="6"/>
        <v>7</v>
      </c>
      <c r="F230" s="64">
        <v>1</v>
      </c>
      <c r="G230" s="65" t="str">
        <f>IF(Table8[[#This Row],[Weathersit]]=1, "BAD", IF(Table8[[#This Row],[Weathersit]]=2, "MODERATE", IF(Table8[[#This Row],[Weathersit]]=3, "GOOD")))</f>
        <v>BAD</v>
      </c>
      <c r="H230" s="64">
        <v>16</v>
      </c>
      <c r="I230" s="65" t="str">
        <f>IF(Table8[[#This Row],[Temp]]&lt;11, "COLD", IF(Table8[[#This Row],[Temp]]&lt;=25, "COMFORTABLE", "WARM"))</f>
        <v>COMFORTABLE</v>
      </c>
      <c r="J230" s="64">
        <v>0.1212</v>
      </c>
      <c r="K230" s="64">
        <v>0.4</v>
      </c>
      <c r="L230" s="66">
        <v>52.239999999999995</v>
      </c>
      <c r="M230" s="75" t="s">
        <v>84</v>
      </c>
      <c r="N230" s="64">
        <v>2</v>
      </c>
      <c r="O230" s="64">
        <v>47</v>
      </c>
      <c r="P230" s="64">
        <v>49</v>
      </c>
      <c r="Q230" s="64"/>
      <c r="R230" s="65" t="str">
        <f t="shared" si="7"/>
        <v>Week 2</v>
      </c>
      <c r="S230" s="65" t="str">
        <f>TEXT(Table8[[#This Row],[Date Day]],"mmm,YYYY")</f>
        <v>Jan,2011</v>
      </c>
    </row>
    <row r="231" spans="1:19" ht="15.6" x14ac:dyDescent="0.3">
      <c r="A231" s="62">
        <v>198</v>
      </c>
      <c r="B231" s="63">
        <v>40552</v>
      </c>
      <c r="C231" s="64">
        <v>12</v>
      </c>
      <c r="D231" s="64" t="b">
        <f>IF(COUNTIF(AU$36:AU$52,Table8[[#This Row],[Date Day]]) &gt; 0, TRUE, FALSE)</f>
        <v>0</v>
      </c>
      <c r="E231" s="64">
        <f t="shared" si="6"/>
        <v>7</v>
      </c>
      <c r="F231" s="64">
        <v>1</v>
      </c>
      <c r="G231" s="65" t="str">
        <f>IF(Table8[[#This Row],[Weathersit]]=1, "BAD", IF(Table8[[#This Row],[Weathersit]]=2, "MODERATE", IF(Table8[[#This Row],[Weathersit]]=3, "GOOD")))</f>
        <v>BAD</v>
      </c>
      <c r="H231" s="64">
        <v>18</v>
      </c>
      <c r="I231" s="65" t="str">
        <f>IF(Table8[[#This Row],[Temp]]&lt;11, "COLD", IF(Table8[[#This Row],[Temp]]&lt;=25, "COMFORTABLE", "WARM"))</f>
        <v>COMFORTABLE</v>
      </c>
      <c r="J231" s="64">
        <v>0.13639999999999999</v>
      </c>
      <c r="K231" s="64">
        <v>0.37</v>
      </c>
      <c r="L231" s="66">
        <v>44.78</v>
      </c>
      <c r="M231" s="75" t="s">
        <v>84</v>
      </c>
      <c r="N231" s="64">
        <v>4</v>
      </c>
      <c r="O231" s="64">
        <v>79</v>
      </c>
      <c r="P231" s="64">
        <v>83</v>
      </c>
      <c r="Q231" s="64"/>
      <c r="R231" s="65" t="str">
        <f t="shared" si="7"/>
        <v>Week 2</v>
      </c>
      <c r="S231" s="65" t="str">
        <f>TEXT(Table8[[#This Row],[Date Day]],"mmm,YYYY")</f>
        <v>Jan,2011</v>
      </c>
    </row>
    <row r="232" spans="1:19" ht="15.6" x14ac:dyDescent="0.3">
      <c r="A232" s="62">
        <v>199</v>
      </c>
      <c r="B232" s="63">
        <v>40552</v>
      </c>
      <c r="C232" s="64">
        <v>13</v>
      </c>
      <c r="D232" s="64" t="b">
        <f>IF(COUNTIF(AU$36:AU$52,Table8[[#This Row],[Date Day]]) &gt; 0, TRUE, FALSE)</f>
        <v>0</v>
      </c>
      <c r="E232" s="64">
        <f t="shared" si="6"/>
        <v>7</v>
      </c>
      <c r="F232" s="64">
        <v>1</v>
      </c>
      <c r="G232" s="65" t="str">
        <f>IF(Table8[[#This Row],[Weathersit]]=1, "BAD", IF(Table8[[#This Row],[Weathersit]]=2, "MODERATE", IF(Table8[[#This Row],[Weathersit]]=3, "GOOD")))</f>
        <v>BAD</v>
      </c>
      <c r="H232" s="64">
        <v>20</v>
      </c>
      <c r="I232" s="65" t="str">
        <f>IF(Table8[[#This Row],[Temp]]&lt;11, "COLD", IF(Table8[[#This Row],[Temp]]&lt;=25, "COMFORTABLE", "WARM"))</f>
        <v>COMFORTABLE</v>
      </c>
      <c r="J232" s="64">
        <v>0.16669999999999999</v>
      </c>
      <c r="K232" s="64">
        <v>0.34</v>
      </c>
      <c r="L232" s="66">
        <v>44.78</v>
      </c>
      <c r="M232" s="75" t="s">
        <v>84</v>
      </c>
      <c r="N232" s="64">
        <v>6</v>
      </c>
      <c r="O232" s="64">
        <v>69</v>
      </c>
      <c r="P232" s="64">
        <v>75</v>
      </c>
      <c r="Q232" s="64"/>
      <c r="R232" s="65" t="str">
        <f t="shared" si="7"/>
        <v>Week 2</v>
      </c>
      <c r="S232" s="65" t="str">
        <f>TEXT(Table8[[#This Row],[Date Day]],"mmm,YYYY")</f>
        <v>Jan,2011</v>
      </c>
    </row>
    <row r="233" spans="1:19" ht="15.6" x14ac:dyDescent="0.3">
      <c r="A233" s="62">
        <v>200</v>
      </c>
      <c r="B233" s="63">
        <v>40552</v>
      </c>
      <c r="C233" s="64">
        <v>14</v>
      </c>
      <c r="D233" s="64" t="b">
        <f>IF(COUNTIF(AU$36:AU$52,Table8[[#This Row],[Date Day]]) &gt; 0, TRUE, FALSE)</f>
        <v>0</v>
      </c>
      <c r="E233" s="64">
        <f t="shared" si="6"/>
        <v>7</v>
      </c>
      <c r="F233" s="64">
        <v>1</v>
      </c>
      <c r="G233" s="65" t="str">
        <f>IF(Table8[[#This Row],[Weathersit]]=1, "BAD", IF(Table8[[#This Row],[Weathersit]]=2, "MODERATE", IF(Table8[[#This Row],[Weathersit]]=3, "GOOD")))</f>
        <v>BAD</v>
      </c>
      <c r="H233" s="64">
        <v>22</v>
      </c>
      <c r="I233" s="65" t="str">
        <f>IF(Table8[[#This Row],[Temp]]&lt;11, "COLD", IF(Table8[[#This Row],[Temp]]&lt;=25, "COMFORTABLE", "WARM"))</f>
        <v>COMFORTABLE</v>
      </c>
      <c r="J233" s="64">
        <v>0.18179999999999999</v>
      </c>
      <c r="K233" s="64">
        <v>0.32</v>
      </c>
      <c r="L233" s="66">
        <v>46.27</v>
      </c>
      <c r="M233" s="75" t="s">
        <v>84</v>
      </c>
      <c r="N233" s="64">
        <v>8</v>
      </c>
      <c r="O233" s="64">
        <v>64</v>
      </c>
      <c r="P233" s="64">
        <v>72</v>
      </c>
      <c r="Q233" s="64"/>
      <c r="R233" s="65" t="str">
        <f t="shared" si="7"/>
        <v>Week 2</v>
      </c>
      <c r="S233" s="65" t="str">
        <f>TEXT(Table8[[#This Row],[Date Day]],"mmm,YYYY")</f>
        <v>Jan,2011</v>
      </c>
    </row>
    <row r="234" spans="1:19" ht="15.6" x14ac:dyDescent="0.3">
      <c r="A234" s="62">
        <v>201</v>
      </c>
      <c r="B234" s="63">
        <v>40552</v>
      </c>
      <c r="C234" s="64">
        <v>15</v>
      </c>
      <c r="D234" s="64" t="b">
        <f>IF(COUNTIF(AU$36:AU$52,Table8[[#This Row],[Date Day]]) &gt; 0, TRUE, FALSE)</f>
        <v>0</v>
      </c>
      <c r="E234" s="64">
        <f t="shared" si="6"/>
        <v>7</v>
      </c>
      <c r="F234" s="64">
        <v>1</v>
      </c>
      <c r="G234" s="65" t="str">
        <f>IF(Table8[[#This Row],[Weathersit]]=1, "BAD", IF(Table8[[#This Row],[Weathersit]]=2, "MODERATE", IF(Table8[[#This Row],[Weathersit]]=3, "GOOD")))</f>
        <v>BAD</v>
      </c>
      <c r="H234" s="64">
        <v>22</v>
      </c>
      <c r="I234" s="65" t="str">
        <f>IF(Table8[[#This Row],[Temp]]&lt;11, "COLD", IF(Table8[[#This Row],[Temp]]&lt;=25, "COMFORTABLE", "WARM"))</f>
        <v>COMFORTABLE</v>
      </c>
      <c r="J234" s="64">
        <v>0.19700000000000001</v>
      </c>
      <c r="K234" s="64">
        <v>0.35</v>
      </c>
      <c r="L234" s="66">
        <v>35.82</v>
      </c>
      <c r="M234" s="75" t="s">
        <v>84</v>
      </c>
      <c r="N234" s="64">
        <v>5</v>
      </c>
      <c r="O234" s="64">
        <v>77</v>
      </c>
      <c r="P234" s="64">
        <v>82</v>
      </c>
      <c r="Q234" s="64"/>
      <c r="R234" s="65" t="str">
        <f t="shared" si="7"/>
        <v>Week 2</v>
      </c>
      <c r="S234" s="65" t="str">
        <f>TEXT(Table8[[#This Row],[Date Day]],"mmm,YYYY")</f>
        <v>Jan,2011</v>
      </c>
    </row>
    <row r="235" spans="1:19" ht="15.6" x14ac:dyDescent="0.3">
      <c r="A235" s="62">
        <v>202</v>
      </c>
      <c r="B235" s="63">
        <v>40552</v>
      </c>
      <c r="C235" s="64">
        <v>16</v>
      </c>
      <c r="D235" s="64" t="b">
        <f>IF(COUNTIF(AU$36:AU$52,Table8[[#This Row],[Date Day]]) &gt; 0, TRUE, FALSE)</f>
        <v>0</v>
      </c>
      <c r="E235" s="64">
        <f t="shared" si="6"/>
        <v>7</v>
      </c>
      <c r="F235" s="64">
        <v>1</v>
      </c>
      <c r="G235" s="65" t="str">
        <f>IF(Table8[[#This Row],[Weathersit]]=1, "BAD", IF(Table8[[#This Row],[Weathersit]]=2, "MODERATE", IF(Table8[[#This Row],[Weathersit]]=3, "GOOD")))</f>
        <v>BAD</v>
      </c>
      <c r="H235" s="64">
        <v>20</v>
      </c>
      <c r="I235" s="65" t="str">
        <f>IF(Table8[[#This Row],[Temp]]&lt;11, "COLD", IF(Table8[[#This Row],[Temp]]&lt;=25, "COMFORTABLE", "WARM"))</f>
        <v>COMFORTABLE</v>
      </c>
      <c r="J235" s="64">
        <v>0.16669999999999999</v>
      </c>
      <c r="K235" s="64">
        <v>0.34</v>
      </c>
      <c r="L235" s="66">
        <v>44.78</v>
      </c>
      <c r="M235" s="75" t="s">
        <v>84</v>
      </c>
      <c r="N235" s="64">
        <v>13</v>
      </c>
      <c r="O235" s="64">
        <v>79</v>
      </c>
      <c r="P235" s="64">
        <v>92</v>
      </c>
      <c r="Q235" s="64"/>
      <c r="R235" s="65" t="str">
        <f t="shared" si="7"/>
        <v>Week 2</v>
      </c>
      <c r="S235" s="65" t="str">
        <f>TEXT(Table8[[#This Row],[Date Day]],"mmm,YYYY")</f>
        <v>Jan,2011</v>
      </c>
    </row>
    <row r="236" spans="1:19" ht="15.6" x14ac:dyDescent="0.3">
      <c r="A236" s="62">
        <v>203</v>
      </c>
      <c r="B236" s="63">
        <v>40552</v>
      </c>
      <c r="C236" s="64">
        <v>17</v>
      </c>
      <c r="D236" s="64" t="b">
        <f>IF(COUNTIF(AU$36:AU$52,Table8[[#This Row],[Date Day]]) &gt; 0, TRUE, FALSE)</f>
        <v>0</v>
      </c>
      <c r="E236" s="64">
        <f t="shared" si="6"/>
        <v>7</v>
      </c>
      <c r="F236" s="64">
        <v>1</v>
      </c>
      <c r="G236" s="65" t="str">
        <f>IF(Table8[[#This Row],[Weathersit]]=1, "BAD", IF(Table8[[#This Row],[Weathersit]]=2, "MODERATE", IF(Table8[[#This Row],[Weathersit]]=3, "GOOD")))</f>
        <v>BAD</v>
      </c>
      <c r="H236" s="64">
        <v>18</v>
      </c>
      <c r="I236" s="65" t="str">
        <f>IF(Table8[[#This Row],[Temp]]&lt;11, "COLD", IF(Table8[[#This Row],[Temp]]&lt;=25, "COMFORTABLE", "WARM"))</f>
        <v>COMFORTABLE</v>
      </c>
      <c r="J236" s="64">
        <v>0.1515</v>
      </c>
      <c r="K236" s="64">
        <v>0.37</v>
      </c>
      <c r="L236" s="66">
        <v>38.81</v>
      </c>
      <c r="M236" s="75" t="s">
        <v>84</v>
      </c>
      <c r="N236" s="64">
        <v>3</v>
      </c>
      <c r="O236" s="64">
        <v>59</v>
      </c>
      <c r="P236" s="64">
        <v>62</v>
      </c>
      <c r="Q236" s="64"/>
      <c r="R236" s="65" t="str">
        <f t="shared" si="7"/>
        <v>Week 2</v>
      </c>
      <c r="S236" s="65" t="str">
        <f>TEXT(Table8[[#This Row],[Date Day]],"mmm,YYYY")</f>
        <v>Jan,2011</v>
      </c>
    </row>
    <row r="237" spans="1:19" ht="15.6" x14ac:dyDescent="0.3">
      <c r="A237" s="62">
        <v>204</v>
      </c>
      <c r="B237" s="63">
        <v>40552</v>
      </c>
      <c r="C237" s="64">
        <v>18</v>
      </c>
      <c r="D237" s="64" t="b">
        <f>IF(COUNTIF(AU$36:AU$52,Table8[[#This Row],[Date Day]]) &gt; 0, TRUE, FALSE)</f>
        <v>0</v>
      </c>
      <c r="E237" s="64">
        <f t="shared" si="6"/>
        <v>7</v>
      </c>
      <c r="F237" s="64">
        <v>1</v>
      </c>
      <c r="G237" s="65" t="str">
        <f>IF(Table8[[#This Row],[Weathersit]]=1, "BAD", IF(Table8[[#This Row],[Weathersit]]=2, "MODERATE", IF(Table8[[#This Row],[Weathersit]]=3, "GOOD")))</f>
        <v>BAD</v>
      </c>
      <c r="H237" s="64">
        <v>16</v>
      </c>
      <c r="I237" s="65" t="str">
        <f>IF(Table8[[#This Row],[Temp]]&lt;11, "COLD", IF(Table8[[#This Row],[Temp]]&lt;=25, "COMFORTABLE", "WARM"))</f>
        <v>COMFORTABLE</v>
      </c>
      <c r="J237" s="64">
        <v>0.13639999999999999</v>
      </c>
      <c r="K237" s="64">
        <v>0.4</v>
      </c>
      <c r="L237" s="66">
        <v>32.840000000000003</v>
      </c>
      <c r="M237" s="75" t="s">
        <v>84</v>
      </c>
      <c r="N237" s="64">
        <v>4</v>
      </c>
      <c r="O237" s="64">
        <v>44</v>
      </c>
      <c r="P237" s="64">
        <v>48</v>
      </c>
      <c r="Q237" s="64"/>
      <c r="R237" s="65" t="str">
        <f t="shared" si="7"/>
        <v>Week 2</v>
      </c>
      <c r="S237" s="65" t="str">
        <f>TEXT(Table8[[#This Row],[Date Day]],"mmm,YYYY")</f>
        <v>Jan,2011</v>
      </c>
    </row>
    <row r="238" spans="1:19" ht="15.6" x14ac:dyDescent="0.3">
      <c r="A238" s="62">
        <v>205</v>
      </c>
      <c r="B238" s="63">
        <v>40552</v>
      </c>
      <c r="C238" s="64">
        <v>19</v>
      </c>
      <c r="D238" s="64" t="b">
        <f>IF(COUNTIF(AU$36:AU$52,Table8[[#This Row],[Date Day]]) &gt; 0, TRUE, FALSE)</f>
        <v>0</v>
      </c>
      <c r="E238" s="64">
        <f t="shared" si="6"/>
        <v>7</v>
      </c>
      <c r="F238" s="64">
        <v>1</v>
      </c>
      <c r="G238" s="65" t="str">
        <f>IF(Table8[[#This Row],[Weathersit]]=1, "BAD", IF(Table8[[#This Row],[Weathersit]]=2, "MODERATE", IF(Table8[[#This Row],[Weathersit]]=3, "GOOD")))</f>
        <v>BAD</v>
      </c>
      <c r="H238" s="64">
        <v>16</v>
      </c>
      <c r="I238" s="65" t="str">
        <f>IF(Table8[[#This Row],[Temp]]&lt;11, "COLD", IF(Table8[[#This Row],[Temp]]&lt;=25, "COMFORTABLE", "WARM"))</f>
        <v>COMFORTABLE</v>
      </c>
      <c r="J238" s="64">
        <v>0.13639999999999999</v>
      </c>
      <c r="K238" s="64">
        <v>0.43</v>
      </c>
      <c r="L238" s="66">
        <v>32.840000000000003</v>
      </c>
      <c r="M238" s="75" t="s">
        <v>84</v>
      </c>
      <c r="N238" s="64">
        <v>1</v>
      </c>
      <c r="O238" s="64">
        <v>40</v>
      </c>
      <c r="P238" s="64">
        <v>41</v>
      </c>
      <c r="Q238" s="64"/>
      <c r="R238" s="65" t="str">
        <f t="shared" si="7"/>
        <v>Week 2</v>
      </c>
      <c r="S238" s="65" t="str">
        <f>TEXT(Table8[[#This Row],[Date Day]],"mmm,YYYY")</f>
        <v>Jan,2011</v>
      </c>
    </row>
    <row r="239" spans="1:19" ht="15.6" x14ac:dyDescent="0.3">
      <c r="A239" s="62">
        <v>206</v>
      </c>
      <c r="B239" s="63">
        <v>40552</v>
      </c>
      <c r="C239" s="64">
        <v>20</v>
      </c>
      <c r="D239" s="64" t="b">
        <f>IF(COUNTIF(AU$36:AU$52,Table8[[#This Row],[Date Day]]) &gt; 0, TRUE, FALSE)</f>
        <v>0</v>
      </c>
      <c r="E239" s="64">
        <f t="shared" si="6"/>
        <v>7</v>
      </c>
      <c r="F239" s="64">
        <v>1</v>
      </c>
      <c r="G239" s="65" t="str">
        <f>IF(Table8[[#This Row],[Weathersit]]=1, "BAD", IF(Table8[[#This Row],[Weathersit]]=2, "MODERATE", IF(Table8[[#This Row],[Weathersit]]=3, "GOOD")))</f>
        <v>BAD</v>
      </c>
      <c r="H239" s="64">
        <v>14.000000000000002</v>
      </c>
      <c r="I239" s="65" t="str">
        <f>IF(Table8[[#This Row],[Temp]]&lt;11, "COLD", IF(Table8[[#This Row],[Temp]]&lt;=25, "COMFORTABLE", "WARM"))</f>
        <v>COMFORTABLE</v>
      </c>
      <c r="J239" s="64">
        <v>0.1212</v>
      </c>
      <c r="K239" s="64">
        <v>0.46</v>
      </c>
      <c r="L239" s="66">
        <v>25.369999999999997</v>
      </c>
      <c r="M239" s="75" t="s">
        <v>81</v>
      </c>
      <c r="N239" s="64">
        <v>0</v>
      </c>
      <c r="O239" s="64">
        <v>38</v>
      </c>
      <c r="P239" s="64">
        <v>38</v>
      </c>
      <c r="Q239" s="64"/>
      <c r="R239" s="65" t="str">
        <f t="shared" si="7"/>
        <v>Week 2</v>
      </c>
      <c r="S239" s="65" t="str">
        <f>TEXT(Table8[[#This Row],[Date Day]],"mmm,YYYY")</f>
        <v>Jan,2011</v>
      </c>
    </row>
    <row r="240" spans="1:19" ht="15.6" x14ac:dyDescent="0.3">
      <c r="A240" s="62">
        <v>207</v>
      </c>
      <c r="B240" s="63">
        <v>40552</v>
      </c>
      <c r="C240" s="64">
        <v>21</v>
      </c>
      <c r="D240" s="64" t="b">
        <f>IF(COUNTIF(AU$36:AU$52,Table8[[#This Row],[Date Day]]) &gt; 0, TRUE, FALSE)</f>
        <v>0</v>
      </c>
      <c r="E240" s="64">
        <f t="shared" si="6"/>
        <v>7</v>
      </c>
      <c r="F240" s="64">
        <v>1</v>
      </c>
      <c r="G240" s="65" t="str">
        <f>IF(Table8[[#This Row],[Weathersit]]=1, "BAD", IF(Table8[[#This Row],[Weathersit]]=2, "MODERATE", IF(Table8[[#This Row],[Weathersit]]=3, "GOOD")))</f>
        <v>BAD</v>
      </c>
      <c r="H240" s="64">
        <v>14.000000000000002</v>
      </c>
      <c r="I240" s="65" t="str">
        <f>IF(Table8[[#This Row],[Temp]]&lt;11, "COLD", IF(Table8[[#This Row],[Temp]]&lt;=25, "COMFORTABLE", "WARM"))</f>
        <v>COMFORTABLE</v>
      </c>
      <c r="J240" s="64">
        <v>0.1061</v>
      </c>
      <c r="K240" s="64">
        <v>0.46</v>
      </c>
      <c r="L240" s="66">
        <v>41.79</v>
      </c>
      <c r="M240" s="75" t="s">
        <v>84</v>
      </c>
      <c r="N240" s="64">
        <v>1</v>
      </c>
      <c r="O240" s="64">
        <v>19</v>
      </c>
      <c r="P240" s="64">
        <v>20</v>
      </c>
      <c r="Q240" s="64"/>
      <c r="R240" s="65" t="str">
        <f t="shared" si="7"/>
        <v>Week 2</v>
      </c>
      <c r="S240" s="65" t="str">
        <f>TEXT(Table8[[#This Row],[Date Day]],"mmm,YYYY")</f>
        <v>Jan,2011</v>
      </c>
    </row>
    <row r="241" spans="1:19" ht="15.6" x14ac:dyDescent="0.3">
      <c r="A241" s="62">
        <v>208</v>
      </c>
      <c r="B241" s="63">
        <v>40552</v>
      </c>
      <c r="C241" s="64">
        <v>22</v>
      </c>
      <c r="D241" s="64" t="b">
        <f>IF(COUNTIF(AU$36:AU$52,Table8[[#This Row],[Date Day]]) &gt; 0, TRUE, FALSE)</f>
        <v>0</v>
      </c>
      <c r="E241" s="64">
        <f t="shared" si="6"/>
        <v>7</v>
      </c>
      <c r="F241" s="64">
        <v>1</v>
      </c>
      <c r="G241" s="65" t="str">
        <f>IF(Table8[[#This Row],[Weathersit]]=1, "BAD", IF(Table8[[#This Row],[Weathersit]]=2, "MODERATE", IF(Table8[[#This Row],[Weathersit]]=3, "GOOD")))</f>
        <v>BAD</v>
      </c>
      <c r="H241" s="64">
        <v>14.000000000000002</v>
      </c>
      <c r="I241" s="65" t="str">
        <f>IF(Table8[[#This Row],[Temp]]&lt;11, "COLD", IF(Table8[[#This Row],[Temp]]&lt;=25, "COMFORTABLE", "WARM"))</f>
        <v>COMFORTABLE</v>
      </c>
      <c r="J241" s="64">
        <v>0.1212</v>
      </c>
      <c r="K241" s="64">
        <v>0.46</v>
      </c>
      <c r="L241" s="66">
        <v>29.849999999999998</v>
      </c>
      <c r="M241" s="75" t="s">
        <v>81</v>
      </c>
      <c r="N241" s="64">
        <v>5</v>
      </c>
      <c r="O241" s="64">
        <v>10</v>
      </c>
      <c r="P241" s="64">
        <v>15</v>
      </c>
      <c r="Q241" s="64"/>
      <c r="R241" s="65" t="str">
        <f t="shared" si="7"/>
        <v>Week 2</v>
      </c>
      <c r="S241" s="65" t="str">
        <f>TEXT(Table8[[#This Row],[Date Day]],"mmm,YYYY")</f>
        <v>Jan,2011</v>
      </c>
    </row>
    <row r="242" spans="1:19" ht="15.6" x14ac:dyDescent="0.3">
      <c r="A242" s="62">
        <v>209</v>
      </c>
      <c r="B242" s="63">
        <v>40552</v>
      </c>
      <c r="C242" s="64">
        <v>23</v>
      </c>
      <c r="D242" s="64" t="b">
        <f>IF(COUNTIF(AU$36:AU$52,Table8[[#This Row],[Date Day]]) &gt; 0, TRUE, FALSE)</f>
        <v>0</v>
      </c>
      <c r="E242" s="64">
        <f t="shared" si="6"/>
        <v>7</v>
      </c>
      <c r="F242" s="64">
        <v>1</v>
      </c>
      <c r="G242" s="65" t="str">
        <f>IF(Table8[[#This Row],[Weathersit]]=1, "BAD", IF(Table8[[#This Row],[Weathersit]]=2, "MODERATE", IF(Table8[[#This Row],[Weathersit]]=3, "GOOD")))</f>
        <v>BAD</v>
      </c>
      <c r="H242" s="64">
        <v>12</v>
      </c>
      <c r="I242" s="65" t="str">
        <f>IF(Table8[[#This Row],[Temp]]&lt;11, "COLD", IF(Table8[[#This Row],[Temp]]&lt;=25, "COMFORTABLE", "WARM"))</f>
        <v>COMFORTABLE</v>
      </c>
      <c r="J242" s="64">
        <v>0.13639999999999999</v>
      </c>
      <c r="K242" s="64">
        <v>0.5</v>
      </c>
      <c r="L242" s="66">
        <v>19.400000000000002</v>
      </c>
      <c r="M242" s="75" t="s">
        <v>80</v>
      </c>
      <c r="N242" s="64">
        <v>0</v>
      </c>
      <c r="O242" s="64">
        <v>6</v>
      </c>
      <c r="P242" s="64">
        <v>6</v>
      </c>
      <c r="Q242" s="64"/>
      <c r="R242" s="65" t="str">
        <f t="shared" si="7"/>
        <v>Week 2</v>
      </c>
      <c r="S242" s="65" t="str">
        <f>TEXT(Table8[[#This Row],[Date Day]],"mmm,YYYY")</f>
        <v>Jan,2011</v>
      </c>
    </row>
    <row r="243" spans="1:19" ht="15.6" x14ac:dyDescent="0.3">
      <c r="A243" s="62">
        <v>210</v>
      </c>
      <c r="B243" s="63">
        <v>40553</v>
      </c>
      <c r="C243" s="64">
        <v>0</v>
      </c>
      <c r="D243" s="64" t="b">
        <f>IF(COUNTIF(AU$36:AU$52,Table8[[#This Row],[Date Day]]) &gt; 0, TRUE, FALSE)</f>
        <v>0</v>
      </c>
      <c r="E243" s="64">
        <f t="shared" si="6"/>
        <v>1</v>
      </c>
      <c r="F243" s="64">
        <v>1</v>
      </c>
      <c r="G243" s="65" t="str">
        <f>IF(Table8[[#This Row],[Weathersit]]=1, "BAD", IF(Table8[[#This Row],[Weathersit]]=2, "MODERATE", IF(Table8[[#This Row],[Weathersit]]=3, "GOOD")))</f>
        <v>BAD</v>
      </c>
      <c r="H243" s="64">
        <v>12</v>
      </c>
      <c r="I243" s="65" t="str">
        <f>IF(Table8[[#This Row],[Temp]]&lt;11, "COLD", IF(Table8[[#This Row],[Temp]]&lt;=25, "COMFORTABLE", "WARM"))</f>
        <v>COMFORTABLE</v>
      </c>
      <c r="J243" s="64">
        <v>0.1212</v>
      </c>
      <c r="K243" s="64">
        <v>0.5</v>
      </c>
      <c r="L243" s="66">
        <v>28.360000000000003</v>
      </c>
      <c r="M243" s="75" t="s">
        <v>81</v>
      </c>
      <c r="N243" s="64">
        <v>2</v>
      </c>
      <c r="O243" s="64">
        <v>3</v>
      </c>
      <c r="P243" s="64">
        <v>5</v>
      </c>
      <c r="Q243" s="64"/>
      <c r="R243" s="65" t="str">
        <f t="shared" si="7"/>
        <v>Week 2</v>
      </c>
      <c r="S243" s="65" t="str">
        <f>TEXT(Table8[[#This Row],[Date Day]],"mmm,YYYY")</f>
        <v>Jan,2011</v>
      </c>
    </row>
    <row r="244" spans="1:19" ht="15.6" x14ac:dyDescent="0.3">
      <c r="A244" s="62">
        <v>211</v>
      </c>
      <c r="B244" s="63">
        <v>40553</v>
      </c>
      <c r="C244" s="64">
        <v>1</v>
      </c>
      <c r="D244" s="64" t="b">
        <f>IF(COUNTIF(AU$36:AU$52,Table8[[#This Row],[Date Day]]) &gt; 0, TRUE, FALSE)</f>
        <v>0</v>
      </c>
      <c r="E244" s="64">
        <f t="shared" si="6"/>
        <v>1</v>
      </c>
      <c r="F244" s="64">
        <v>1</v>
      </c>
      <c r="G244" s="65" t="str">
        <f>IF(Table8[[#This Row],[Weathersit]]=1, "BAD", IF(Table8[[#This Row],[Weathersit]]=2, "MODERATE", IF(Table8[[#This Row],[Weathersit]]=3, "GOOD")))</f>
        <v>BAD</v>
      </c>
      <c r="H244" s="64">
        <v>12</v>
      </c>
      <c r="I244" s="65" t="str">
        <f>IF(Table8[[#This Row],[Temp]]&lt;11, "COLD", IF(Table8[[#This Row],[Temp]]&lt;=25, "COMFORTABLE", "WARM"))</f>
        <v>COMFORTABLE</v>
      </c>
      <c r="J244" s="64">
        <v>0.1212</v>
      </c>
      <c r="K244" s="64">
        <v>0.5</v>
      </c>
      <c r="L244" s="66">
        <v>28.360000000000003</v>
      </c>
      <c r="M244" s="75" t="s">
        <v>81</v>
      </c>
      <c r="N244" s="64">
        <v>1</v>
      </c>
      <c r="O244" s="64">
        <v>0</v>
      </c>
      <c r="P244" s="64">
        <v>1</v>
      </c>
      <c r="Q244" s="64"/>
      <c r="R244" s="65" t="str">
        <f t="shared" si="7"/>
        <v>Week 2</v>
      </c>
      <c r="S244" s="65" t="str">
        <f>TEXT(Table8[[#This Row],[Date Day]],"mmm,YYYY")</f>
        <v>Jan,2011</v>
      </c>
    </row>
    <row r="245" spans="1:19" ht="15.6" x14ac:dyDescent="0.3">
      <c r="A245" s="62">
        <v>212</v>
      </c>
      <c r="B245" s="63">
        <v>40553</v>
      </c>
      <c r="C245" s="64">
        <v>2</v>
      </c>
      <c r="D245" s="64" t="b">
        <f>IF(COUNTIF(AU$36:AU$52,Table8[[#This Row],[Date Day]]) &gt; 0, TRUE, FALSE)</f>
        <v>0</v>
      </c>
      <c r="E245" s="64">
        <f t="shared" si="6"/>
        <v>1</v>
      </c>
      <c r="F245" s="64">
        <v>1</v>
      </c>
      <c r="G245" s="65" t="str">
        <f>IF(Table8[[#This Row],[Weathersit]]=1, "BAD", IF(Table8[[#This Row],[Weathersit]]=2, "MODERATE", IF(Table8[[#This Row],[Weathersit]]=3, "GOOD")))</f>
        <v>BAD</v>
      </c>
      <c r="H245" s="64">
        <v>12</v>
      </c>
      <c r="I245" s="65" t="str">
        <f>IF(Table8[[#This Row],[Temp]]&lt;11, "COLD", IF(Table8[[#This Row],[Temp]]&lt;=25, "COMFORTABLE", "WARM"))</f>
        <v>COMFORTABLE</v>
      </c>
      <c r="J245" s="64">
        <v>0.1212</v>
      </c>
      <c r="K245" s="64">
        <v>0.5</v>
      </c>
      <c r="L245" s="66">
        <v>22.39</v>
      </c>
      <c r="M245" s="75" t="s">
        <v>81</v>
      </c>
      <c r="N245" s="64">
        <v>0</v>
      </c>
      <c r="O245" s="64">
        <v>3</v>
      </c>
      <c r="P245" s="64">
        <v>3</v>
      </c>
      <c r="Q245" s="64"/>
      <c r="R245" s="65" t="str">
        <f t="shared" si="7"/>
        <v>Week 2</v>
      </c>
      <c r="S245" s="65" t="str">
        <f>TEXT(Table8[[#This Row],[Date Day]],"mmm,YYYY")</f>
        <v>Jan,2011</v>
      </c>
    </row>
    <row r="246" spans="1:19" ht="15.6" x14ac:dyDescent="0.3">
      <c r="A246" s="62">
        <v>213</v>
      </c>
      <c r="B246" s="63">
        <v>40553</v>
      </c>
      <c r="C246" s="64">
        <v>3</v>
      </c>
      <c r="D246" s="64" t="b">
        <f>IF(COUNTIF(AU$36:AU$52,Table8[[#This Row],[Date Day]]) &gt; 0, TRUE, FALSE)</f>
        <v>0</v>
      </c>
      <c r="E246" s="64">
        <f t="shared" si="6"/>
        <v>1</v>
      </c>
      <c r="F246" s="64">
        <v>1</v>
      </c>
      <c r="G246" s="65" t="str">
        <f>IF(Table8[[#This Row],[Weathersit]]=1, "BAD", IF(Table8[[#This Row],[Weathersit]]=2, "MODERATE", IF(Table8[[#This Row],[Weathersit]]=3, "GOOD")))</f>
        <v>BAD</v>
      </c>
      <c r="H246" s="64">
        <v>12</v>
      </c>
      <c r="I246" s="65" t="str">
        <f>IF(Table8[[#This Row],[Temp]]&lt;11, "COLD", IF(Table8[[#This Row],[Temp]]&lt;=25, "COMFORTABLE", "WARM"))</f>
        <v>COMFORTABLE</v>
      </c>
      <c r="J246" s="64">
        <v>0.1212</v>
      </c>
      <c r="K246" s="64">
        <v>0.5</v>
      </c>
      <c r="L246" s="66">
        <v>22.39</v>
      </c>
      <c r="M246" s="75" t="s">
        <v>81</v>
      </c>
      <c r="N246" s="64">
        <v>0</v>
      </c>
      <c r="O246" s="64">
        <v>1</v>
      </c>
      <c r="P246" s="64">
        <v>1</v>
      </c>
      <c r="Q246" s="64"/>
      <c r="R246" s="65" t="str">
        <f t="shared" si="7"/>
        <v>Week 2</v>
      </c>
      <c r="S246" s="65" t="str">
        <f>TEXT(Table8[[#This Row],[Date Day]],"mmm,YYYY")</f>
        <v>Jan,2011</v>
      </c>
    </row>
    <row r="247" spans="1:19" ht="15.6" x14ac:dyDescent="0.3">
      <c r="A247" s="62">
        <v>214</v>
      </c>
      <c r="B247" s="63">
        <v>40553</v>
      </c>
      <c r="C247" s="64">
        <v>4</v>
      </c>
      <c r="D247" s="64" t="b">
        <f>IF(COUNTIF(AU$36:AU$52,Table8[[#This Row],[Date Day]]) &gt; 0, TRUE, FALSE)</f>
        <v>0</v>
      </c>
      <c r="E247" s="64">
        <f t="shared" si="6"/>
        <v>1</v>
      </c>
      <c r="F247" s="64">
        <v>1</v>
      </c>
      <c r="G247" s="65" t="str">
        <f>IF(Table8[[#This Row],[Weathersit]]=1, "BAD", IF(Table8[[#This Row],[Weathersit]]=2, "MODERATE", IF(Table8[[#This Row],[Weathersit]]=3, "GOOD")))</f>
        <v>BAD</v>
      </c>
      <c r="H247" s="64">
        <v>10</v>
      </c>
      <c r="I247" s="65" t="str">
        <f>IF(Table8[[#This Row],[Temp]]&lt;11, "COLD", IF(Table8[[#This Row],[Temp]]&lt;=25, "COMFORTABLE", "WARM"))</f>
        <v>COLD</v>
      </c>
      <c r="J247" s="64">
        <v>0.1212</v>
      </c>
      <c r="K247" s="64">
        <v>0.54</v>
      </c>
      <c r="L247" s="66">
        <v>13.43</v>
      </c>
      <c r="M247" s="75" t="s">
        <v>80</v>
      </c>
      <c r="N247" s="64">
        <v>1</v>
      </c>
      <c r="O247" s="64">
        <v>2</v>
      </c>
      <c r="P247" s="64">
        <v>3</v>
      </c>
      <c r="Q247" s="64"/>
      <c r="R247" s="65" t="str">
        <f t="shared" si="7"/>
        <v>Week 2</v>
      </c>
      <c r="S247" s="65" t="str">
        <f>TEXT(Table8[[#This Row],[Date Day]],"mmm,YYYY")</f>
        <v>Jan,2011</v>
      </c>
    </row>
    <row r="248" spans="1:19" ht="15.6" x14ac:dyDescent="0.3">
      <c r="A248" s="62">
        <v>215</v>
      </c>
      <c r="B248" s="63">
        <v>40553</v>
      </c>
      <c r="C248" s="64">
        <v>5</v>
      </c>
      <c r="D248" s="64" t="b">
        <f>IF(COUNTIF(AU$36:AU$52,Table8[[#This Row],[Date Day]]) &gt; 0, TRUE, FALSE)</f>
        <v>0</v>
      </c>
      <c r="E248" s="64">
        <f t="shared" si="6"/>
        <v>1</v>
      </c>
      <c r="F248" s="64">
        <v>1</v>
      </c>
      <c r="G248" s="65" t="str">
        <f>IF(Table8[[#This Row],[Weathersit]]=1, "BAD", IF(Table8[[#This Row],[Weathersit]]=2, "MODERATE", IF(Table8[[#This Row],[Weathersit]]=3, "GOOD")))</f>
        <v>BAD</v>
      </c>
      <c r="H248" s="64">
        <v>10</v>
      </c>
      <c r="I248" s="65" t="str">
        <f>IF(Table8[[#This Row],[Temp]]&lt;11, "COLD", IF(Table8[[#This Row],[Temp]]&lt;=25, "COMFORTABLE", "WARM"))</f>
        <v>COLD</v>
      </c>
      <c r="J248" s="64">
        <v>0.1061</v>
      </c>
      <c r="K248" s="64">
        <v>0.54</v>
      </c>
      <c r="L248" s="66">
        <v>25.369999999999997</v>
      </c>
      <c r="M248" s="75" t="s">
        <v>81</v>
      </c>
      <c r="N248" s="64">
        <v>0</v>
      </c>
      <c r="O248" s="64">
        <v>3</v>
      </c>
      <c r="P248" s="64">
        <v>3</v>
      </c>
      <c r="Q248" s="64"/>
      <c r="R248" s="65" t="str">
        <f t="shared" si="7"/>
        <v>Week 2</v>
      </c>
      <c r="S248" s="65" t="str">
        <f>TEXT(Table8[[#This Row],[Date Day]],"mmm,YYYY")</f>
        <v>Jan,2011</v>
      </c>
    </row>
    <row r="249" spans="1:19" ht="15.6" x14ac:dyDescent="0.3">
      <c r="A249" s="62">
        <v>216</v>
      </c>
      <c r="B249" s="63">
        <v>40553</v>
      </c>
      <c r="C249" s="64">
        <v>6</v>
      </c>
      <c r="D249" s="64" t="b">
        <f>IF(COUNTIF(AU$36:AU$52,Table8[[#This Row],[Date Day]]) &gt; 0, TRUE, FALSE)</f>
        <v>0</v>
      </c>
      <c r="E249" s="64">
        <f t="shared" si="6"/>
        <v>1</v>
      </c>
      <c r="F249" s="64">
        <v>1</v>
      </c>
      <c r="G249" s="65" t="str">
        <f>IF(Table8[[#This Row],[Weathersit]]=1, "BAD", IF(Table8[[#This Row],[Weathersit]]=2, "MODERATE", IF(Table8[[#This Row],[Weathersit]]=3, "GOOD")))</f>
        <v>BAD</v>
      </c>
      <c r="H249" s="64">
        <v>12</v>
      </c>
      <c r="I249" s="65" t="str">
        <f>IF(Table8[[#This Row],[Temp]]&lt;11, "COLD", IF(Table8[[#This Row],[Temp]]&lt;=25, "COMFORTABLE", "WARM"))</f>
        <v>COMFORTABLE</v>
      </c>
      <c r="J249" s="64">
        <v>0.1212</v>
      </c>
      <c r="K249" s="64">
        <v>0.5</v>
      </c>
      <c r="L249" s="66">
        <v>28.360000000000003</v>
      </c>
      <c r="M249" s="75" t="s">
        <v>81</v>
      </c>
      <c r="N249" s="64">
        <v>0</v>
      </c>
      <c r="O249" s="64">
        <v>31</v>
      </c>
      <c r="P249" s="64">
        <v>31</v>
      </c>
      <c r="Q249" s="64"/>
      <c r="R249" s="65" t="str">
        <f t="shared" si="7"/>
        <v>Week 2</v>
      </c>
      <c r="S249" s="65" t="str">
        <f>TEXT(Table8[[#This Row],[Date Day]],"mmm,YYYY")</f>
        <v>Jan,2011</v>
      </c>
    </row>
    <row r="250" spans="1:19" ht="15.6" x14ac:dyDescent="0.3">
      <c r="A250" s="62">
        <v>217</v>
      </c>
      <c r="B250" s="63">
        <v>40553</v>
      </c>
      <c r="C250" s="64">
        <v>7</v>
      </c>
      <c r="D250" s="64" t="b">
        <f>IF(COUNTIF(AU$36:AU$52,Table8[[#This Row],[Date Day]]) &gt; 0, TRUE, FALSE)</f>
        <v>0</v>
      </c>
      <c r="E250" s="64">
        <f t="shared" si="6"/>
        <v>1</v>
      </c>
      <c r="F250" s="64">
        <v>1</v>
      </c>
      <c r="G250" s="65" t="str">
        <f>IF(Table8[[#This Row],[Weathersit]]=1, "BAD", IF(Table8[[#This Row],[Weathersit]]=2, "MODERATE", IF(Table8[[#This Row],[Weathersit]]=3, "GOOD")))</f>
        <v>BAD</v>
      </c>
      <c r="H250" s="64">
        <v>12</v>
      </c>
      <c r="I250" s="65" t="str">
        <f>IF(Table8[[#This Row],[Temp]]&lt;11, "COLD", IF(Table8[[#This Row],[Temp]]&lt;=25, "COMFORTABLE", "WARM"))</f>
        <v>COMFORTABLE</v>
      </c>
      <c r="J250" s="64">
        <v>0.1212</v>
      </c>
      <c r="K250" s="64">
        <v>0.5</v>
      </c>
      <c r="L250" s="66">
        <v>22.39</v>
      </c>
      <c r="M250" s="75" t="s">
        <v>81</v>
      </c>
      <c r="N250" s="64">
        <v>2</v>
      </c>
      <c r="O250" s="64">
        <v>75</v>
      </c>
      <c r="P250" s="64">
        <v>77</v>
      </c>
      <c r="Q250" s="64"/>
      <c r="R250" s="65" t="str">
        <f t="shared" si="7"/>
        <v>Week 2</v>
      </c>
      <c r="S250" s="65" t="str">
        <f>TEXT(Table8[[#This Row],[Date Day]],"mmm,YYYY")</f>
        <v>Jan,2011</v>
      </c>
    </row>
    <row r="251" spans="1:19" ht="15.6" x14ac:dyDescent="0.3">
      <c r="A251" s="62">
        <v>218</v>
      </c>
      <c r="B251" s="63">
        <v>40553</v>
      </c>
      <c r="C251" s="64">
        <v>8</v>
      </c>
      <c r="D251" s="64" t="b">
        <f>IF(COUNTIF(AU$36:AU$52,Table8[[#This Row],[Date Day]]) &gt; 0, TRUE, FALSE)</f>
        <v>0</v>
      </c>
      <c r="E251" s="64">
        <f t="shared" si="6"/>
        <v>1</v>
      </c>
      <c r="F251" s="64">
        <v>2</v>
      </c>
      <c r="G251" s="65" t="str">
        <f>IF(Table8[[#This Row],[Weathersit]]=1, "BAD", IF(Table8[[#This Row],[Weathersit]]=2, "MODERATE", IF(Table8[[#This Row],[Weathersit]]=3, "GOOD")))</f>
        <v>MODERATE</v>
      </c>
      <c r="H251" s="64">
        <v>12</v>
      </c>
      <c r="I251" s="65" t="str">
        <f>IF(Table8[[#This Row],[Temp]]&lt;11, "COLD", IF(Table8[[#This Row],[Temp]]&lt;=25, "COMFORTABLE", "WARM"))</f>
        <v>COMFORTABLE</v>
      </c>
      <c r="J251" s="64">
        <v>0.1212</v>
      </c>
      <c r="K251" s="64">
        <v>0.5</v>
      </c>
      <c r="L251" s="66">
        <v>28.360000000000003</v>
      </c>
      <c r="M251" s="75" t="s">
        <v>81</v>
      </c>
      <c r="N251" s="64">
        <v>4</v>
      </c>
      <c r="O251" s="64">
        <v>184</v>
      </c>
      <c r="P251" s="64">
        <v>188</v>
      </c>
      <c r="Q251" s="64"/>
      <c r="R251" s="65" t="str">
        <f t="shared" si="7"/>
        <v>Week 2</v>
      </c>
      <c r="S251" s="65" t="str">
        <f>TEXT(Table8[[#This Row],[Date Day]],"mmm,YYYY")</f>
        <v>Jan,2011</v>
      </c>
    </row>
    <row r="252" spans="1:19" ht="15.6" x14ac:dyDescent="0.3">
      <c r="A252" s="62">
        <v>219</v>
      </c>
      <c r="B252" s="63">
        <v>40553</v>
      </c>
      <c r="C252" s="64">
        <v>9</v>
      </c>
      <c r="D252" s="64" t="b">
        <f>IF(COUNTIF(AU$36:AU$52,Table8[[#This Row],[Date Day]]) &gt; 0, TRUE, FALSE)</f>
        <v>0</v>
      </c>
      <c r="E252" s="64">
        <f t="shared" si="6"/>
        <v>1</v>
      </c>
      <c r="F252" s="64">
        <v>2</v>
      </c>
      <c r="G252" s="65" t="str">
        <f>IF(Table8[[#This Row],[Weathersit]]=1, "BAD", IF(Table8[[#This Row],[Weathersit]]=2, "MODERATE", IF(Table8[[#This Row],[Weathersit]]=3, "GOOD")))</f>
        <v>MODERATE</v>
      </c>
      <c r="H252" s="64">
        <v>14.000000000000002</v>
      </c>
      <c r="I252" s="65" t="str">
        <f>IF(Table8[[#This Row],[Temp]]&lt;11, "COLD", IF(Table8[[#This Row],[Temp]]&lt;=25, "COMFORTABLE", "WARM"))</f>
        <v>COMFORTABLE</v>
      </c>
      <c r="J252" s="64">
        <v>0.1212</v>
      </c>
      <c r="K252" s="64">
        <v>0.5</v>
      </c>
      <c r="L252" s="66">
        <v>25.369999999999997</v>
      </c>
      <c r="M252" s="75" t="s">
        <v>81</v>
      </c>
      <c r="N252" s="64">
        <v>2</v>
      </c>
      <c r="O252" s="64">
        <v>92</v>
      </c>
      <c r="P252" s="64">
        <v>94</v>
      </c>
      <c r="Q252" s="64"/>
      <c r="R252" s="65" t="str">
        <f t="shared" si="7"/>
        <v>Week 2</v>
      </c>
      <c r="S252" s="65" t="str">
        <f>TEXT(Table8[[#This Row],[Date Day]],"mmm,YYYY")</f>
        <v>Jan,2011</v>
      </c>
    </row>
    <row r="253" spans="1:19" ht="15.6" x14ac:dyDescent="0.3">
      <c r="A253" s="62">
        <v>220</v>
      </c>
      <c r="B253" s="63">
        <v>40553</v>
      </c>
      <c r="C253" s="64">
        <v>10</v>
      </c>
      <c r="D253" s="64" t="b">
        <f>IF(COUNTIF(AU$36:AU$52,Table8[[#This Row],[Date Day]]) &gt; 0, TRUE, FALSE)</f>
        <v>0</v>
      </c>
      <c r="E253" s="64">
        <f t="shared" si="6"/>
        <v>1</v>
      </c>
      <c r="F253" s="64">
        <v>2</v>
      </c>
      <c r="G253" s="65" t="str">
        <f>IF(Table8[[#This Row],[Weathersit]]=1, "BAD", IF(Table8[[#This Row],[Weathersit]]=2, "MODERATE", IF(Table8[[#This Row],[Weathersit]]=3, "GOOD")))</f>
        <v>MODERATE</v>
      </c>
      <c r="H253" s="64">
        <v>14.000000000000002</v>
      </c>
      <c r="I253" s="65" t="str">
        <f>IF(Table8[[#This Row],[Temp]]&lt;11, "COLD", IF(Table8[[#This Row],[Temp]]&lt;=25, "COMFORTABLE", "WARM"))</f>
        <v>COMFORTABLE</v>
      </c>
      <c r="J253" s="64">
        <v>0.1212</v>
      </c>
      <c r="K253" s="64">
        <v>0.5</v>
      </c>
      <c r="L253" s="66">
        <v>29.849999999999998</v>
      </c>
      <c r="M253" s="75" t="s">
        <v>81</v>
      </c>
      <c r="N253" s="64">
        <v>0</v>
      </c>
      <c r="O253" s="64">
        <v>31</v>
      </c>
      <c r="P253" s="64">
        <v>31</v>
      </c>
      <c r="Q253" s="64"/>
      <c r="R253" s="65" t="str">
        <f t="shared" si="7"/>
        <v>Week 2</v>
      </c>
      <c r="S253" s="65" t="str">
        <f>TEXT(Table8[[#This Row],[Date Day]],"mmm,YYYY")</f>
        <v>Jan,2011</v>
      </c>
    </row>
    <row r="254" spans="1:19" ht="15.6" x14ac:dyDescent="0.3">
      <c r="A254" s="62">
        <v>221</v>
      </c>
      <c r="B254" s="63">
        <v>40553</v>
      </c>
      <c r="C254" s="64">
        <v>11</v>
      </c>
      <c r="D254" s="64" t="b">
        <f>IF(COUNTIF(AU$36:AU$52,Table8[[#This Row],[Date Day]]) &gt; 0, TRUE, FALSE)</f>
        <v>0</v>
      </c>
      <c r="E254" s="64">
        <f t="shared" si="6"/>
        <v>1</v>
      </c>
      <c r="F254" s="64">
        <v>2</v>
      </c>
      <c r="G254" s="65" t="str">
        <f>IF(Table8[[#This Row],[Weathersit]]=1, "BAD", IF(Table8[[#This Row],[Weathersit]]=2, "MODERATE", IF(Table8[[#This Row],[Weathersit]]=3, "GOOD")))</f>
        <v>MODERATE</v>
      </c>
      <c r="H254" s="64">
        <v>16</v>
      </c>
      <c r="I254" s="65" t="str">
        <f>IF(Table8[[#This Row],[Temp]]&lt;11, "COLD", IF(Table8[[#This Row],[Temp]]&lt;=25, "COMFORTABLE", "WARM"))</f>
        <v>COMFORTABLE</v>
      </c>
      <c r="J254" s="64">
        <v>0.13639999999999999</v>
      </c>
      <c r="K254" s="64">
        <v>0.47</v>
      </c>
      <c r="L254" s="66">
        <v>28.360000000000003</v>
      </c>
      <c r="M254" s="75" t="s">
        <v>81</v>
      </c>
      <c r="N254" s="64">
        <v>2</v>
      </c>
      <c r="O254" s="64">
        <v>28</v>
      </c>
      <c r="P254" s="64">
        <v>30</v>
      </c>
      <c r="Q254" s="64"/>
      <c r="R254" s="65" t="str">
        <f t="shared" si="7"/>
        <v>Week 2</v>
      </c>
      <c r="S254" s="65" t="str">
        <f>TEXT(Table8[[#This Row],[Date Day]],"mmm,YYYY")</f>
        <v>Jan,2011</v>
      </c>
    </row>
    <row r="255" spans="1:19" ht="15.6" x14ac:dyDescent="0.3">
      <c r="A255" s="62">
        <v>222</v>
      </c>
      <c r="B255" s="63">
        <v>40553</v>
      </c>
      <c r="C255" s="64">
        <v>12</v>
      </c>
      <c r="D255" s="64" t="b">
        <f>IF(COUNTIF(AU$36:AU$52,Table8[[#This Row],[Date Day]]) &gt; 0, TRUE, FALSE)</f>
        <v>0</v>
      </c>
      <c r="E255" s="64">
        <f t="shared" si="6"/>
        <v>1</v>
      </c>
      <c r="F255" s="64">
        <v>2</v>
      </c>
      <c r="G255" s="65" t="str">
        <f>IF(Table8[[#This Row],[Weathersit]]=1, "BAD", IF(Table8[[#This Row],[Weathersit]]=2, "MODERATE", IF(Table8[[#This Row],[Weathersit]]=3, "GOOD")))</f>
        <v>MODERATE</v>
      </c>
      <c r="H255" s="64">
        <v>20</v>
      </c>
      <c r="I255" s="65" t="str">
        <f>IF(Table8[[#This Row],[Temp]]&lt;11, "COLD", IF(Table8[[#This Row],[Temp]]&lt;=25, "COMFORTABLE", "WARM"))</f>
        <v>COMFORTABLE</v>
      </c>
      <c r="J255" s="64">
        <v>0.18179999999999999</v>
      </c>
      <c r="K255" s="64">
        <v>0.4</v>
      </c>
      <c r="L255" s="66">
        <v>28.360000000000003</v>
      </c>
      <c r="M255" s="75" t="s">
        <v>81</v>
      </c>
      <c r="N255" s="64">
        <v>5</v>
      </c>
      <c r="O255" s="64">
        <v>47</v>
      </c>
      <c r="P255" s="64">
        <v>52</v>
      </c>
      <c r="Q255" s="64"/>
      <c r="R255" s="65" t="str">
        <f t="shared" si="7"/>
        <v>Week 2</v>
      </c>
      <c r="S255" s="65" t="str">
        <f>TEXT(Table8[[#This Row],[Date Day]],"mmm,YYYY")</f>
        <v>Jan,2011</v>
      </c>
    </row>
    <row r="256" spans="1:19" ht="15.6" x14ac:dyDescent="0.3">
      <c r="A256" s="62">
        <v>223</v>
      </c>
      <c r="B256" s="63">
        <v>40553</v>
      </c>
      <c r="C256" s="64">
        <v>13</v>
      </c>
      <c r="D256" s="64" t="b">
        <f>IF(COUNTIF(AU$36:AU$52,Table8[[#This Row],[Date Day]]) &gt; 0, TRUE, FALSE)</f>
        <v>0</v>
      </c>
      <c r="E256" s="64">
        <f t="shared" si="6"/>
        <v>1</v>
      </c>
      <c r="F256" s="64">
        <v>2</v>
      </c>
      <c r="G256" s="65" t="str">
        <f>IF(Table8[[#This Row],[Weathersit]]=1, "BAD", IF(Table8[[#This Row],[Weathersit]]=2, "MODERATE", IF(Table8[[#This Row],[Weathersit]]=3, "GOOD")))</f>
        <v>MODERATE</v>
      </c>
      <c r="H256" s="64">
        <v>20</v>
      </c>
      <c r="I256" s="65" t="str">
        <f>IF(Table8[[#This Row],[Temp]]&lt;11, "COLD", IF(Table8[[#This Row],[Temp]]&lt;=25, "COMFORTABLE", "WARM"))</f>
        <v>COMFORTABLE</v>
      </c>
      <c r="J256" s="64">
        <v>0.18179999999999999</v>
      </c>
      <c r="K256" s="64">
        <v>0.4</v>
      </c>
      <c r="L256" s="66">
        <v>28.360000000000003</v>
      </c>
      <c r="M256" s="75" t="s">
        <v>81</v>
      </c>
      <c r="N256" s="64">
        <v>4</v>
      </c>
      <c r="O256" s="64">
        <v>50</v>
      </c>
      <c r="P256" s="64">
        <v>54</v>
      </c>
      <c r="Q256" s="64"/>
      <c r="R256" s="65" t="str">
        <f t="shared" si="7"/>
        <v>Week 2</v>
      </c>
      <c r="S256" s="65" t="str">
        <f>TEXT(Table8[[#This Row],[Date Day]],"mmm,YYYY")</f>
        <v>Jan,2011</v>
      </c>
    </row>
    <row r="257" spans="1:19" ht="15.6" x14ac:dyDescent="0.3">
      <c r="A257" s="62">
        <v>224</v>
      </c>
      <c r="B257" s="63">
        <v>40553</v>
      </c>
      <c r="C257" s="64">
        <v>14</v>
      </c>
      <c r="D257" s="64" t="b">
        <f>IF(COUNTIF(AU$36:AU$52,Table8[[#This Row],[Date Day]]) &gt; 0, TRUE, FALSE)</f>
        <v>0</v>
      </c>
      <c r="E257" s="64">
        <f t="shared" si="6"/>
        <v>1</v>
      </c>
      <c r="F257" s="64">
        <v>2</v>
      </c>
      <c r="G257" s="65" t="str">
        <f>IF(Table8[[#This Row],[Weathersit]]=1, "BAD", IF(Table8[[#This Row],[Weathersit]]=2, "MODERATE", IF(Table8[[#This Row],[Weathersit]]=3, "GOOD")))</f>
        <v>MODERATE</v>
      </c>
      <c r="H257" s="64">
        <v>20</v>
      </c>
      <c r="I257" s="65" t="str">
        <f>IF(Table8[[#This Row],[Temp]]&lt;11, "COLD", IF(Table8[[#This Row],[Temp]]&lt;=25, "COMFORTABLE", "WARM"))</f>
        <v>COMFORTABLE</v>
      </c>
      <c r="J257" s="64">
        <v>0.19700000000000001</v>
      </c>
      <c r="K257" s="64">
        <v>0.4</v>
      </c>
      <c r="L257" s="66">
        <v>22.39</v>
      </c>
      <c r="M257" s="75" t="s">
        <v>81</v>
      </c>
      <c r="N257" s="64">
        <v>0</v>
      </c>
      <c r="O257" s="64">
        <v>47</v>
      </c>
      <c r="P257" s="64">
        <v>47</v>
      </c>
      <c r="Q257" s="64"/>
      <c r="R257" s="65" t="str">
        <f t="shared" si="7"/>
        <v>Week 2</v>
      </c>
      <c r="S257" s="65" t="str">
        <f>TEXT(Table8[[#This Row],[Date Day]],"mmm,YYYY")</f>
        <v>Jan,2011</v>
      </c>
    </row>
    <row r="258" spans="1:19" ht="15.6" x14ac:dyDescent="0.3">
      <c r="A258" s="62">
        <v>225</v>
      </c>
      <c r="B258" s="63">
        <v>40553</v>
      </c>
      <c r="C258" s="64">
        <v>15</v>
      </c>
      <c r="D258" s="64" t="b">
        <f>IF(COUNTIF(AU$36:AU$52,Table8[[#This Row],[Date Day]]) &gt; 0, TRUE, FALSE)</f>
        <v>0</v>
      </c>
      <c r="E258" s="64">
        <f t="shared" si="6"/>
        <v>1</v>
      </c>
      <c r="F258" s="64">
        <v>2</v>
      </c>
      <c r="G258" s="65" t="str">
        <f>IF(Table8[[#This Row],[Weathersit]]=1, "BAD", IF(Table8[[#This Row],[Weathersit]]=2, "MODERATE", IF(Table8[[#This Row],[Weathersit]]=3, "GOOD")))</f>
        <v>MODERATE</v>
      </c>
      <c r="H258" s="64">
        <v>20</v>
      </c>
      <c r="I258" s="65" t="str">
        <f>IF(Table8[[#This Row],[Temp]]&lt;11, "COLD", IF(Table8[[#This Row],[Temp]]&lt;=25, "COMFORTABLE", "WARM"))</f>
        <v>COMFORTABLE</v>
      </c>
      <c r="J258" s="64">
        <v>0.19700000000000001</v>
      </c>
      <c r="K258" s="64">
        <v>0.4</v>
      </c>
      <c r="L258" s="66">
        <v>22.39</v>
      </c>
      <c r="M258" s="75" t="s">
        <v>81</v>
      </c>
      <c r="N258" s="64">
        <v>2</v>
      </c>
      <c r="O258" s="64">
        <v>43</v>
      </c>
      <c r="P258" s="64">
        <v>45</v>
      </c>
      <c r="Q258" s="64"/>
      <c r="R258" s="65" t="str">
        <f t="shared" si="7"/>
        <v>Week 2</v>
      </c>
      <c r="S258" s="65" t="str">
        <f>TEXT(Table8[[#This Row],[Date Day]],"mmm,YYYY")</f>
        <v>Jan,2011</v>
      </c>
    </row>
    <row r="259" spans="1:19" ht="15.6" x14ac:dyDescent="0.3">
      <c r="A259" s="62">
        <v>226</v>
      </c>
      <c r="B259" s="63">
        <v>40553</v>
      </c>
      <c r="C259" s="64">
        <v>16</v>
      </c>
      <c r="D259" s="64" t="b">
        <f>IF(COUNTIF(AU$36:AU$52,Table8[[#This Row],[Date Day]]) &gt; 0, TRUE, FALSE)</f>
        <v>0</v>
      </c>
      <c r="E259" s="64">
        <f t="shared" si="6"/>
        <v>1</v>
      </c>
      <c r="F259" s="64">
        <v>1</v>
      </c>
      <c r="G259" s="65" t="str">
        <f>IF(Table8[[#This Row],[Weathersit]]=1, "BAD", IF(Table8[[#This Row],[Weathersit]]=2, "MODERATE", IF(Table8[[#This Row],[Weathersit]]=3, "GOOD")))</f>
        <v>BAD</v>
      </c>
      <c r="H259" s="64">
        <v>20</v>
      </c>
      <c r="I259" s="65" t="str">
        <f>IF(Table8[[#This Row],[Temp]]&lt;11, "COLD", IF(Table8[[#This Row],[Temp]]&lt;=25, "COMFORTABLE", "WARM"))</f>
        <v>COMFORTABLE</v>
      </c>
      <c r="J259" s="64">
        <v>0.21210000000000001</v>
      </c>
      <c r="K259" s="64">
        <v>0.4</v>
      </c>
      <c r="L259" s="66">
        <v>13.43</v>
      </c>
      <c r="M259" s="75" t="s">
        <v>80</v>
      </c>
      <c r="N259" s="64">
        <v>4</v>
      </c>
      <c r="O259" s="64">
        <v>70</v>
      </c>
      <c r="P259" s="64">
        <v>74</v>
      </c>
      <c r="Q259" s="64"/>
      <c r="R259" s="65" t="str">
        <f t="shared" si="7"/>
        <v>Week 2</v>
      </c>
      <c r="S259" s="65" t="str">
        <f>TEXT(Table8[[#This Row],[Date Day]],"mmm,YYYY")</f>
        <v>Jan,2011</v>
      </c>
    </row>
    <row r="260" spans="1:19" ht="15.6" x14ac:dyDescent="0.3">
      <c r="A260" s="62">
        <v>227</v>
      </c>
      <c r="B260" s="63">
        <v>40553</v>
      </c>
      <c r="C260" s="64">
        <v>17</v>
      </c>
      <c r="D260" s="64" t="b">
        <f>IF(COUNTIF(AU$36:AU$52,Table8[[#This Row],[Date Day]]) &gt; 0, TRUE, FALSE)</f>
        <v>0</v>
      </c>
      <c r="E260" s="64">
        <f t="shared" si="6"/>
        <v>1</v>
      </c>
      <c r="F260" s="64">
        <v>1</v>
      </c>
      <c r="G260" s="65" t="str">
        <f>IF(Table8[[#This Row],[Weathersit]]=1, "BAD", IF(Table8[[#This Row],[Weathersit]]=2, "MODERATE", IF(Table8[[#This Row],[Weathersit]]=3, "GOOD")))</f>
        <v>BAD</v>
      </c>
      <c r="H260" s="64">
        <v>20</v>
      </c>
      <c r="I260" s="65" t="str">
        <f>IF(Table8[[#This Row],[Temp]]&lt;11, "COLD", IF(Table8[[#This Row],[Temp]]&lt;=25, "COMFORTABLE", "WARM"))</f>
        <v>COMFORTABLE</v>
      </c>
      <c r="J260" s="64">
        <v>0.2273</v>
      </c>
      <c r="K260" s="64">
        <v>0.4</v>
      </c>
      <c r="L260" s="66">
        <v>10.45</v>
      </c>
      <c r="M260" s="75" t="s">
        <v>80</v>
      </c>
      <c r="N260" s="64">
        <v>4</v>
      </c>
      <c r="O260" s="64">
        <v>174</v>
      </c>
      <c r="P260" s="64">
        <v>178</v>
      </c>
      <c r="Q260" s="64"/>
      <c r="R260" s="65" t="str">
        <f t="shared" si="7"/>
        <v>Week 2</v>
      </c>
      <c r="S260" s="65" t="str">
        <f>TEXT(Table8[[#This Row],[Date Day]],"mmm,YYYY")</f>
        <v>Jan,2011</v>
      </c>
    </row>
    <row r="261" spans="1:19" ht="15.6" x14ac:dyDescent="0.3">
      <c r="A261" s="62">
        <v>228</v>
      </c>
      <c r="B261" s="63">
        <v>40553</v>
      </c>
      <c r="C261" s="64">
        <v>18</v>
      </c>
      <c r="D261" s="64" t="b">
        <f>IF(COUNTIF(AU$36:AU$52,Table8[[#This Row],[Date Day]]) &gt; 0, TRUE, FALSE)</f>
        <v>0</v>
      </c>
      <c r="E261" s="64">
        <f t="shared" si="6"/>
        <v>1</v>
      </c>
      <c r="F261" s="64">
        <v>1</v>
      </c>
      <c r="G261" s="65" t="str">
        <f>IF(Table8[[#This Row],[Weathersit]]=1, "BAD", IF(Table8[[#This Row],[Weathersit]]=2, "MODERATE", IF(Table8[[#This Row],[Weathersit]]=3, "GOOD")))</f>
        <v>BAD</v>
      </c>
      <c r="H261" s="64">
        <v>20</v>
      </c>
      <c r="I261" s="65" t="str">
        <f>IF(Table8[[#This Row],[Temp]]&lt;11, "COLD", IF(Table8[[#This Row],[Temp]]&lt;=25, "COMFORTABLE", "WARM"))</f>
        <v>COMFORTABLE</v>
      </c>
      <c r="J261" s="64">
        <v>0.19700000000000001</v>
      </c>
      <c r="K261" s="64">
        <v>0.4</v>
      </c>
      <c r="L261" s="66">
        <v>22.39</v>
      </c>
      <c r="M261" s="75" t="s">
        <v>81</v>
      </c>
      <c r="N261" s="64">
        <v>1</v>
      </c>
      <c r="O261" s="64">
        <v>154</v>
      </c>
      <c r="P261" s="64">
        <v>155</v>
      </c>
      <c r="Q261" s="64"/>
      <c r="R261" s="65" t="str">
        <f t="shared" si="7"/>
        <v>Week 2</v>
      </c>
      <c r="S261" s="65" t="str">
        <f>TEXT(Table8[[#This Row],[Date Day]],"mmm,YYYY")</f>
        <v>Jan,2011</v>
      </c>
    </row>
    <row r="262" spans="1:19" ht="15.6" x14ac:dyDescent="0.3">
      <c r="A262" s="62">
        <v>229</v>
      </c>
      <c r="B262" s="63">
        <v>40553</v>
      </c>
      <c r="C262" s="64">
        <v>19</v>
      </c>
      <c r="D262" s="64" t="b">
        <f>IF(COUNTIF(AU$36:AU$52,Table8[[#This Row],[Date Day]]) &gt; 0, TRUE, FALSE)</f>
        <v>0</v>
      </c>
      <c r="E262" s="64">
        <f t="shared" si="6"/>
        <v>1</v>
      </c>
      <c r="F262" s="64">
        <v>1</v>
      </c>
      <c r="G262" s="65" t="str">
        <f>IF(Table8[[#This Row],[Weathersit]]=1, "BAD", IF(Table8[[#This Row],[Weathersit]]=2, "MODERATE", IF(Table8[[#This Row],[Weathersit]]=3, "GOOD")))</f>
        <v>BAD</v>
      </c>
      <c r="H262" s="64">
        <v>16</v>
      </c>
      <c r="I262" s="65" t="str">
        <f>IF(Table8[[#This Row],[Temp]]&lt;11, "COLD", IF(Table8[[#This Row],[Temp]]&lt;=25, "COMFORTABLE", "WARM"))</f>
        <v>COMFORTABLE</v>
      </c>
      <c r="J262" s="64">
        <v>0.16669999999999999</v>
      </c>
      <c r="K262" s="64">
        <v>0.47</v>
      </c>
      <c r="L262" s="66">
        <v>16.420000000000002</v>
      </c>
      <c r="M262" s="75" t="s">
        <v>80</v>
      </c>
      <c r="N262" s="64">
        <v>3</v>
      </c>
      <c r="O262" s="64">
        <v>92</v>
      </c>
      <c r="P262" s="64">
        <v>95</v>
      </c>
      <c r="Q262" s="64"/>
      <c r="R262" s="65" t="str">
        <f t="shared" si="7"/>
        <v>Week 2</v>
      </c>
      <c r="S262" s="65" t="str">
        <f>TEXT(Table8[[#This Row],[Date Day]],"mmm,YYYY")</f>
        <v>Jan,2011</v>
      </c>
    </row>
    <row r="263" spans="1:19" ht="15.6" x14ac:dyDescent="0.3">
      <c r="A263" s="62">
        <v>230</v>
      </c>
      <c r="B263" s="63">
        <v>40553</v>
      </c>
      <c r="C263" s="64">
        <v>20</v>
      </c>
      <c r="D263" s="64" t="b">
        <f>IF(COUNTIF(AU$36:AU$52,Table8[[#This Row],[Date Day]]) &gt; 0, TRUE, FALSE)</f>
        <v>0</v>
      </c>
      <c r="E263" s="64">
        <f t="shared" si="6"/>
        <v>1</v>
      </c>
      <c r="F263" s="64">
        <v>1</v>
      </c>
      <c r="G263" s="65" t="str">
        <f>IF(Table8[[#This Row],[Weathersit]]=1, "BAD", IF(Table8[[#This Row],[Weathersit]]=2, "MODERATE", IF(Table8[[#This Row],[Weathersit]]=3, "GOOD")))</f>
        <v>BAD</v>
      </c>
      <c r="H263" s="64">
        <v>16</v>
      </c>
      <c r="I263" s="65" t="str">
        <f>IF(Table8[[#This Row],[Temp]]&lt;11, "COLD", IF(Table8[[#This Row],[Temp]]&lt;=25, "COMFORTABLE", "WARM"))</f>
        <v>COMFORTABLE</v>
      </c>
      <c r="J263" s="64">
        <v>0.16669999999999999</v>
      </c>
      <c r="K263" s="64">
        <v>0.5</v>
      </c>
      <c r="L263" s="66">
        <v>16.420000000000002</v>
      </c>
      <c r="M263" s="75" t="s">
        <v>80</v>
      </c>
      <c r="N263" s="64">
        <v>1</v>
      </c>
      <c r="O263" s="64">
        <v>73</v>
      </c>
      <c r="P263" s="64">
        <v>74</v>
      </c>
      <c r="Q263" s="64"/>
      <c r="R263" s="65" t="str">
        <f t="shared" si="7"/>
        <v>Week 2</v>
      </c>
      <c r="S263" s="65" t="str">
        <f>TEXT(Table8[[#This Row],[Date Day]],"mmm,YYYY")</f>
        <v>Jan,2011</v>
      </c>
    </row>
    <row r="264" spans="1:19" ht="15.6" x14ac:dyDescent="0.3">
      <c r="A264" s="62">
        <v>231</v>
      </c>
      <c r="B264" s="63">
        <v>40553</v>
      </c>
      <c r="C264" s="64">
        <v>21</v>
      </c>
      <c r="D264" s="64" t="b">
        <f>IF(COUNTIF(AU$36:AU$52,Table8[[#This Row],[Date Day]]) &gt; 0, TRUE, FALSE)</f>
        <v>0</v>
      </c>
      <c r="E264" s="64">
        <f t="shared" si="6"/>
        <v>1</v>
      </c>
      <c r="F264" s="64">
        <v>1</v>
      </c>
      <c r="G264" s="65" t="str">
        <f>IF(Table8[[#This Row],[Weathersit]]=1, "BAD", IF(Table8[[#This Row],[Weathersit]]=2, "MODERATE", IF(Table8[[#This Row],[Weathersit]]=3, "GOOD")))</f>
        <v>BAD</v>
      </c>
      <c r="H264" s="64">
        <v>14.000000000000002</v>
      </c>
      <c r="I264" s="65" t="str">
        <f>IF(Table8[[#This Row],[Temp]]&lt;11, "COLD", IF(Table8[[#This Row],[Temp]]&lt;=25, "COMFORTABLE", "WARM"))</f>
        <v>COMFORTABLE</v>
      </c>
      <c r="J264" s="64">
        <v>0.13639999999999999</v>
      </c>
      <c r="K264" s="64">
        <v>0.59</v>
      </c>
      <c r="L264" s="66">
        <v>19.400000000000002</v>
      </c>
      <c r="M264" s="75" t="s">
        <v>80</v>
      </c>
      <c r="N264" s="64">
        <v>1</v>
      </c>
      <c r="O264" s="64">
        <v>37</v>
      </c>
      <c r="P264" s="64">
        <v>38</v>
      </c>
      <c r="Q264" s="64"/>
      <c r="R264" s="65" t="str">
        <f t="shared" si="7"/>
        <v>Week 2</v>
      </c>
      <c r="S264" s="65" t="str">
        <f>TEXT(Table8[[#This Row],[Date Day]],"mmm,YYYY")</f>
        <v>Jan,2011</v>
      </c>
    </row>
    <row r="265" spans="1:19" ht="15.6" x14ac:dyDescent="0.3">
      <c r="A265" s="62">
        <v>232</v>
      </c>
      <c r="B265" s="63">
        <v>40553</v>
      </c>
      <c r="C265" s="64">
        <v>22</v>
      </c>
      <c r="D265" s="64" t="b">
        <f>IF(COUNTIF(AU$36:AU$52,Table8[[#This Row],[Date Day]]) &gt; 0, TRUE, FALSE)</f>
        <v>0</v>
      </c>
      <c r="E265" s="64">
        <f t="shared" si="6"/>
        <v>1</v>
      </c>
      <c r="F265" s="64">
        <v>1</v>
      </c>
      <c r="G265" s="65" t="str">
        <f>IF(Table8[[#This Row],[Weathersit]]=1, "BAD", IF(Table8[[#This Row],[Weathersit]]=2, "MODERATE", IF(Table8[[#This Row],[Weathersit]]=3, "GOOD")))</f>
        <v>BAD</v>
      </c>
      <c r="H265" s="64">
        <v>14.000000000000002</v>
      </c>
      <c r="I265" s="65" t="str">
        <f>IF(Table8[[#This Row],[Temp]]&lt;11, "COLD", IF(Table8[[#This Row],[Temp]]&lt;=25, "COMFORTABLE", "WARM"))</f>
        <v>COMFORTABLE</v>
      </c>
      <c r="J265" s="64">
        <v>0.1515</v>
      </c>
      <c r="K265" s="64">
        <v>0.59</v>
      </c>
      <c r="L265" s="66">
        <v>16.420000000000002</v>
      </c>
      <c r="M265" s="75" t="s">
        <v>80</v>
      </c>
      <c r="N265" s="64">
        <v>2</v>
      </c>
      <c r="O265" s="64">
        <v>22</v>
      </c>
      <c r="P265" s="64">
        <v>24</v>
      </c>
      <c r="Q265" s="64"/>
      <c r="R265" s="65" t="str">
        <f t="shared" si="7"/>
        <v>Week 2</v>
      </c>
      <c r="S265" s="65" t="str">
        <f>TEXT(Table8[[#This Row],[Date Day]],"mmm,YYYY")</f>
        <v>Jan,2011</v>
      </c>
    </row>
    <row r="266" spans="1:19" ht="15.6" x14ac:dyDescent="0.3">
      <c r="A266" s="62">
        <v>233</v>
      </c>
      <c r="B266" s="63">
        <v>40553</v>
      </c>
      <c r="C266" s="64">
        <v>23</v>
      </c>
      <c r="D266" s="64" t="b">
        <f>IF(COUNTIF(AU$36:AU$52,Table8[[#This Row],[Date Day]]) &gt; 0, TRUE, FALSE)</f>
        <v>0</v>
      </c>
      <c r="E266" s="64">
        <f t="shared" si="6"/>
        <v>1</v>
      </c>
      <c r="F266" s="64">
        <v>1</v>
      </c>
      <c r="G266" s="65" t="str">
        <f>IF(Table8[[#This Row],[Weathersit]]=1, "BAD", IF(Table8[[#This Row],[Weathersit]]=2, "MODERATE", IF(Table8[[#This Row],[Weathersit]]=3, "GOOD")))</f>
        <v>BAD</v>
      </c>
      <c r="H266" s="64">
        <v>14.000000000000002</v>
      </c>
      <c r="I266" s="65" t="str">
        <f>IF(Table8[[#This Row],[Temp]]&lt;11, "COLD", IF(Table8[[#This Row],[Temp]]&lt;=25, "COMFORTABLE", "WARM"))</f>
        <v>COMFORTABLE</v>
      </c>
      <c r="J266" s="64">
        <v>0.1515</v>
      </c>
      <c r="K266" s="64">
        <v>0.59</v>
      </c>
      <c r="L266" s="66">
        <v>16.420000000000002</v>
      </c>
      <c r="M266" s="75" t="s">
        <v>80</v>
      </c>
      <c r="N266" s="64">
        <v>0</v>
      </c>
      <c r="O266" s="64">
        <v>18</v>
      </c>
      <c r="P266" s="64">
        <v>18</v>
      </c>
      <c r="Q266" s="64"/>
      <c r="R266" s="65" t="str">
        <f t="shared" si="7"/>
        <v>Week 2</v>
      </c>
      <c r="S266" s="65" t="str">
        <f>TEXT(Table8[[#This Row],[Date Day]],"mmm,YYYY")</f>
        <v>Jan,2011</v>
      </c>
    </row>
    <row r="267" spans="1:19" ht="15.6" x14ac:dyDescent="0.3">
      <c r="A267" s="62">
        <v>234</v>
      </c>
      <c r="B267" s="63">
        <v>40554</v>
      </c>
      <c r="C267" s="64">
        <v>0</v>
      </c>
      <c r="D267" s="64" t="b">
        <f>IF(COUNTIF(AU$36:AU$52,Table8[[#This Row],[Date Day]]) &gt; 0, TRUE, FALSE)</f>
        <v>0</v>
      </c>
      <c r="E267" s="64">
        <f t="shared" si="6"/>
        <v>2</v>
      </c>
      <c r="F267" s="64">
        <v>1</v>
      </c>
      <c r="G267" s="65" t="str">
        <f>IF(Table8[[#This Row],[Weathersit]]=1, "BAD", IF(Table8[[#This Row],[Weathersit]]=2, "MODERATE", IF(Table8[[#This Row],[Weathersit]]=3, "GOOD")))</f>
        <v>BAD</v>
      </c>
      <c r="H267" s="64">
        <v>14.000000000000002</v>
      </c>
      <c r="I267" s="65" t="str">
        <f>IF(Table8[[#This Row],[Temp]]&lt;11, "COLD", IF(Table8[[#This Row],[Temp]]&lt;=25, "COMFORTABLE", "WARM"))</f>
        <v>COMFORTABLE</v>
      </c>
      <c r="J267" s="64">
        <v>0.16669999999999999</v>
      </c>
      <c r="K267" s="64">
        <v>0.59</v>
      </c>
      <c r="L267" s="66">
        <v>10.45</v>
      </c>
      <c r="M267" s="75" t="s">
        <v>80</v>
      </c>
      <c r="N267" s="64">
        <v>2</v>
      </c>
      <c r="O267" s="64">
        <v>10</v>
      </c>
      <c r="P267" s="64">
        <v>12</v>
      </c>
      <c r="Q267" s="64"/>
      <c r="R267" s="65" t="str">
        <f t="shared" si="7"/>
        <v>Week 2</v>
      </c>
      <c r="S267" s="65" t="str">
        <f>TEXT(Table8[[#This Row],[Date Day]],"mmm,YYYY")</f>
        <v>Jan,2011</v>
      </c>
    </row>
    <row r="268" spans="1:19" ht="15.6" x14ac:dyDescent="0.3">
      <c r="A268" s="62">
        <v>235</v>
      </c>
      <c r="B268" s="63">
        <v>40554</v>
      </c>
      <c r="C268" s="64">
        <v>1</v>
      </c>
      <c r="D268" s="64" t="b">
        <f>IF(COUNTIF(AU$36:AU$52,Table8[[#This Row],[Date Day]]) &gt; 0, TRUE, FALSE)</f>
        <v>0</v>
      </c>
      <c r="E268" s="64">
        <f t="shared" si="6"/>
        <v>2</v>
      </c>
      <c r="F268" s="64">
        <v>1</v>
      </c>
      <c r="G268" s="65" t="str">
        <f>IF(Table8[[#This Row],[Weathersit]]=1, "BAD", IF(Table8[[#This Row],[Weathersit]]=2, "MODERATE", IF(Table8[[#This Row],[Weathersit]]=3, "GOOD")))</f>
        <v>BAD</v>
      </c>
      <c r="H268" s="64">
        <v>14.000000000000002</v>
      </c>
      <c r="I268" s="65" t="str">
        <f>IF(Table8[[#This Row],[Temp]]&lt;11, "COLD", IF(Table8[[#This Row],[Temp]]&lt;=25, "COMFORTABLE", "WARM"))</f>
        <v>COMFORTABLE</v>
      </c>
      <c r="J268" s="64">
        <v>0.1515</v>
      </c>
      <c r="K268" s="64">
        <v>0.59</v>
      </c>
      <c r="L268" s="66">
        <v>16.420000000000002</v>
      </c>
      <c r="M268" s="75" t="s">
        <v>80</v>
      </c>
      <c r="N268" s="64">
        <v>0</v>
      </c>
      <c r="O268" s="64">
        <v>3</v>
      </c>
      <c r="P268" s="64">
        <v>3</v>
      </c>
      <c r="Q268" s="64"/>
      <c r="R268" s="65" t="str">
        <f t="shared" si="7"/>
        <v>Week 2</v>
      </c>
      <c r="S268" s="65" t="str">
        <f>TEXT(Table8[[#This Row],[Date Day]],"mmm,YYYY")</f>
        <v>Jan,2011</v>
      </c>
    </row>
    <row r="269" spans="1:19" ht="15.6" x14ac:dyDescent="0.3">
      <c r="A269" s="62">
        <v>236</v>
      </c>
      <c r="B269" s="63">
        <v>40554</v>
      </c>
      <c r="C269" s="64">
        <v>2</v>
      </c>
      <c r="D269" s="64" t="b">
        <f>IF(COUNTIF(AU$36:AU$52,Table8[[#This Row],[Date Day]]) &gt; 0, TRUE, FALSE)</f>
        <v>0</v>
      </c>
      <c r="E269" s="64">
        <f t="shared" si="6"/>
        <v>2</v>
      </c>
      <c r="F269" s="64">
        <v>2</v>
      </c>
      <c r="G269" s="65" t="str">
        <f>IF(Table8[[#This Row],[Weathersit]]=1, "BAD", IF(Table8[[#This Row],[Weathersit]]=2, "MODERATE", IF(Table8[[#This Row],[Weathersit]]=3, "GOOD")))</f>
        <v>MODERATE</v>
      </c>
      <c r="H269" s="64">
        <v>16</v>
      </c>
      <c r="I269" s="65" t="str">
        <f>IF(Table8[[#This Row],[Temp]]&lt;11, "COLD", IF(Table8[[#This Row],[Temp]]&lt;=25, "COMFORTABLE", "WARM"))</f>
        <v>COMFORTABLE</v>
      </c>
      <c r="J269" s="64">
        <v>0.1515</v>
      </c>
      <c r="K269" s="64">
        <v>0.55000000000000004</v>
      </c>
      <c r="L269" s="66">
        <v>19.400000000000002</v>
      </c>
      <c r="M269" s="75" t="s">
        <v>80</v>
      </c>
      <c r="N269" s="64">
        <v>0</v>
      </c>
      <c r="O269" s="64">
        <v>3</v>
      </c>
      <c r="P269" s="64">
        <v>3</v>
      </c>
      <c r="Q269" s="64"/>
      <c r="R269" s="65" t="str">
        <f t="shared" si="7"/>
        <v>Week 2</v>
      </c>
      <c r="S269" s="65" t="str">
        <f>TEXT(Table8[[#This Row],[Date Day]],"mmm,YYYY")</f>
        <v>Jan,2011</v>
      </c>
    </row>
    <row r="270" spans="1:19" ht="15.6" x14ac:dyDescent="0.3">
      <c r="A270" s="62">
        <v>237</v>
      </c>
      <c r="B270" s="63">
        <v>40554</v>
      </c>
      <c r="C270" s="64">
        <v>5</v>
      </c>
      <c r="D270" s="64" t="b">
        <f>IF(COUNTIF(AU$36:AU$52,Table8[[#This Row],[Date Day]]) &gt; 0, TRUE, FALSE)</f>
        <v>0</v>
      </c>
      <c r="E270" s="64">
        <f t="shared" si="6"/>
        <v>2</v>
      </c>
      <c r="F270" s="64">
        <v>2</v>
      </c>
      <c r="G270" s="65" t="str">
        <f>IF(Table8[[#This Row],[Weathersit]]=1, "BAD", IF(Table8[[#This Row],[Weathersit]]=2, "MODERATE", IF(Table8[[#This Row],[Weathersit]]=3, "GOOD")))</f>
        <v>MODERATE</v>
      </c>
      <c r="H270" s="64">
        <v>16</v>
      </c>
      <c r="I270" s="65" t="str">
        <f>IF(Table8[[#This Row],[Temp]]&lt;11, "COLD", IF(Table8[[#This Row],[Temp]]&lt;=25, "COMFORTABLE", "WARM"))</f>
        <v>COMFORTABLE</v>
      </c>
      <c r="J270" s="64">
        <v>0.18179999999999999</v>
      </c>
      <c r="K270" s="64">
        <v>0.55000000000000004</v>
      </c>
      <c r="L270" s="66">
        <v>13.43</v>
      </c>
      <c r="M270" s="75" t="s">
        <v>80</v>
      </c>
      <c r="N270" s="64">
        <v>0</v>
      </c>
      <c r="O270" s="64">
        <v>6</v>
      </c>
      <c r="P270" s="64">
        <v>6</v>
      </c>
      <c r="Q270" s="64"/>
      <c r="R270" s="65" t="str">
        <f t="shared" si="7"/>
        <v>Week 2</v>
      </c>
      <c r="S270" s="65" t="str">
        <f>TEXT(Table8[[#This Row],[Date Day]],"mmm,YYYY")</f>
        <v>Jan,2011</v>
      </c>
    </row>
    <row r="271" spans="1:19" ht="15.6" x14ac:dyDescent="0.3">
      <c r="A271" s="62">
        <v>238</v>
      </c>
      <c r="B271" s="63">
        <v>40554</v>
      </c>
      <c r="C271" s="64">
        <v>6</v>
      </c>
      <c r="D271" s="64" t="b">
        <f>IF(COUNTIF(AU$36:AU$52,Table8[[#This Row],[Date Day]]) &gt; 0, TRUE, FALSE)</f>
        <v>0</v>
      </c>
      <c r="E271" s="64">
        <f t="shared" si="6"/>
        <v>2</v>
      </c>
      <c r="F271" s="64">
        <v>2</v>
      </c>
      <c r="G271" s="65" t="str">
        <f>IF(Table8[[#This Row],[Weathersit]]=1, "BAD", IF(Table8[[#This Row],[Weathersit]]=2, "MODERATE", IF(Table8[[#This Row],[Weathersit]]=3, "GOOD")))</f>
        <v>MODERATE</v>
      </c>
      <c r="H271" s="64">
        <v>16</v>
      </c>
      <c r="I271" s="65" t="str">
        <f>IF(Table8[[#This Row],[Temp]]&lt;11, "COLD", IF(Table8[[#This Row],[Temp]]&lt;=25, "COMFORTABLE", "WARM"))</f>
        <v>COMFORTABLE</v>
      </c>
      <c r="J271" s="64">
        <v>0.18179999999999999</v>
      </c>
      <c r="K271" s="64">
        <v>0.55000000000000004</v>
      </c>
      <c r="L271" s="66">
        <v>13.43</v>
      </c>
      <c r="M271" s="75" t="s">
        <v>80</v>
      </c>
      <c r="N271" s="64">
        <v>0</v>
      </c>
      <c r="O271" s="64">
        <v>27</v>
      </c>
      <c r="P271" s="64">
        <v>27</v>
      </c>
      <c r="Q271" s="64"/>
      <c r="R271" s="65" t="str">
        <f t="shared" si="7"/>
        <v>Week 2</v>
      </c>
      <c r="S271" s="65" t="str">
        <f>TEXT(Table8[[#This Row],[Date Day]],"mmm,YYYY")</f>
        <v>Jan,2011</v>
      </c>
    </row>
    <row r="272" spans="1:19" ht="15.6" x14ac:dyDescent="0.3">
      <c r="A272" s="62">
        <v>239</v>
      </c>
      <c r="B272" s="63">
        <v>40554</v>
      </c>
      <c r="C272" s="64">
        <v>7</v>
      </c>
      <c r="D272" s="64" t="b">
        <f>IF(COUNTIF(AU$36:AU$52,Table8[[#This Row],[Date Day]]) &gt; 0, TRUE, FALSE)</f>
        <v>0</v>
      </c>
      <c r="E272" s="64">
        <f t="shared" si="6"/>
        <v>2</v>
      </c>
      <c r="F272" s="64">
        <v>2</v>
      </c>
      <c r="G272" s="65" t="str">
        <f>IF(Table8[[#This Row],[Weathersit]]=1, "BAD", IF(Table8[[#This Row],[Weathersit]]=2, "MODERATE", IF(Table8[[#This Row],[Weathersit]]=3, "GOOD")))</f>
        <v>MODERATE</v>
      </c>
      <c r="H272" s="64">
        <v>16</v>
      </c>
      <c r="I272" s="65" t="str">
        <f>IF(Table8[[#This Row],[Temp]]&lt;11, "COLD", IF(Table8[[#This Row],[Temp]]&lt;=25, "COMFORTABLE", "WARM"))</f>
        <v>COMFORTABLE</v>
      </c>
      <c r="J272" s="64">
        <v>0.2273</v>
      </c>
      <c r="K272" s="64">
        <v>0.55000000000000004</v>
      </c>
      <c r="L272" s="66">
        <v>20.485098360655737</v>
      </c>
      <c r="M272" s="75" t="s">
        <v>81</v>
      </c>
      <c r="N272" s="64">
        <v>2</v>
      </c>
      <c r="O272" s="64">
        <v>97</v>
      </c>
      <c r="P272" s="64">
        <v>99</v>
      </c>
      <c r="Q272" s="64"/>
      <c r="R272" s="65" t="str">
        <f t="shared" si="7"/>
        <v>Week 2</v>
      </c>
      <c r="S272" s="65" t="str">
        <f>TEXT(Table8[[#This Row],[Date Day]],"mmm,YYYY")</f>
        <v>Jan,2011</v>
      </c>
    </row>
    <row r="273" spans="1:19" ht="15.6" x14ac:dyDescent="0.3">
      <c r="A273" s="62">
        <v>240</v>
      </c>
      <c r="B273" s="63">
        <v>40554</v>
      </c>
      <c r="C273" s="64">
        <v>8</v>
      </c>
      <c r="D273" s="64" t="b">
        <f>IF(COUNTIF(AU$36:AU$52,Table8[[#This Row],[Date Day]]) &gt; 0, TRUE, FALSE)</f>
        <v>0</v>
      </c>
      <c r="E273" s="64">
        <f t="shared" si="6"/>
        <v>2</v>
      </c>
      <c r="F273" s="64">
        <v>2</v>
      </c>
      <c r="G273" s="65" t="str">
        <f>IF(Table8[[#This Row],[Weathersit]]=1, "BAD", IF(Table8[[#This Row],[Weathersit]]=2, "MODERATE", IF(Table8[[#This Row],[Weathersit]]=3, "GOOD")))</f>
        <v>MODERATE</v>
      </c>
      <c r="H273" s="64">
        <v>18</v>
      </c>
      <c r="I273" s="65" t="str">
        <f>IF(Table8[[#This Row],[Temp]]&lt;11, "COLD", IF(Table8[[#This Row],[Temp]]&lt;=25, "COMFORTABLE", "WARM"))</f>
        <v>COMFORTABLE</v>
      </c>
      <c r="J273" s="64">
        <v>0.21210000000000001</v>
      </c>
      <c r="K273" s="64">
        <v>0.51</v>
      </c>
      <c r="L273" s="66">
        <v>8.9599999999999991</v>
      </c>
      <c r="M273" s="75" t="s">
        <v>80</v>
      </c>
      <c r="N273" s="64">
        <v>3</v>
      </c>
      <c r="O273" s="64">
        <v>214</v>
      </c>
      <c r="P273" s="64">
        <v>217</v>
      </c>
      <c r="Q273" s="64"/>
      <c r="R273" s="65" t="str">
        <f t="shared" si="7"/>
        <v>Week 2</v>
      </c>
      <c r="S273" s="65" t="str">
        <f>TEXT(Table8[[#This Row],[Date Day]],"mmm,YYYY")</f>
        <v>Jan,2011</v>
      </c>
    </row>
    <row r="274" spans="1:19" ht="15.6" x14ac:dyDescent="0.3">
      <c r="A274" s="62">
        <v>241</v>
      </c>
      <c r="B274" s="63">
        <v>40554</v>
      </c>
      <c r="C274" s="64">
        <v>9</v>
      </c>
      <c r="D274" s="64" t="b">
        <f>IF(COUNTIF(AU$36:AU$52,Table8[[#This Row],[Date Day]]) &gt; 0, TRUE, FALSE)</f>
        <v>0</v>
      </c>
      <c r="E274" s="64">
        <f t="shared" si="6"/>
        <v>2</v>
      </c>
      <c r="F274" s="64">
        <v>2</v>
      </c>
      <c r="G274" s="65" t="str">
        <f>IF(Table8[[#This Row],[Weathersit]]=1, "BAD", IF(Table8[[#This Row],[Weathersit]]=2, "MODERATE", IF(Table8[[#This Row],[Weathersit]]=3, "GOOD")))</f>
        <v>MODERATE</v>
      </c>
      <c r="H274" s="64">
        <v>18</v>
      </c>
      <c r="I274" s="65" t="str">
        <f>IF(Table8[[#This Row],[Temp]]&lt;11, "COLD", IF(Table8[[#This Row],[Temp]]&lt;=25, "COMFORTABLE", "WARM"))</f>
        <v>COMFORTABLE</v>
      </c>
      <c r="J274" s="64">
        <v>0.19700000000000001</v>
      </c>
      <c r="K274" s="64">
        <v>0.51</v>
      </c>
      <c r="L274" s="66">
        <v>16.420000000000002</v>
      </c>
      <c r="M274" s="75" t="s">
        <v>80</v>
      </c>
      <c r="N274" s="64">
        <v>3</v>
      </c>
      <c r="O274" s="64">
        <v>127</v>
      </c>
      <c r="P274" s="64">
        <v>130</v>
      </c>
      <c r="Q274" s="64"/>
      <c r="R274" s="65" t="str">
        <f t="shared" si="7"/>
        <v>Week 2</v>
      </c>
      <c r="S274" s="65" t="str">
        <f>TEXT(Table8[[#This Row],[Date Day]],"mmm,YYYY")</f>
        <v>Jan,2011</v>
      </c>
    </row>
    <row r="275" spans="1:19" ht="15.6" x14ac:dyDescent="0.3">
      <c r="A275" s="62">
        <v>242</v>
      </c>
      <c r="B275" s="63">
        <v>40554</v>
      </c>
      <c r="C275" s="64">
        <v>10</v>
      </c>
      <c r="D275" s="64" t="b">
        <f>IF(COUNTIF(AU$36:AU$52,Table8[[#This Row],[Date Day]]) &gt; 0, TRUE, FALSE)</f>
        <v>0</v>
      </c>
      <c r="E275" s="64">
        <f t="shared" si="6"/>
        <v>2</v>
      </c>
      <c r="F275" s="64">
        <v>2</v>
      </c>
      <c r="G275" s="65" t="str">
        <f>IF(Table8[[#This Row],[Weathersit]]=1, "BAD", IF(Table8[[#This Row],[Weathersit]]=2, "MODERATE", IF(Table8[[#This Row],[Weathersit]]=3, "GOOD")))</f>
        <v>MODERATE</v>
      </c>
      <c r="H275" s="64">
        <v>20</v>
      </c>
      <c r="I275" s="65" t="str">
        <f>IF(Table8[[#This Row],[Temp]]&lt;11, "COLD", IF(Table8[[#This Row],[Temp]]&lt;=25, "COMFORTABLE", "WARM"))</f>
        <v>COMFORTABLE</v>
      </c>
      <c r="J275" s="64">
        <v>0.21210000000000001</v>
      </c>
      <c r="K275" s="64">
        <v>0.51</v>
      </c>
      <c r="L275" s="66">
        <v>16.420000000000002</v>
      </c>
      <c r="M275" s="75" t="s">
        <v>80</v>
      </c>
      <c r="N275" s="64">
        <v>3</v>
      </c>
      <c r="O275" s="64">
        <v>51</v>
      </c>
      <c r="P275" s="64">
        <v>54</v>
      </c>
      <c r="Q275" s="64"/>
      <c r="R275" s="65" t="str">
        <f t="shared" si="7"/>
        <v>Week 2</v>
      </c>
      <c r="S275" s="65" t="str">
        <f>TEXT(Table8[[#This Row],[Date Day]],"mmm,YYYY")</f>
        <v>Jan,2011</v>
      </c>
    </row>
    <row r="276" spans="1:19" ht="15.6" x14ac:dyDescent="0.3">
      <c r="A276" s="62">
        <v>243</v>
      </c>
      <c r="B276" s="63">
        <v>40554</v>
      </c>
      <c r="C276" s="64">
        <v>11</v>
      </c>
      <c r="D276" s="64" t="b">
        <f>IF(COUNTIF(AU$36:AU$52,Table8[[#This Row],[Date Day]]) &gt; 0, TRUE, FALSE)</f>
        <v>0</v>
      </c>
      <c r="E276" s="64">
        <f t="shared" si="6"/>
        <v>2</v>
      </c>
      <c r="F276" s="64">
        <v>2</v>
      </c>
      <c r="G276" s="65" t="str">
        <f>IF(Table8[[#This Row],[Weathersit]]=1, "BAD", IF(Table8[[#This Row],[Weathersit]]=2, "MODERATE", IF(Table8[[#This Row],[Weathersit]]=3, "GOOD")))</f>
        <v>MODERATE</v>
      </c>
      <c r="H276" s="64">
        <v>20</v>
      </c>
      <c r="I276" s="65" t="str">
        <f>IF(Table8[[#This Row],[Temp]]&lt;11, "COLD", IF(Table8[[#This Row],[Temp]]&lt;=25, "COMFORTABLE", "WARM"))</f>
        <v>COMFORTABLE</v>
      </c>
      <c r="J276" s="64">
        <v>0.21210000000000001</v>
      </c>
      <c r="K276" s="64">
        <v>0.47</v>
      </c>
      <c r="L276" s="66">
        <v>13.43</v>
      </c>
      <c r="M276" s="75" t="s">
        <v>80</v>
      </c>
      <c r="N276" s="64">
        <v>4</v>
      </c>
      <c r="O276" s="64">
        <v>31</v>
      </c>
      <c r="P276" s="64">
        <v>35</v>
      </c>
      <c r="Q276" s="64"/>
      <c r="R276" s="65" t="str">
        <f t="shared" si="7"/>
        <v>Week 2</v>
      </c>
      <c r="S276" s="65" t="str">
        <f>TEXT(Table8[[#This Row],[Date Day]],"mmm,YYYY")</f>
        <v>Jan,2011</v>
      </c>
    </row>
    <row r="277" spans="1:19" ht="15.6" x14ac:dyDescent="0.3">
      <c r="A277" s="62">
        <v>244</v>
      </c>
      <c r="B277" s="63">
        <v>40554</v>
      </c>
      <c r="C277" s="64">
        <v>12</v>
      </c>
      <c r="D277" s="64" t="b">
        <f>IF(COUNTIF(AU$36:AU$52,Table8[[#This Row],[Date Day]]) &gt; 0, TRUE, FALSE)</f>
        <v>0</v>
      </c>
      <c r="E277" s="64">
        <f t="shared" si="6"/>
        <v>2</v>
      </c>
      <c r="F277" s="64">
        <v>2</v>
      </c>
      <c r="G277" s="65" t="str">
        <f>IF(Table8[[#This Row],[Weathersit]]=1, "BAD", IF(Table8[[#This Row],[Weathersit]]=2, "MODERATE", IF(Table8[[#This Row],[Weathersit]]=3, "GOOD")))</f>
        <v>MODERATE</v>
      </c>
      <c r="H277" s="64">
        <v>20</v>
      </c>
      <c r="I277" s="65" t="str">
        <f>IF(Table8[[#This Row],[Temp]]&lt;11, "COLD", IF(Table8[[#This Row],[Temp]]&lt;=25, "COMFORTABLE", "WARM"))</f>
        <v>COMFORTABLE</v>
      </c>
      <c r="J277" s="64">
        <v>0.2273</v>
      </c>
      <c r="K277" s="64">
        <v>0.51</v>
      </c>
      <c r="L277" s="66">
        <v>10.45</v>
      </c>
      <c r="M277" s="75" t="s">
        <v>80</v>
      </c>
      <c r="N277" s="64">
        <v>2</v>
      </c>
      <c r="O277" s="64">
        <v>55</v>
      </c>
      <c r="P277" s="64">
        <v>57</v>
      </c>
      <c r="Q277" s="64"/>
      <c r="R277" s="65" t="str">
        <f t="shared" si="7"/>
        <v>Week 2</v>
      </c>
      <c r="S277" s="65" t="str">
        <f>TEXT(Table8[[#This Row],[Date Day]],"mmm,YYYY")</f>
        <v>Jan,2011</v>
      </c>
    </row>
    <row r="278" spans="1:19" ht="15.6" x14ac:dyDescent="0.3">
      <c r="A278" s="62">
        <v>245</v>
      </c>
      <c r="B278" s="63">
        <v>40554</v>
      </c>
      <c r="C278" s="64">
        <v>13</v>
      </c>
      <c r="D278" s="64" t="b">
        <f>IF(COUNTIF(AU$36:AU$52,Table8[[#This Row],[Date Day]]) &gt; 0, TRUE, FALSE)</f>
        <v>0</v>
      </c>
      <c r="E278" s="64">
        <f t="shared" si="6"/>
        <v>2</v>
      </c>
      <c r="F278" s="64">
        <v>2</v>
      </c>
      <c r="G278" s="65" t="str">
        <f>IF(Table8[[#This Row],[Weathersit]]=1, "BAD", IF(Table8[[#This Row],[Weathersit]]=2, "MODERATE", IF(Table8[[#This Row],[Weathersit]]=3, "GOOD")))</f>
        <v>MODERATE</v>
      </c>
      <c r="H278" s="64">
        <v>20</v>
      </c>
      <c r="I278" s="65" t="str">
        <f>IF(Table8[[#This Row],[Temp]]&lt;11, "COLD", IF(Table8[[#This Row],[Temp]]&lt;=25, "COMFORTABLE", "WARM"))</f>
        <v>COMFORTABLE</v>
      </c>
      <c r="J278" s="64">
        <v>0.2273</v>
      </c>
      <c r="K278" s="64">
        <v>0.59</v>
      </c>
      <c r="L278" s="66">
        <v>8.9599999999999991</v>
      </c>
      <c r="M278" s="75" t="s">
        <v>80</v>
      </c>
      <c r="N278" s="64">
        <v>6</v>
      </c>
      <c r="O278" s="64">
        <v>46</v>
      </c>
      <c r="P278" s="64">
        <v>52</v>
      </c>
      <c r="Q278" s="64"/>
      <c r="R278" s="65" t="str">
        <f t="shared" si="7"/>
        <v>Week 2</v>
      </c>
      <c r="S278" s="65" t="str">
        <f>TEXT(Table8[[#This Row],[Date Day]],"mmm,YYYY")</f>
        <v>Jan,2011</v>
      </c>
    </row>
    <row r="279" spans="1:19" ht="15.6" x14ac:dyDescent="0.3">
      <c r="A279" s="62">
        <v>246</v>
      </c>
      <c r="B279" s="63">
        <v>40554</v>
      </c>
      <c r="C279" s="64">
        <v>14</v>
      </c>
      <c r="D279" s="64" t="b">
        <f>IF(COUNTIF(AU$36:AU$52,Table8[[#This Row],[Date Day]]) &gt; 0, TRUE, FALSE)</f>
        <v>0</v>
      </c>
      <c r="E279" s="64">
        <f t="shared" si="6"/>
        <v>2</v>
      </c>
      <c r="F279" s="64">
        <v>2</v>
      </c>
      <c r="G279" s="65" t="str">
        <f>IF(Table8[[#This Row],[Weathersit]]=1, "BAD", IF(Table8[[#This Row],[Weathersit]]=2, "MODERATE", IF(Table8[[#This Row],[Weathersit]]=3, "GOOD")))</f>
        <v>MODERATE</v>
      </c>
      <c r="H279" s="64">
        <v>20</v>
      </c>
      <c r="I279" s="65" t="str">
        <f>IF(Table8[[#This Row],[Temp]]&lt;11, "COLD", IF(Table8[[#This Row],[Temp]]&lt;=25, "COMFORTABLE", "WARM"))</f>
        <v>COMFORTABLE</v>
      </c>
      <c r="J279" s="64">
        <v>0.2273</v>
      </c>
      <c r="K279" s="64">
        <v>0.59</v>
      </c>
      <c r="L279" s="66">
        <v>8.9599999999999991</v>
      </c>
      <c r="M279" s="75" t="s">
        <v>80</v>
      </c>
      <c r="N279" s="64">
        <v>3</v>
      </c>
      <c r="O279" s="64">
        <v>60</v>
      </c>
      <c r="P279" s="64">
        <v>63</v>
      </c>
      <c r="Q279" s="64"/>
      <c r="R279" s="65" t="str">
        <f t="shared" si="7"/>
        <v>Week 2</v>
      </c>
      <c r="S279" s="65" t="str">
        <f>TEXT(Table8[[#This Row],[Date Day]],"mmm,YYYY")</f>
        <v>Jan,2011</v>
      </c>
    </row>
    <row r="280" spans="1:19" ht="15.6" x14ac:dyDescent="0.3">
      <c r="A280" s="62">
        <v>247</v>
      </c>
      <c r="B280" s="63">
        <v>40554</v>
      </c>
      <c r="C280" s="64">
        <v>15</v>
      </c>
      <c r="D280" s="64" t="b">
        <f>IF(COUNTIF(AU$36:AU$52,Table8[[#This Row],[Date Day]]) &gt; 0, TRUE, FALSE)</f>
        <v>0</v>
      </c>
      <c r="E280" s="64">
        <f t="shared" si="6"/>
        <v>2</v>
      </c>
      <c r="F280" s="64">
        <v>2</v>
      </c>
      <c r="G280" s="65" t="str">
        <f>IF(Table8[[#This Row],[Weathersit]]=1, "BAD", IF(Table8[[#This Row],[Weathersit]]=2, "MODERATE", IF(Table8[[#This Row],[Weathersit]]=3, "GOOD")))</f>
        <v>MODERATE</v>
      </c>
      <c r="H280" s="64">
        <v>16</v>
      </c>
      <c r="I280" s="65" t="str">
        <f>IF(Table8[[#This Row],[Temp]]&lt;11, "COLD", IF(Table8[[#This Row],[Temp]]&lt;=25, "COMFORTABLE", "WARM"))</f>
        <v>COMFORTABLE</v>
      </c>
      <c r="J280" s="64">
        <v>0.19700000000000001</v>
      </c>
      <c r="K280" s="64">
        <v>0.8</v>
      </c>
      <c r="L280" s="66">
        <v>8.9599999999999991</v>
      </c>
      <c r="M280" s="75" t="s">
        <v>80</v>
      </c>
      <c r="N280" s="64">
        <v>2</v>
      </c>
      <c r="O280" s="64">
        <v>45</v>
      </c>
      <c r="P280" s="64">
        <v>47</v>
      </c>
      <c r="Q280" s="64"/>
      <c r="R280" s="65" t="str">
        <f t="shared" si="7"/>
        <v>Week 2</v>
      </c>
      <c r="S280" s="65" t="str">
        <f>TEXT(Table8[[#This Row],[Date Day]],"mmm,YYYY")</f>
        <v>Jan,2011</v>
      </c>
    </row>
    <row r="281" spans="1:19" ht="15.6" x14ac:dyDescent="0.3">
      <c r="A281" s="62">
        <v>248</v>
      </c>
      <c r="B281" s="63">
        <v>40554</v>
      </c>
      <c r="C281" s="64">
        <v>16</v>
      </c>
      <c r="D281" s="64" t="b">
        <f>IF(COUNTIF(AU$36:AU$52,Table8[[#This Row],[Date Day]]) &gt; 0, TRUE, FALSE)</f>
        <v>0</v>
      </c>
      <c r="E281" s="64">
        <f t="shared" si="6"/>
        <v>2</v>
      </c>
      <c r="F281" s="64">
        <v>2</v>
      </c>
      <c r="G281" s="65" t="str">
        <f>IF(Table8[[#This Row],[Weathersit]]=1, "BAD", IF(Table8[[#This Row],[Weathersit]]=2, "MODERATE", IF(Table8[[#This Row],[Weathersit]]=3, "GOOD")))</f>
        <v>MODERATE</v>
      </c>
      <c r="H281" s="64">
        <v>16</v>
      </c>
      <c r="I281" s="65" t="str">
        <f>IF(Table8[[#This Row],[Temp]]&lt;11, "COLD", IF(Table8[[#This Row],[Temp]]&lt;=25, "COMFORTABLE", "WARM"))</f>
        <v>COMFORTABLE</v>
      </c>
      <c r="J281" s="64">
        <v>0.1515</v>
      </c>
      <c r="K281" s="64">
        <v>0.86</v>
      </c>
      <c r="L281" s="66">
        <v>22.39</v>
      </c>
      <c r="M281" s="75" t="s">
        <v>81</v>
      </c>
      <c r="N281" s="64">
        <v>4</v>
      </c>
      <c r="O281" s="64">
        <v>72</v>
      </c>
      <c r="P281" s="64">
        <v>76</v>
      </c>
      <c r="Q281" s="64"/>
      <c r="R281" s="65" t="str">
        <f t="shared" si="7"/>
        <v>Week 2</v>
      </c>
      <c r="S281" s="65" t="str">
        <f>TEXT(Table8[[#This Row],[Date Day]],"mmm,YYYY")</f>
        <v>Jan,2011</v>
      </c>
    </row>
    <row r="282" spans="1:19" ht="15.6" x14ac:dyDescent="0.3">
      <c r="A282" s="62">
        <v>249</v>
      </c>
      <c r="B282" s="63">
        <v>40554</v>
      </c>
      <c r="C282" s="64">
        <v>17</v>
      </c>
      <c r="D282" s="64" t="b">
        <f>IF(COUNTIF(AU$36:AU$52,Table8[[#This Row],[Date Day]]) &gt; 0, TRUE, FALSE)</f>
        <v>0</v>
      </c>
      <c r="E282" s="64">
        <f t="shared" si="6"/>
        <v>2</v>
      </c>
      <c r="F282" s="64">
        <v>2</v>
      </c>
      <c r="G282" s="65" t="str">
        <f>IF(Table8[[#This Row],[Weathersit]]=1, "BAD", IF(Table8[[#This Row],[Weathersit]]=2, "MODERATE", IF(Table8[[#This Row],[Weathersit]]=3, "GOOD")))</f>
        <v>MODERATE</v>
      </c>
      <c r="H282" s="64">
        <v>16</v>
      </c>
      <c r="I282" s="65" t="str">
        <f>IF(Table8[[#This Row],[Temp]]&lt;11, "COLD", IF(Table8[[#This Row],[Temp]]&lt;=25, "COMFORTABLE", "WARM"))</f>
        <v>COMFORTABLE</v>
      </c>
      <c r="J282" s="64">
        <v>0.1515</v>
      </c>
      <c r="K282" s="64">
        <v>0.86</v>
      </c>
      <c r="L282" s="66">
        <v>22.39</v>
      </c>
      <c r="M282" s="75" t="s">
        <v>81</v>
      </c>
      <c r="N282" s="64">
        <v>6</v>
      </c>
      <c r="O282" s="64">
        <v>130</v>
      </c>
      <c r="P282" s="64">
        <v>136</v>
      </c>
      <c r="Q282" s="64"/>
      <c r="R282" s="65" t="str">
        <f t="shared" si="7"/>
        <v>Week 2</v>
      </c>
      <c r="S282" s="65" t="str">
        <f>TEXT(Table8[[#This Row],[Date Day]],"mmm,YYYY")</f>
        <v>Jan,2011</v>
      </c>
    </row>
    <row r="283" spans="1:19" ht="15.6" x14ac:dyDescent="0.3">
      <c r="A283" s="62">
        <v>250</v>
      </c>
      <c r="B283" s="63">
        <v>40554</v>
      </c>
      <c r="C283" s="64">
        <v>18</v>
      </c>
      <c r="D283" s="64" t="b">
        <f>IF(COUNTIF(AU$36:AU$52,Table8[[#This Row],[Date Day]]) &gt; 0, TRUE, FALSE)</f>
        <v>0</v>
      </c>
      <c r="E283" s="64">
        <f t="shared" si="6"/>
        <v>2</v>
      </c>
      <c r="F283" s="64">
        <v>3</v>
      </c>
      <c r="G283" s="65" t="str">
        <f>IF(Table8[[#This Row],[Weathersit]]=1, "BAD", IF(Table8[[#This Row],[Weathersit]]=2, "MODERATE", IF(Table8[[#This Row],[Weathersit]]=3, "GOOD")))</f>
        <v>GOOD</v>
      </c>
      <c r="H283" s="64">
        <v>16</v>
      </c>
      <c r="I283" s="65" t="str">
        <f>IF(Table8[[#This Row],[Temp]]&lt;11, "COLD", IF(Table8[[#This Row],[Temp]]&lt;=25, "COMFORTABLE", "WARM"))</f>
        <v>COMFORTABLE</v>
      </c>
      <c r="J283" s="64">
        <v>0.18179999999999999</v>
      </c>
      <c r="K283" s="64">
        <v>0.93</v>
      </c>
      <c r="L283" s="66">
        <v>10.45</v>
      </c>
      <c r="M283" s="75" t="s">
        <v>80</v>
      </c>
      <c r="N283" s="64">
        <v>1</v>
      </c>
      <c r="O283" s="64">
        <v>94</v>
      </c>
      <c r="P283" s="64">
        <v>95</v>
      </c>
      <c r="Q283" s="64"/>
      <c r="R283" s="65" t="str">
        <f t="shared" si="7"/>
        <v>Week 2</v>
      </c>
      <c r="S283" s="65" t="str">
        <f>TEXT(Table8[[#This Row],[Date Day]],"mmm,YYYY")</f>
        <v>Jan,2011</v>
      </c>
    </row>
    <row r="284" spans="1:19" ht="15.6" x14ac:dyDescent="0.3">
      <c r="A284" s="62">
        <v>251</v>
      </c>
      <c r="B284" s="63">
        <v>40554</v>
      </c>
      <c r="C284" s="64">
        <v>19</v>
      </c>
      <c r="D284" s="64" t="b">
        <f>IF(COUNTIF(AU$36:AU$52,Table8[[#This Row],[Date Day]]) &gt; 0, TRUE, FALSE)</f>
        <v>0</v>
      </c>
      <c r="E284" s="64">
        <f t="shared" si="6"/>
        <v>2</v>
      </c>
      <c r="F284" s="64">
        <v>3</v>
      </c>
      <c r="G284" s="65" t="str">
        <f>IF(Table8[[#This Row],[Weathersit]]=1, "BAD", IF(Table8[[#This Row],[Weathersit]]=2, "MODERATE", IF(Table8[[#This Row],[Weathersit]]=3, "GOOD")))</f>
        <v>GOOD</v>
      </c>
      <c r="H284" s="64">
        <v>16</v>
      </c>
      <c r="I284" s="65" t="str">
        <f>IF(Table8[[#This Row],[Temp]]&lt;11, "COLD", IF(Table8[[#This Row],[Temp]]&lt;=25, "COMFORTABLE", "WARM"))</f>
        <v>COMFORTABLE</v>
      </c>
      <c r="J284" s="64">
        <v>0.2273</v>
      </c>
      <c r="K284" s="64">
        <v>0.93</v>
      </c>
      <c r="L284" s="66">
        <v>20.485098360655737</v>
      </c>
      <c r="M284" s="75" t="s">
        <v>81</v>
      </c>
      <c r="N284" s="64">
        <v>0</v>
      </c>
      <c r="O284" s="64">
        <v>51</v>
      </c>
      <c r="P284" s="64">
        <v>51</v>
      </c>
      <c r="Q284" s="64"/>
      <c r="R284" s="65" t="str">
        <f t="shared" si="7"/>
        <v>Week 2</v>
      </c>
      <c r="S284" s="65" t="str">
        <f>TEXT(Table8[[#This Row],[Date Day]],"mmm,YYYY")</f>
        <v>Jan,2011</v>
      </c>
    </row>
    <row r="285" spans="1:19" ht="15.6" x14ac:dyDescent="0.3">
      <c r="A285" s="62">
        <v>252</v>
      </c>
      <c r="B285" s="63">
        <v>40554</v>
      </c>
      <c r="C285" s="64">
        <v>20</v>
      </c>
      <c r="D285" s="64" t="b">
        <f>IF(COUNTIF(AU$36:AU$52,Table8[[#This Row],[Date Day]]) &gt; 0, TRUE, FALSE)</f>
        <v>0</v>
      </c>
      <c r="E285" s="64">
        <f t="shared" si="6"/>
        <v>2</v>
      </c>
      <c r="F285" s="64">
        <v>3</v>
      </c>
      <c r="G285" s="65" t="str">
        <f>IF(Table8[[#This Row],[Weathersit]]=1, "BAD", IF(Table8[[#This Row],[Weathersit]]=2, "MODERATE", IF(Table8[[#This Row],[Weathersit]]=3, "GOOD")))</f>
        <v>GOOD</v>
      </c>
      <c r="H285" s="64">
        <v>16</v>
      </c>
      <c r="I285" s="65" t="str">
        <f>IF(Table8[[#This Row],[Temp]]&lt;11, "COLD", IF(Table8[[#This Row],[Temp]]&lt;=25, "COMFORTABLE", "WARM"))</f>
        <v>COMFORTABLE</v>
      </c>
      <c r="J285" s="64">
        <v>0.1515</v>
      </c>
      <c r="K285" s="64">
        <v>0.93</v>
      </c>
      <c r="L285" s="66">
        <v>19.400000000000002</v>
      </c>
      <c r="M285" s="75" t="s">
        <v>80</v>
      </c>
      <c r="N285" s="64">
        <v>0</v>
      </c>
      <c r="O285" s="64">
        <v>32</v>
      </c>
      <c r="P285" s="64">
        <v>32</v>
      </c>
      <c r="Q285" s="64"/>
      <c r="R285" s="65" t="str">
        <f t="shared" si="7"/>
        <v>Week 2</v>
      </c>
      <c r="S285" s="65" t="str">
        <f>TEXT(Table8[[#This Row],[Date Day]],"mmm,YYYY")</f>
        <v>Jan,2011</v>
      </c>
    </row>
    <row r="286" spans="1:19" ht="15.6" x14ac:dyDescent="0.3">
      <c r="A286" s="62">
        <v>253</v>
      </c>
      <c r="B286" s="63">
        <v>40554</v>
      </c>
      <c r="C286" s="64">
        <v>21</v>
      </c>
      <c r="D286" s="64" t="b">
        <f>IF(COUNTIF(AU$36:AU$52,Table8[[#This Row],[Date Day]]) &gt; 0, TRUE, FALSE)</f>
        <v>0</v>
      </c>
      <c r="E286" s="64">
        <f t="shared" si="6"/>
        <v>2</v>
      </c>
      <c r="F286" s="64">
        <v>3</v>
      </c>
      <c r="G286" s="65" t="str">
        <f>IF(Table8[[#This Row],[Weathersit]]=1, "BAD", IF(Table8[[#This Row],[Weathersit]]=2, "MODERATE", IF(Table8[[#This Row],[Weathersit]]=3, "GOOD")))</f>
        <v>GOOD</v>
      </c>
      <c r="H286" s="64">
        <v>16</v>
      </c>
      <c r="I286" s="65" t="str">
        <f>IF(Table8[[#This Row],[Temp]]&lt;11, "COLD", IF(Table8[[#This Row],[Temp]]&lt;=25, "COMFORTABLE", "WARM"))</f>
        <v>COMFORTABLE</v>
      </c>
      <c r="J286" s="64">
        <v>0.19700000000000001</v>
      </c>
      <c r="K286" s="64">
        <v>0.86</v>
      </c>
      <c r="L286" s="66">
        <v>8.9599999999999991</v>
      </c>
      <c r="M286" s="75" t="s">
        <v>80</v>
      </c>
      <c r="N286" s="64">
        <v>0</v>
      </c>
      <c r="O286" s="64">
        <v>20</v>
      </c>
      <c r="P286" s="64">
        <v>20</v>
      </c>
      <c r="Q286" s="64"/>
      <c r="R286" s="65" t="str">
        <f t="shared" si="7"/>
        <v>Week 2</v>
      </c>
      <c r="S286" s="65" t="str">
        <f>TEXT(Table8[[#This Row],[Date Day]],"mmm,YYYY")</f>
        <v>Jan,2011</v>
      </c>
    </row>
    <row r="287" spans="1:19" ht="15.6" x14ac:dyDescent="0.3">
      <c r="A287" s="62">
        <v>254</v>
      </c>
      <c r="B287" s="63">
        <v>40554</v>
      </c>
      <c r="C287" s="64">
        <v>22</v>
      </c>
      <c r="D287" s="64" t="b">
        <f>IF(COUNTIF(AU$36:AU$52,Table8[[#This Row],[Date Day]]) &gt; 0, TRUE, FALSE)</f>
        <v>0</v>
      </c>
      <c r="E287" s="64">
        <f t="shared" si="6"/>
        <v>2</v>
      </c>
      <c r="F287" s="64">
        <v>3</v>
      </c>
      <c r="G287" s="65" t="str">
        <f>IF(Table8[[#This Row],[Weathersit]]=1, "BAD", IF(Table8[[#This Row],[Weathersit]]=2, "MODERATE", IF(Table8[[#This Row],[Weathersit]]=3, "GOOD")))</f>
        <v>GOOD</v>
      </c>
      <c r="H287" s="64">
        <v>16</v>
      </c>
      <c r="I287" s="65" t="str">
        <f>IF(Table8[[#This Row],[Temp]]&lt;11, "COLD", IF(Table8[[#This Row],[Temp]]&lt;=25, "COMFORTABLE", "WARM"))</f>
        <v>COMFORTABLE</v>
      </c>
      <c r="J287" s="64">
        <v>0.18179999999999999</v>
      </c>
      <c r="K287" s="64">
        <v>0.93</v>
      </c>
      <c r="L287" s="66">
        <v>10.45</v>
      </c>
      <c r="M287" s="75" t="s">
        <v>80</v>
      </c>
      <c r="N287" s="64">
        <v>1</v>
      </c>
      <c r="O287" s="64">
        <v>28</v>
      </c>
      <c r="P287" s="64">
        <v>29</v>
      </c>
      <c r="Q287" s="64"/>
      <c r="R287" s="65" t="str">
        <f t="shared" si="7"/>
        <v>Week 2</v>
      </c>
      <c r="S287" s="65" t="str">
        <f>TEXT(Table8[[#This Row],[Date Day]],"mmm,YYYY")</f>
        <v>Jan,2011</v>
      </c>
    </row>
    <row r="288" spans="1:19" ht="15.6" x14ac:dyDescent="0.3">
      <c r="A288" s="62">
        <v>255</v>
      </c>
      <c r="B288" s="63">
        <v>40554</v>
      </c>
      <c r="C288" s="64">
        <v>23</v>
      </c>
      <c r="D288" s="64" t="b">
        <f>IF(COUNTIF(AU$36:AU$52,Table8[[#This Row],[Date Day]]) &gt; 0, TRUE, FALSE)</f>
        <v>0</v>
      </c>
      <c r="E288" s="64">
        <f t="shared" si="6"/>
        <v>2</v>
      </c>
      <c r="F288" s="64">
        <v>3</v>
      </c>
      <c r="G288" s="65" t="str">
        <f>IF(Table8[[#This Row],[Weathersit]]=1, "BAD", IF(Table8[[#This Row],[Weathersit]]=2, "MODERATE", IF(Table8[[#This Row],[Weathersit]]=3, "GOOD")))</f>
        <v>GOOD</v>
      </c>
      <c r="H288" s="64">
        <v>16</v>
      </c>
      <c r="I288" s="65" t="str">
        <f>IF(Table8[[#This Row],[Temp]]&lt;11, "COLD", IF(Table8[[#This Row],[Temp]]&lt;=25, "COMFORTABLE", "WARM"))</f>
        <v>COMFORTABLE</v>
      </c>
      <c r="J288" s="64">
        <v>0.19700000000000001</v>
      </c>
      <c r="K288" s="64">
        <v>0.93</v>
      </c>
      <c r="L288" s="66">
        <v>8.9599999999999991</v>
      </c>
      <c r="M288" s="75" t="s">
        <v>80</v>
      </c>
      <c r="N288" s="64">
        <v>1</v>
      </c>
      <c r="O288" s="64">
        <v>18</v>
      </c>
      <c r="P288" s="64">
        <v>19</v>
      </c>
      <c r="Q288" s="64"/>
      <c r="R288" s="65" t="str">
        <f t="shared" si="7"/>
        <v>Week 2</v>
      </c>
      <c r="S288" s="65" t="str">
        <f>TEXT(Table8[[#This Row],[Date Day]],"mmm,YYYY")</f>
        <v>Jan,2011</v>
      </c>
    </row>
    <row r="289" spans="1:19" ht="15.6" x14ac:dyDescent="0.3">
      <c r="A289" s="62">
        <v>256</v>
      </c>
      <c r="B289" s="63">
        <v>40555</v>
      </c>
      <c r="C289" s="64">
        <v>0</v>
      </c>
      <c r="D289" s="64" t="b">
        <f>IF(COUNTIF(AU$36:AU$52,Table8[[#This Row],[Date Day]]) &gt; 0, TRUE, FALSE)</f>
        <v>0</v>
      </c>
      <c r="E289" s="64">
        <f t="shared" si="6"/>
        <v>3</v>
      </c>
      <c r="F289" s="64">
        <v>2</v>
      </c>
      <c r="G289" s="65" t="str">
        <f>IF(Table8[[#This Row],[Weathersit]]=1, "BAD", IF(Table8[[#This Row],[Weathersit]]=2, "MODERATE", IF(Table8[[#This Row],[Weathersit]]=3, "GOOD")))</f>
        <v>MODERATE</v>
      </c>
      <c r="H289" s="64">
        <v>16</v>
      </c>
      <c r="I289" s="65" t="str">
        <f>IF(Table8[[#This Row],[Temp]]&lt;11, "COLD", IF(Table8[[#This Row],[Temp]]&lt;=25, "COMFORTABLE", "WARM"))</f>
        <v>COMFORTABLE</v>
      </c>
      <c r="J289" s="64">
        <v>0.19700000000000001</v>
      </c>
      <c r="K289" s="64">
        <v>0.86</v>
      </c>
      <c r="L289" s="66">
        <v>8.9599999999999991</v>
      </c>
      <c r="M289" s="75" t="s">
        <v>80</v>
      </c>
      <c r="N289" s="64">
        <v>0</v>
      </c>
      <c r="O289" s="64">
        <v>7</v>
      </c>
      <c r="P289" s="64">
        <v>7</v>
      </c>
      <c r="Q289" s="64"/>
      <c r="R289" s="65" t="str">
        <f t="shared" si="7"/>
        <v>Week 2</v>
      </c>
      <c r="S289" s="65" t="str">
        <f>TEXT(Table8[[#This Row],[Date Day]],"mmm,YYYY")</f>
        <v>Jan,2011</v>
      </c>
    </row>
    <row r="290" spans="1:19" ht="15.6" x14ac:dyDescent="0.3">
      <c r="A290" s="62">
        <v>257</v>
      </c>
      <c r="B290" s="63">
        <v>40555</v>
      </c>
      <c r="C290" s="64">
        <v>1</v>
      </c>
      <c r="D290" s="64" t="b">
        <f>IF(COUNTIF(AU$36:AU$52,Table8[[#This Row],[Date Day]]) &gt; 0, TRUE, FALSE)</f>
        <v>0</v>
      </c>
      <c r="E290" s="64">
        <f t="shared" ref="E290:E353" si="8">WEEKDAY(B:B,2)</f>
        <v>3</v>
      </c>
      <c r="F290" s="64">
        <v>2</v>
      </c>
      <c r="G290" s="65" t="str">
        <f>IF(Table8[[#This Row],[Weathersit]]=1, "BAD", IF(Table8[[#This Row],[Weathersit]]=2, "MODERATE", IF(Table8[[#This Row],[Weathersit]]=3, "GOOD")))</f>
        <v>MODERATE</v>
      </c>
      <c r="H290" s="64">
        <v>16</v>
      </c>
      <c r="I290" s="65" t="str">
        <f>IF(Table8[[#This Row],[Temp]]&lt;11, "COLD", IF(Table8[[#This Row],[Temp]]&lt;=25, "COMFORTABLE", "WARM"))</f>
        <v>COMFORTABLE</v>
      </c>
      <c r="J290" s="64">
        <v>0.18179999999999999</v>
      </c>
      <c r="K290" s="64">
        <v>0.86</v>
      </c>
      <c r="L290" s="66">
        <v>10.45</v>
      </c>
      <c r="M290" s="75" t="s">
        <v>80</v>
      </c>
      <c r="N290" s="64">
        <v>0</v>
      </c>
      <c r="O290" s="64">
        <v>6</v>
      </c>
      <c r="P290" s="64">
        <v>6</v>
      </c>
      <c r="Q290" s="64"/>
      <c r="R290" s="65" t="str">
        <f t="shared" ref="R290:R353" si="9">"Week " &amp; INT((DAY(B290)-1)/7)+1</f>
        <v>Week 2</v>
      </c>
      <c r="S290" s="65" t="str">
        <f>TEXT(Table8[[#This Row],[Date Day]],"mmm,YYYY")</f>
        <v>Jan,2011</v>
      </c>
    </row>
    <row r="291" spans="1:19" ht="15.6" x14ac:dyDescent="0.3">
      <c r="A291" s="62">
        <v>258</v>
      </c>
      <c r="B291" s="63">
        <v>40555</v>
      </c>
      <c r="C291" s="64">
        <v>2</v>
      </c>
      <c r="D291" s="64" t="b">
        <f>IF(COUNTIF(AU$36:AU$52,Table8[[#This Row],[Date Day]]) &gt; 0, TRUE, FALSE)</f>
        <v>0</v>
      </c>
      <c r="E291" s="64">
        <f t="shared" si="8"/>
        <v>3</v>
      </c>
      <c r="F291" s="64">
        <v>1</v>
      </c>
      <c r="G291" s="65" t="str">
        <f>IF(Table8[[#This Row],[Weathersit]]=1, "BAD", IF(Table8[[#This Row],[Weathersit]]=2, "MODERATE", IF(Table8[[#This Row],[Weathersit]]=3, "GOOD")))</f>
        <v>BAD</v>
      </c>
      <c r="H291" s="64">
        <v>14.000000000000002</v>
      </c>
      <c r="I291" s="65" t="str">
        <f>IF(Table8[[#This Row],[Temp]]&lt;11, "COLD", IF(Table8[[#This Row],[Temp]]&lt;=25, "COMFORTABLE", "WARM"))</f>
        <v>COMFORTABLE</v>
      </c>
      <c r="J291" s="64">
        <v>0.1515</v>
      </c>
      <c r="K291" s="64">
        <v>0.86</v>
      </c>
      <c r="L291" s="66">
        <v>13.43</v>
      </c>
      <c r="M291" s="75" t="s">
        <v>80</v>
      </c>
      <c r="N291" s="64">
        <v>0</v>
      </c>
      <c r="O291" s="64">
        <v>1</v>
      </c>
      <c r="P291" s="64">
        <v>1</v>
      </c>
      <c r="Q291" s="64"/>
      <c r="R291" s="65" t="str">
        <f t="shared" si="9"/>
        <v>Week 2</v>
      </c>
      <c r="S291" s="65" t="str">
        <f>TEXT(Table8[[#This Row],[Date Day]],"mmm,YYYY")</f>
        <v>Jan,2011</v>
      </c>
    </row>
    <row r="292" spans="1:19" ht="15.6" x14ac:dyDescent="0.3">
      <c r="A292" s="62">
        <v>259</v>
      </c>
      <c r="B292" s="63">
        <v>40555</v>
      </c>
      <c r="C292" s="64">
        <v>5</v>
      </c>
      <c r="D292" s="64" t="b">
        <f>IF(COUNTIF(AU$36:AU$52,Table8[[#This Row],[Date Day]]) &gt; 0, TRUE, FALSE)</f>
        <v>0</v>
      </c>
      <c r="E292" s="64">
        <f t="shared" si="8"/>
        <v>3</v>
      </c>
      <c r="F292" s="64">
        <v>1</v>
      </c>
      <c r="G292" s="65" t="str">
        <f>IF(Table8[[#This Row],[Weathersit]]=1, "BAD", IF(Table8[[#This Row],[Weathersit]]=2, "MODERATE", IF(Table8[[#This Row],[Weathersit]]=3, "GOOD")))</f>
        <v>BAD</v>
      </c>
      <c r="H292" s="64">
        <v>14.000000000000002</v>
      </c>
      <c r="I292" s="65" t="str">
        <f>IF(Table8[[#This Row],[Temp]]&lt;11, "COLD", IF(Table8[[#This Row],[Temp]]&lt;=25, "COMFORTABLE", "WARM"))</f>
        <v>COMFORTABLE</v>
      </c>
      <c r="J292" s="64">
        <v>0.1515</v>
      </c>
      <c r="K292" s="64">
        <v>0.86</v>
      </c>
      <c r="L292" s="66">
        <v>16.420000000000002</v>
      </c>
      <c r="M292" s="75" t="s">
        <v>80</v>
      </c>
      <c r="N292" s="64">
        <v>0</v>
      </c>
      <c r="O292" s="64">
        <v>5</v>
      </c>
      <c r="P292" s="64">
        <v>5</v>
      </c>
      <c r="Q292" s="64"/>
      <c r="R292" s="65" t="str">
        <f t="shared" si="9"/>
        <v>Week 2</v>
      </c>
      <c r="S292" s="65" t="str">
        <f>TEXT(Table8[[#This Row],[Date Day]],"mmm,YYYY")</f>
        <v>Jan,2011</v>
      </c>
    </row>
    <row r="293" spans="1:19" ht="15.6" x14ac:dyDescent="0.3">
      <c r="A293" s="62">
        <v>260</v>
      </c>
      <c r="B293" s="63">
        <v>40555</v>
      </c>
      <c r="C293" s="64">
        <v>6</v>
      </c>
      <c r="D293" s="64" t="b">
        <f>IF(COUNTIF(AU$36:AU$52,Table8[[#This Row],[Date Day]]) &gt; 0, TRUE, FALSE)</f>
        <v>0</v>
      </c>
      <c r="E293" s="64">
        <f t="shared" si="8"/>
        <v>3</v>
      </c>
      <c r="F293" s="64">
        <v>1</v>
      </c>
      <c r="G293" s="65" t="str">
        <f>IF(Table8[[#This Row],[Weathersit]]=1, "BAD", IF(Table8[[#This Row],[Weathersit]]=2, "MODERATE", IF(Table8[[#This Row],[Weathersit]]=3, "GOOD")))</f>
        <v>BAD</v>
      </c>
      <c r="H293" s="64">
        <v>12</v>
      </c>
      <c r="I293" s="65" t="str">
        <f>IF(Table8[[#This Row],[Temp]]&lt;11, "COLD", IF(Table8[[#This Row],[Temp]]&lt;=25, "COMFORTABLE", "WARM"))</f>
        <v>COMFORTABLE</v>
      </c>
      <c r="J293" s="64">
        <v>0.1515</v>
      </c>
      <c r="K293" s="64">
        <v>0.93</v>
      </c>
      <c r="L293" s="66">
        <v>13.43</v>
      </c>
      <c r="M293" s="75" t="s">
        <v>80</v>
      </c>
      <c r="N293" s="64">
        <v>0</v>
      </c>
      <c r="O293" s="64">
        <v>16</v>
      </c>
      <c r="P293" s="64">
        <v>16</v>
      </c>
      <c r="Q293" s="64"/>
      <c r="R293" s="65" t="str">
        <f t="shared" si="9"/>
        <v>Week 2</v>
      </c>
      <c r="S293" s="65" t="str">
        <f>TEXT(Table8[[#This Row],[Date Day]],"mmm,YYYY")</f>
        <v>Jan,2011</v>
      </c>
    </row>
    <row r="294" spans="1:19" ht="15.6" x14ac:dyDescent="0.3">
      <c r="A294" s="62">
        <v>261</v>
      </c>
      <c r="B294" s="63">
        <v>40555</v>
      </c>
      <c r="C294" s="64">
        <v>7</v>
      </c>
      <c r="D294" s="64" t="b">
        <f>IF(COUNTIF(AU$36:AU$52,Table8[[#This Row],[Date Day]]) &gt; 0, TRUE, FALSE)</f>
        <v>0</v>
      </c>
      <c r="E294" s="64">
        <f t="shared" si="8"/>
        <v>3</v>
      </c>
      <c r="F294" s="64">
        <v>1</v>
      </c>
      <c r="G294" s="65" t="str">
        <f>IF(Table8[[#This Row],[Weathersit]]=1, "BAD", IF(Table8[[#This Row],[Weathersit]]=2, "MODERATE", IF(Table8[[#This Row],[Weathersit]]=3, "GOOD")))</f>
        <v>BAD</v>
      </c>
      <c r="H294" s="64">
        <v>14.000000000000002</v>
      </c>
      <c r="I294" s="65" t="str">
        <f>IF(Table8[[#This Row],[Temp]]&lt;11, "COLD", IF(Table8[[#This Row],[Temp]]&lt;=25, "COMFORTABLE", "WARM"))</f>
        <v>COMFORTABLE</v>
      </c>
      <c r="J294" s="64">
        <v>0.1515</v>
      </c>
      <c r="K294" s="64">
        <v>0.69</v>
      </c>
      <c r="L294" s="66">
        <v>13.43</v>
      </c>
      <c r="M294" s="75" t="s">
        <v>80</v>
      </c>
      <c r="N294" s="64">
        <v>0</v>
      </c>
      <c r="O294" s="64">
        <v>54</v>
      </c>
      <c r="P294" s="64">
        <v>54</v>
      </c>
      <c r="Q294" s="64"/>
      <c r="R294" s="65" t="str">
        <f t="shared" si="9"/>
        <v>Week 2</v>
      </c>
      <c r="S294" s="65" t="str">
        <f>TEXT(Table8[[#This Row],[Date Day]],"mmm,YYYY")</f>
        <v>Jan,2011</v>
      </c>
    </row>
    <row r="295" spans="1:19" ht="15.6" x14ac:dyDescent="0.3">
      <c r="A295" s="62">
        <v>262</v>
      </c>
      <c r="B295" s="63">
        <v>40555</v>
      </c>
      <c r="C295" s="64">
        <v>8</v>
      </c>
      <c r="D295" s="64" t="b">
        <f>IF(COUNTIF(AU$36:AU$52,Table8[[#This Row],[Date Day]]) &gt; 0, TRUE, FALSE)</f>
        <v>0</v>
      </c>
      <c r="E295" s="64">
        <f t="shared" si="8"/>
        <v>3</v>
      </c>
      <c r="F295" s="64">
        <v>1</v>
      </c>
      <c r="G295" s="65" t="str">
        <f>IF(Table8[[#This Row],[Weathersit]]=1, "BAD", IF(Table8[[#This Row],[Weathersit]]=2, "MODERATE", IF(Table8[[#This Row],[Weathersit]]=3, "GOOD")))</f>
        <v>BAD</v>
      </c>
      <c r="H295" s="64">
        <v>16</v>
      </c>
      <c r="I295" s="65" t="str">
        <f>IF(Table8[[#This Row],[Temp]]&lt;11, "COLD", IF(Table8[[#This Row],[Temp]]&lt;=25, "COMFORTABLE", "WARM"))</f>
        <v>COMFORTABLE</v>
      </c>
      <c r="J295" s="64">
        <v>0.16669999999999999</v>
      </c>
      <c r="K295" s="64">
        <v>0.59</v>
      </c>
      <c r="L295" s="66">
        <v>16.420000000000002</v>
      </c>
      <c r="M295" s="75" t="s">
        <v>80</v>
      </c>
      <c r="N295" s="64">
        <v>3</v>
      </c>
      <c r="O295" s="64">
        <v>125</v>
      </c>
      <c r="P295" s="64">
        <v>128</v>
      </c>
      <c r="Q295" s="64"/>
      <c r="R295" s="65" t="str">
        <f t="shared" si="9"/>
        <v>Week 2</v>
      </c>
      <c r="S295" s="65" t="str">
        <f>TEXT(Table8[[#This Row],[Date Day]],"mmm,YYYY")</f>
        <v>Jan,2011</v>
      </c>
    </row>
    <row r="296" spans="1:19" ht="15.6" x14ac:dyDescent="0.3">
      <c r="A296" s="62">
        <v>263</v>
      </c>
      <c r="B296" s="63">
        <v>40555</v>
      </c>
      <c r="C296" s="64">
        <v>9</v>
      </c>
      <c r="D296" s="64" t="b">
        <f>IF(COUNTIF(AU$36:AU$52,Table8[[#This Row],[Date Day]]) &gt; 0, TRUE, FALSE)</f>
        <v>0</v>
      </c>
      <c r="E296" s="64">
        <f t="shared" si="8"/>
        <v>3</v>
      </c>
      <c r="F296" s="64">
        <v>1</v>
      </c>
      <c r="G296" s="65" t="str">
        <f>IF(Table8[[#This Row],[Weathersit]]=1, "BAD", IF(Table8[[#This Row],[Weathersit]]=2, "MODERATE", IF(Table8[[#This Row],[Weathersit]]=3, "GOOD")))</f>
        <v>BAD</v>
      </c>
      <c r="H296" s="64">
        <v>16</v>
      </c>
      <c r="I296" s="65" t="str">
        <f>IF(Table8[[#This Row],[Temp]]&lt;11, "COLD", IF(Table8[[#This Row],[Temp]]&lt;=25, "COMFORTABLE", "WARM"))</f>
        <v>COMFORTABLE</v>
      </c>
      <c r="J296" s="64">
        <v>0.13639999999999999</v>
      </c>
      <c r="K296" s="64">
        <v>0.59</v>
      </c>
      <c r="L296" s="66">
        <v>32.840000000000003</v>
      </c>
      <c r="M296" s="75" t="s">
        <v>84</v>
      </c>
      <c r="N296" s="64">
        <v>3</v>
      </c>
      <c r="O296" s="64">
        <v>78</v>
      </c>
      <c r="P296" s="64">
        <v>81</v>
      </c>
      <c r="Q296" s="64"/>
      <c r="R296" s="65" t="str">
        <f t="shared" si="9"/>
        <v>Week 2</v>
      </c>
      <c r="S296" s="65" t="str">
        <f>TEXT(Table8[[#This Row],[Date Day]],"mmm,YYYY")</f>
        <v>Jan,2011</v>
      </c>
    </row>
    <row r="297" spans="1:19" ht="15.6" x14ac:dyDescent="0.3">
      <c r="A297" s="62">
        <v>264</v>
      </c>
      <c r="B297" s="63">
        <v>40555</v>
      </c>
      <c r="C297" s="64">
        <v>10</v>
      </c>
      <c r="D297" s="64" t="b">
        <f>IF(COUNTIF(AU$36:AU$52,Table8[[#This Row],[Date Day]]) &gt; 0, TRUE, FALSE)</f>
        <v>0</v>
      </c>
      <c r="E297" s="64">
        <f t="shared" si="8"/>
        <v>3</v>
      </c>
      <c r="F297" s="64">
        <v>1</v>
      </c>
      <c r="G297" s="65" t="str">
        <f>IF(Table8[[#This Row],[Weathersit]]=1, "BAD", IF(Table8[[#This Row],[Weathersit]]=2, "MODERATE", IF(Table8[[#This Row],[Weathersit]]=3, "GOOD")))</f>
        <v>BAD</v>
      </c>
      <c r="H297" s="64">
        <v>18</v>
      </c>
      <c r="I297" s="65" t="str">
        <f>IF(Table8[[#This Row],[Temp]]&lt;11, "COLD", IF(Table8[[#This Row],[Temp]]&lt;=25, "COMFORTABLE", "WARM"))</f>
        <v>COMFORTABLE</v>
      </c>
      <c r="J297" s="64">
        <v>0.18179999999999999</v>
      </c>
      <c r="K297" s="64">
        <v>0.55000000000000004</v>
      </c>
      <c r="L297" s="66">
        <v>22.39</v>
      </c>
      <c r="M297" s="75" t="s">
        <v>81</v>
      </c>
      <c r="N297" s="64">
        <v>0</v>
      </c>
      <c r="O297" s="64">
        <v>39</v>
      </c>
      <c r="P297" s="64">
        <v>39</v>
      </c>
      <c r="Q297" s="64"/>
      <c r="R297" s="65" t="str">
        <f t="shared" si="9"/>
        <v>Week 2</v>
      </c>
      <c r="S297" s="65" t="str">
        <f>TEXT(Table8[[#This Row],[Date Day]],"mmm,YYYY")</f>
        <v>Jan,2011</v>
      </c>
    </row>
    <row r="298" spans="1:19" ht="15.6" x14ac:dyDescent="0.3">
      <c r="A298" s="62">
        <v>265</v>
      </c>
      <c r="B298" s="63">
        <v>40555</v>
      </c>
      <c r="C298" s="64">
        <v>11</v>
      </c>
      <c r="D298" s="64" t="b">
        <f>IF(COUNTIF(AU$36:AU$52,Table8[[#This Row],[Date Day]]) &gt; 0, TRUE, FALSE)</f>
        <v>0</v>
      </c>
      <c r="E298" s="64">
        <f t="shared" si="8"/>
        <v>3</v>
      </c>
      <c r="F298" s="64">
        <v>1</v>
      </c>
      <c r="G298" s="65" t="str">
        <f>IF(Table8[[#This Row],[Weathersit]]=1, "BAD", IF(Table8[[#This Row],[Weathersit]]=2, "MODERATE", IF(Table8[[#This Row],[Weathersit]]=3, "GOOD")))</f>
        <v>BAD</v>
      </c>
      <c r="H298" s="64">
        <v>20</v>
      </c>
      <c r="I298" s="65" t="str">
        <f>IF(Table8[[#This Row],[Temp]]&lt;11, "COLD", IF(Table8[[#This Row],[Temp]]&lt;=25, "COMFORTABLE", "WARM"))</f>
        <v>COMFORTABLE</v>
      </c>
      <c r="J298" s="64">
        <v>0.18179999999999999</v>
      </c>
      <c r="K298" s="64">
        <v>0.51</v>
      </c>
      <c r="L298" s="66">
        <v>38.81</v>
      </c>
      <c r="M298" s="75" t="s">
        <v>84</v>
      </c>
      <c r="N298" s="64">
        <v>3</v>
      </c>
      <c r="O298" s="64">
        <v>32</v>
      </c>
      <c r="P298" s="64">
        <v>35</v>
      </c>
      <c r="Q298" s="64"/>
      <c r="R298" s="65" t="str">
        <f t="shared" si="9"/>
        <v>Week 2</v>
      </c>
      <c r="S298" s="65" t="str">
        <f>TEXT(Table8[[#This Row],[Date Day]],"mmm,YYYY")</f>
        <v>Jan,2011</v>
      </c>
    </row>
    <row r="299" spans="1:19" ht="15.6" x14ac:dyDescent="0.3">
      <c r="A299" s="62">
        <v>266</v>
      </c>
      <c r="B299" s="63">
        <v>40555</v>
      </c>
      <c r="C299" s="64">
        <v>12</v>
      </c>
      <c r="D299" s="64" t="b">
        <f>IF(COUNTIF(AU$36:AU$52,Table8[[#This Row],[Date Day]]) &gt; 0, TRUE, FALSE)</f>
        <v>0</v>
      </c>
      <c r="E299" s="64">
        <f t="shared" si="8"/>
        <v>3</v>
      </c>
      <c r="F299" s="64">
        <v>1</v>
      </c>
      <c r="G299" s="65" t="str">
        <f>IF(Table8[[#This Row],[Weathersit]]=1, "BAD", IF(Table8[[#This Row],[Weathersit]]=2, "MODERATE", IF(Table8[[#This Row],[Weathersit]]=3, "GOOD")))</f>
        <v>BAD</v>
      </c>
      <c r="H299" s="64">
        <v>20</v>
      </c>
      <c r="I299" s="65" t="str">
        <f>IF(Table8[[#This Row],[Temp]]&lt;11, "COLD", IF(Table8[[#This Row],[Temp]]&lt;=25, "COMFORTABLE", "WARM"))</f>
        <v>COMFORTABLE</v>
      </c>
      <c r="J299" s="64">
        <v>0.1515</v>
      </c>
      <c r="K299" s="64">
        <v>0.47</v>
      </c>
      <c r="L299" s="66">
        <v>58.209999999999994</v>
      </c>
      <c r="M299" s="75" t="s">
        <v>84</v>
      </c>
      <c r="N299" s="64">
        <v>3</v>
      </c>
      <c r="O299" s="64">
        <v>52</v>
      </c>
      <c r="P299" s="64">
        <v>55</v>
      </c>
      <c r="Q299" s="64"/>
      <c r="R299" s="65" t="str">
        <f t="shared" si="9"/>
        <v>Week 2</v>
      </c>
      <c r="S299" s="65" t="str">
        <f>TEXT(Table8[[#This Row],[Date Day]],"mmm,YYYY")</f>
        <v>Jan,2011</v>
      </c>
    </row>
    <row r="300" spans="1:19" ht="15.6" x14ac:dyDescent="0.3">
      <c r="A300" s="62">
        <v>267</v>
      </c>
      <c r="B300" s="63">
        <v>40555</v>
      </c>
      <c r="C300" s="64">
        <v>13</v>
      </c>
      <c r="D300" s="64" t="b">
        <f>IF(COUNTIF(AU$36:AU$52,Table8[[#This Row],[Date Day]]) &gt; 0, TRUE, FALSE)</f>
        <v>0</v>
      </c>
      <c r="E300" s="64">
        <f t="shared" si="8"/>
        <v>3</v>
      </c>
      <c r="F300" s="64">
        <v>1</v>
      </c>
      <c r="G300" s="65" t="str">
        <f>IF(Table8[[#This Row],[Weathersit]]=1, "BAD", IF(Table8[[#This Row],[Weathersit]]=2, "MODERATE", IF(Table8[[#This Row],[Weathersit]]=3, "GOOD")))</f>
        <v>BAD</v>
      </c>
      <c r="H300" s="64">
        <v>22</v>
      </c>
      <c r="I300" s="65" t="str">
        <f>IF(Table8[[#This Row],[Temp]]&lt;11, "COLD", IF(Table8[[#This Row],[Temp]]&lt;=25, "COMFORTABLE", "WARM"))</f>
        <v>COMFORTABLE</v>
      </c>
      <c r="J300" s="64">
        <v>0.19700000000000001</v>
      </c>
      <c r="K300" s="64">
        <v>0.44</v>
      </c>
      <c r="L300" s="66">
        <v>35.82</v>
      </c>
      <c r="M300" s="75" t="s">
        <v>84</v>
      </c>
      <c r="N300" s="64">
        <v>0</v>
      </c>
      <c r="O300" s="64">
        <v>49</v>
      </c>
      <c r="P300" s="64">
        <v>49</v>
      </c>
      <c r="Q300" s="64"/>
      <c r="R300" s="65" t="str">
        <f t="shared" si="9"/>
        <v>Week 2</v>
      </c>
      <c r="S300" s="65" t="str">
        <f>TEXT(Table8[[#This Row],[Date Day]],"mmm,YYYY")</f>
        <v>Jan,2011</v>
      </c>
    </row>
    <row r="301" spans="1:19" ht="15.6" x14ac:dyDescent="0.3">
      <c r="A301" s="62">
        <v>268</v>
      </c>
      <c r="B301" s="63">
        <v>40555</v>
      </c>
      <c r="C301" s="64">
        <v>14</v>
      </c>
      <c r="D301" s="64" t="b">
        <f>IF(COUNTIF(AU$36:AU$52,Table8[[#This Row],[Date Day]]) &gt; 0, TRUE, FALSE)</f>
        <v>0</v>
      </c>
      <c r="E301" s="64">
        <f t="shared" si="8"/>
        <v>3</v>
      </c>
      <c r="F301" s="64">
        <v>1</v>
      </c>
      <c r="G301" s="65" t="str">
        <f>IF(Table8[[#This Row],[Weathersit]]=1, "BAD", IF(Table8[[#This Row],[Weathersit]]=2, "MODERATE", IF(Table8[[#This Row],[Weathersit]]=3, "GOOD")))</f>
        <v>BAD</v>
      </c>
      <c r="H301" s="64">
        <v>20</v>
      </c>
      <c r="I301" s="65" t="str">
        <f>IF(Table8[[#This Row],[Temp]]&lt;11, "COLD", IF(Table8[[#This Row],[Temp]]&lt;=25, "COMFORTABLE", "WARM"))</f>
        <v>COMFORTABLE</v>
      </c>
      <c r="J301" s="64">
        <v>0.18179999999999999</v>
      </c>
      <c r="K301" s="64">
        <v>0.47</v>
      </c>
      <c r="L301" s="66">
        <v>32.840000000000003</v>
      </c>
      <c r="M301" s="75" t="s">
        <v>84</v>
      </c>
      <c r="N301" s="64">
        <v>0</v>
      </c>
      <c r="O301" s="64">
        <v>44</v>
      </c>
      <c r="P301" s="64">
        <v>44</v>
      </c>
      <c r="Q301" s="64"/>
      <c r="R301" s="65" t="str">
        <f t="shared" si="9"/>
        <v>Week 2</v>
      </c>
      <c r="S301" s="65" t="str">
        <f>TEXT(Table8[[#This Row],[Date Day]],"mmm,YYYY")</f>
        <v>Jan,2011</v>
      </c>
    </row>
    <row r="302" spans="1:19" ht="15.6" x14ac:dyDescent="0.3">
      <c r="A302" s="62">
        <v>269</v>
      </c>
      <c r="B302" s="63">
        <v>40555</v>
      </c>
      <c r="C302" s="64">
        <v>15</v>
      </c>
      <c r="D302" s="64" t="b">
        <f>IF(COUNTIF(AU$36:AU$52,Table8[[#This Row],[Date Day]]) &gt; 0, TRUE, FALSE)</f>
        <v>0</v>
      </c>
      <c r="E302" s="64">
        <f t="shared" si="8"/>
        <v>3</v>
      </c>
      <c r="F302" s="64">
        <v>1</v>
      </c>
      <c r="G302" s="65" t="str">
        <f>IF(Table8[[#This Row],[Weathersit]]=1, "BAD", IF(Table8[[#This Row],[Weathersit]]=2, "MODERATE", IF(Table8[[#This Row],[Weathersit]]=3, "GOOD")))</f>
        <v>BAD</v>
      </c>
      <c r="H302" s="64">
        <v>20</v>
      </c>
      <c r="I302" s="65" t="str">
        <f>IF(Table8[[#This Row],[Temp]]&lt;11, "COLD", IF(Table8[[#This Row],[Temp]]&lt;=25, "COMFORTABLE", "WARM"))</f>
        <v>COMFORTABLE</v>
      </c>
      <c r="J302" s="64">
        <v>0.16669999999999999</v>
      </c>
      <c r="K302" s="64">
        <v>0.47</v>
      </c>
      <c r="L302" s="66">
        <v>41.79</v>
      </c>
      <c r="M302" s="75" t="s">
        <v>84</v>
      </c>
      <c r="N302" s="64">
        <v>1</v>
      </c>
      <c r="O302" s="64">
        <v>48</v>
      </c>
      <c r="P302" s="64">
        <v>49</v>
      </c>
      <c r="Q302" s="64"/>
      <c r="R302" s="65" t="str">
        <f t="shared" si="9"/>
        <v>Week 2</v>
      </c>
      <c r="S302" s="65" t="str">
        <f>TEXT(Table8[[#This Row],[Date Day]],"mmm,YYYY")</f>
        <v>Jan,2011</v>
      </c>
    </row>
    <row r="303" spans="1:19" ht="15.6" x14ac:dyDescent="0.3">
      <c r="A303" s="62">
        <v>270</v>
      </c>
      <c r="B303" s="63">
        <v>40555</v>
      </c>
      <c r="C303" s="64">
        <v>16</v>
      </c>
      <c r="D303" s="64" t="b">
        <f>IF(COUNTIF(AU$36:AU$52,Table8[[#This Row],[Date Day]]) &gt; 0, TRUE, FALSE)</f>
        <v>0</v>
      </c>
      <c r="E303" s="64">
        <f t="shared" si="8"/>
        <v>3</v>
      </c>
      <c r="F303" s="64">
        <v>1</v>
      </c>
      <c r="G303" s="65" t="str">
        <f>IF(Table8[[#This Row],[Weathersit]]=1, "BAD", IF(Table8[[#This Row],[Weathersit]]=2, "MODERATE", IF(Table8[[#This Row],[Weathersit]]=3, "GOOD")))</f>
        <v>BAD</v>
      </c>
      <c r="H303" s="64">
        <v>22</v>
      </c>
      <c r="I303" s="65" t="str">
        <f>IF(Table8[[#This Row],[Temp]]&lt;11, "COLD", IF(Table8[[#This Row],[Temp]]&lt;=25, "COMFORTABLE", "WARM"))</f>
        <v>COMFORTABLE</v>
      </c>
      <c r="J303" s="64">
        <v>0.19700000000000001</v>
      </c>
      <c r="K303" s="64">
        <v>0.44</v>
      </c>
      <c r="L303" s="66">
        <v>32.840000000000003</v>
      </c>
      <c r="M303" s="75" t="s">
        <v>84</v>
      </c>
      <c r="N303" s="64">
        <v>5</v>
      </c>
      <c r="O303" s="64">
        <v>63</v>
      </c>
      <c r="P303" s="64">
        <v>68</v>
      </c>
      <c r="Q303" s="64"/>
      <c r="R303" s="65" t="str">
        <f t="shared" si="9"/>
        <v>Week 2</v>
      </c>
      <c r="S303" s="65" t="str">
        <f>TEXT(Table8[[#This Row],[Date Day]],"mmm,YYYY")</f>
        <v>Jan,2011</v>
      </c>
    </row>
    <row r="304" spans="1:19" ht="15.6" x14ac:dyDescent="0.3">
      <c r="A304" s="62">
        <v>271</v>
      </c>
      <c r="B304" s="63">
        <v>40555</v>
      </c>
      <c r="C304" s="64">
        <v>17</v>
      </c>
      <c r="D304" s="64" t="b">
        <f>IF(COUNTIF(AU$36:AU$52,Table8[[#This Row],[Date Day]]) &gt; 0, TRUE, FALSE)</f>
        <v>0</v>
      </c>
      <c r="E304" s="64">
        <f t="shared" si="8"/>
        <v>3</v>
      </c>
      <c r="F304" s="64">
        <v>1</v>
      </c>
      <c r="G304" s="65" t="str">
        <f>IF(Table8[[#This Row],[Weathersit]]=1, "BAD", IF(Table8[[#This Row],[Weathersit]]=2, "MODERATE", IF(Table8[[#This Row],[Weathersit]]=3, "GOOD")))</f>
        <v>BAD</v>
      </c>
      <c r="H304" s="64">
        <v>20</v>
      </c>
      <c r="I304" s="65" t="str">
        <f>IF(Table8[[#This Row],[Temp]]&lt;11, "COLD", IF(Table8[[#This Row],[Temp]]&lt;=25, "COMFORTABLE", "WARM"))</f>
        <v>COMFORTABLE</v>
      </c>
      <c r="J304" s="64">
        <v>0.18179999999999999</v>
      </c>
      <c r="K304" s="64">
        <v>0.47</v>
      </c>
      <c r="L304" s="66">
        <v>35.82</v>
      </c>
      <c r="M304" s="75" t="s">
        <v>84</v>
      </c>
      <c r="N304" s="64">
        <v>0</v>
      </c>
      <c r="O304" s="64">
        <v>139</v>
      </c>
      <c r="P304" s="64">
        <v>139</v>
      </c>
      <c r="Q304" s="64"/>
      <c r="R304" s="65" t="str">
        <f t="shared" si="9"/>
        <v>Week 2</v>
      </c>
      <c r="S304" s="65" t="str">
        <f>TEXT(Table8[[#This Row],[Date Day]],"mmm,YYYY")</f>
        <v>Jan,2011</v>
      </c>
    </row>
    <row r="305" spans="1:19" ht="15.6" x14ac:dyDescent="0.3">
      <c r="A305" s="62">
        <v>272</v>
      </c>
      <c r="B305" s="63">
        <v>40555</v>
      </c>
      <c r="C305" s="64">
        <v>18</v>
      </c>
      <c r="D305" s="64" t="b">
        <f>IF(COUNTIF(AU$36:AU$52,Table8[[#This Row],[Date Day]]) &gt; 0, TRUE, FALSE)</f>
        <v>0</v>
      </c>
      <c r="E305" s="64">
        <f t="shared" si="8"/>
        <v>3</v>
      </c>
      <c r="F305" s="64">
        <v>1</v>
      </c>
      <c r="G305" s="65" t="str">
        <f>IF(Table8[[#This Row],[Weathersit]]=1, "BAD", IF(Table8[[#This Row],[Weathersit]]=2, "MODERATE", IF(Table8[[#This Row],[Weathersit]]=3, "GOOD")))</f>
        <v>BAD</v>
      </c>
      <c r="H305" s="64">
        <v>20</v>
      </c>
      <c r="I305" s="65" t="str">
        <f>IF(Table8[[#This Row],[Temp]]&lt;11, "COLD", IF(Table8[[#This Row],[Temp]]&lt;=25, "COMFORTABLE", "WARM"))</f>
        <v>COMFORTABLE</v>
      </c>
      <c r="J305" s="64">
        <v>0.1515</v>
      </c>
      <c r="K305" s="64">
        <v>0.47</v>
      </c>
      <c r="L305" s="66">
        <v>52.239999999999995</v>
      </c>
      <c r="M305" s="75" t="s">
        <v>84</v>
      </c>
      <c r="N305" s="64">
        <v>2</v>
      </c>
      <c r="O305" s="64">
        <v>135</v>
      </c>
      <c r="P305" s="64">
        <v>137</v>
      </c>
      <c r="Q305" s="64"/>
      <c r="R305" s="65" t="str">
        <f t="shared" si="9"/>
        <v>Week 2</v>
      </c>
      <c r="S305" s="65" t="str">
        <f>TEXT(Table8[[#This Row],[Date Day]],"mmm,YYYY")</f>
        <v>Jan,2011</v>
      </c>
    </row>
    <row r="306" spans="1:19" ht="15.6" x14ac:dyDescent="0.3">
      <c r="A306" s="62">
        <v>273</v>
      </c>
      <c r="B306" s="63">
        <v>40555</v>
      </c>
      <c r="C306" s="64">
        <v>19</v>
      </c>
      <c r="D306" s="64" t="b">
        <f>IF(COUNTIF(AU$36:AU$52,Table8[[#This Row],[Date Day]]) &gt; 0, TRUE, FALSE)</f>
        <v>0</v>
      </c>
      <c r="E306" s="64">
        <f t="shared" si="8"/>
        <v>3</v>
      </c>
      <c r="F306" s="64">
        <v>1</v>
      </c>
      <c r="G306" s="65" t="str">
        <f>IF(Table8[[#This Row],[Weathersit]]=1, "BAD", IF(Table8[[#This Row],[Weathersit]]=2, "MODERATE", IF(Table8[[#This Row],[Weathersit]]=3, "GOOD")))</f>
        <v>BAD</v>
      </c>
      <c r="H306" s="64">
        <v>18</v>
      </c>
      <c r="I306" s="65" t="str">
        <f>IF(Table8[[#This Row],[Temp]]&lt;11, "COLD", IF(Table8[[#This Row],[Temp]]&lt;=25, "COMFORTABLE", "WARM"))</f>
        <v>COMFORTABLE</v>
      </c>
      <c r="J306" s="64">
        <v>0.1515</v>
      </c>
      <c r="K306" s="64">
        <v>0.47</v>
      </c>
      <c r="L306" s="66">
        <v>41.79</v>
      </c>
      <c r="M306" s="75" t="s">
        <v>84</v>
      </c>
      <c r="N306" s="64">
        <v>1</v>
      </c>
      <c r="O306" s="64">
        <v>82</v>
      </c>
      <c r="P306" s="64">
        <v>83</v>
      </c>
      <c r="Q306" s="64"/>
      <c r="R306" s="65" t="str">
        <f t="shared" si="9"/>
        <v>Week 2</v>
      </c>
      <c r="S306" s="65" t="str">
        <f>TEXT(Table8[[#This Row],[Date Day]],"mmm,YYYY")</f>
        <v>Jan,2011</v>
      </c>
    </row>
    <row r="307" spans="1:19" ht="15.6" x14ac:dyDescent="0.3">
      <c r="A307" s="62">
        <v>274</v>
      </c>
      <c r="B307" s="63">
        <v>40555</v>
      </c>
      <c r="C307" s="64">
        <v>20</v>
      </c>
      <c r="D307" s="64" t="b">
        <f>IF(COUNTIF(AU$36:AU$52,Table8[[#This Row],[Date Day]]) &gt; 0, TRUE, FALSE)</f>
        <v>0</v>
      </c>
      <c r="E307" s="64">
        <f t="shared" si="8"/>
        <v>3</v>
      </c>
      <c r="F307" s="64">
        <v>1</v>
      </c>
      <c r="G307" s="65" t="str">
        <f>IF(Table8[[#This Row],[Weathersit]]=1, "BAD", IF(Table8[[#This Row],[Weathersit]]=2, "MODERATE", IF(Table8[[#This Row],[Weathersit]]=3, "GOOD")))</f>
        <v>BAD</v>
      </c>
      <c r="H307" s="64">
        <v>16</v>
      </c>
      <c r="I307" s="65" t="str">
        <f>IF(Table8[[#This Row],[Temp]]&lt;11, "COLD", IF(Table8[[#This Row],[Temp]]&lt;=25, "COMFORTABLE", "WARM"))</f>
        <v>COMFORTABLE</v>
      </c>
      <c r="J307" s="64">
        <v>0.13639999999999999</v>
      </c>
      <c r="K307" s="64">
        <v>0.5</v>
      </c>
      <c r="L307" s="66">
        <v>32.840000000000003</v>
      </c>
      <c r="M307" s="75" t="s">
        <v>84</v>
      </c>
      <c r="N307" s="64">
        <v>2</v>
      </c>
      <c r="O307" s="64">
        <v>54</v>
      </c>
      <c r="P307" s="64">
        <v>56</v>
      </c>
      <c r="Q307" s="64"/>
      <c r="R307" s="65" t="str">
        <f t="shared" si="9"/>
        <v>Week 2</v>
      </c>
      <c r="S307" s="65" t="str">
        <f>TEXT(Table8[[#This Row],[Date Day]],"mmm,YYYY")</f>
        <v>Jan,2011</v>
      </c>
    </row>
    <row r="308" spans="1:19" ht="15.6" x14ac:dyDescent="0.3">
      <c r="A308" s="62">
        <v>275</v>
      </c>
      <c r="B308" s="63">
        <v>40555</v>
      </c>
      <c r="C308" s="64">
        <v>21</v>
      </c>
      <c r="D308" s="64" t="b">
        <f>IF(COUNTIF(AU$36:AU$52,Table8[[#This Row],[Date Day]]) &gt; 0, TRUE, FALSE)</f>
        <v>0</v>
      </c>
      <c r="E308" s="64">
        <f t="shared" si="8"/>
        <v>3</v>
      </c>
      <c r="F308" s="64">
        <v>1</v>
      </c>
      <c r="G308" s="65" t="str">
        <f>IF(Table8[[#This Row],[Weathersit]]=1, "BAD", IF(Table8[[#This Row],[Weathersit]]=2, "MODERATE", IF(Table8[[#This Row],[Weathersit]]=3, "GOOD")))</f>
        <v>BAD</v>
      </c>
      <c r="H308" s="64">
        <v>16</v>
      </c>
      <c r="I308" s="65" t="str">
        <f>IF(Table8[[#This Row],[Temp]]&lt;11, "COLD", IF(Table8[[#This Row],[Temp]]&lt;=25, "COMFORTABLE", "WARM"))</f>
        <v>COMFORTABLE</v>
      </c>
      <c r="J308" s="64">
        <v>0.13639999999999999</v>
      </c>
      <c r="K308" s="64">
        <v>0.55000000000000004</v>
      </c>
      <c r="L308" s="66">
        <v>32.840000000000003</v>
      </c>
      <c r="M308" s="75" t="s">
        <v>84</v>
      </c>
      <c r="N308" s="64">
        <v>0</v>
      </c>
      <c r="O308" s="64">
        <v>57</v>
      </c>
      <c r="P308" s="64">
        <v>57</v>
      </c>
      <c r="Q308" s="64"/>
      <c r="R308" s="65" t="str">
        <f t="shared" si="9"/>
        <v>Week 2</v>
      </c>
      <c r="S308" s="65" t="str">
        <f>TEXT(Table8[[#This Row],[Date Day]],"mmm,YYYY")</f>
        <v>Jan,2011</v>
      </c>
    </row>
    <row r="309" spans="1:19" ht="15.6" x14ac:dyDescent="0.3">
      <c r="A309" s="62">
        <v>276</v>
      </c>
      <c r="B309" s="63">
        <v>40555</v>
      </c>
      <c r="C309" s="64">
        <v>22</v>
      </c>
      <c r="D309" s="64" t="b">
        <f>IF(COUNTIF(AU$36:AU$52,Table8[[#This Row],[Date Day]]) &gt; 0, TRUE, FALSE)</f>
        <v>0</v>
      </c>
      <c r="E309" s="64">
        <f t="shared" si="8"/>
        <v>3</v>
      </c>
      <c r="F309" s="64">
        <v>1</v>
      </c>
      <c r="G309" s="65" t="str">
        <f>IF(Table8[[#This Row],[Weathersit]]=1, "BAD", IF(Table8[[#This Row],[Weathersit]]=2, "MODERATE", IF(Table8[[#This Row],[Weathersit]]=3, "GOOD")))</f>
        <v>BAD</v>
      </c>
      <c r="H309" s="64">
        <v>16</v>
      </c>
      <c r="I309" s="65" t="str">
        <f>IF(Table8[[#This Row],[Temp]]&lt;11, "COLD", IF(Table8[[#This Row],[Temp]]&lt;=25, "COMFORTABLE", "WARM"))</f>
        <v>COMFORTABLE</v>
      </c>
      <c r="J309" s="64">
        <v>0.1212</v>
      </c>
      <c r="K309" s="64">
        <v>0.55000000000000004</v>
      </c>
      <c r="L309" s="66">
        <v>44.78</v>
      </c>
      <c r="M309" s="75" t="s">
        <v>84</v>
      </c>
      <c r="N309" s="64">
        <v>1</v>
      </c>
      <c r="O309" s="64">
        <v>32</v>
      </c>
      <c r="P309" s="64">
        <v>33</v>
      </c>
      <c r="Q309" s="64"/>
      <c r="R309" s="65" t="str">
        <f t="shared" si="9"/>
        <v>Week 2</v>
      </c>
      <c r="S309" s="65" t="str">
        <f>TEXT(Table8[[#This Row],[Date Day]],"mmm,YYYY")</f>
        <v>Jan,2011</v>
      </c>
    </row>
    <row r="310" spans="1:19" ht="15.6" x14ac:dyDescent="0.3">
      <c r="A310" s="62">
        <v>277</v>
      </c>
      <c r="B310" s="63">
        <v>40555</v>
      </c>
      <c r="C310" s="64">
        <v>23</v>
      </c>
      <c r="D310" s="64" t="b">
        <f>IF(COUNTIF(AU$36:AU$52,Table8[[#This Row],[Date Day]]) &gt; 0, TRUE, FALSE)</f>
        <v>0</v>
      </c>
      <c r="E310" s="64">
        <f t="shared" si="8"/>
        <v>3</v>
      </c>
      <c r="F310" s="64">
        <v>1</v>
      </c>
      <c r="G310" s="65" t="str">
        <f>IF(Table8[[#This Row],[Weathersit]]=1, "BAD", IF(Table8[[#This Row],[Weathersit]]=2, "MODERATE", IF(Table8[[#This Row],[Weathersit]]=3, "GOOD")))</f>
        <v>BAD</v>
      </c>
      <c r="H310" s="64">
        <v>14.000000000000002</v>
      </c>
      <c r="I310" s="65" t="str">
        <f>IF(Table8[[#This Row],[Temp]]&lt;11, "COLD", IF(Table8[[#This Row],[Temp]]&lt;=25, "COMFORTABLE", "WARM"))</f>
        <v>COMFORTABLE</v>
      </c>
      <c r="J310" s="64">
        <v>0.1061</v>
      </c>
      <c r="K310" s="64">
        <v>0.59</v>
      </c>
      <c r="L310" s="66">
        <v>41.79</v>
      </c>
      <c r="M310" s="75" t="s">
        <v>84</v>
      </c>
      <c r="N310" s="64">
        <v>1</v>
      </c>
      <c r="O310" s="64">
        <v>19</v>
      </c>
      <c r="P310" s="64">
        <v>20</v>
      </c>
      <c r="Q310" s="64"/>
      <c r="R310" s="65" t="str">
        <f t="shared" si="9"/>
        <v>Week 2</v>
      </c>
      <c r="S310" s="65" t="str">
        <f>TEXT(Table8[[#This Row],[Date Day]],"mmm,YYYY")</f>
        <v>Jan,2011</v>
      </c>
    </row>
    <row r="311" spans="1:19" ht="15.6" x14ac:dyDescent="0.3">
      <c r="A311" s="62">
        <v>278</v>
      </c>
      <c r="B311" s="63">
        <v>40556</v>
      </c>
      <c r="C311" s="64">
        <v>0</v>
      </c>
      <c r="D311" s="64" t="b">
        <f>IF(COUNTIF(AU$36:AU$52,Table8[[#This Row],[Date Day]]) &gt; 0, TRUE, FALSE)</f>
        <v>0</v>
      </c>
      <c r="E311" s="64">
        <f t="shared" si="8"/>
        <v>4</v>
      </c>
      <c r="F311" s="64">
        <v>1</v>
      </c>
      <c r="G311" s="65" t="str">
        <f>IF(Table8[[#This Row],[Weathersit]]=1, "BAD", IF(Table8[[#This Row],[Weathersit]]=2, "MODERATE", IF(Table8[[#This Row],[Weathersit]]=3, "GOOD")))</f>
        <v>BAD</v>
      </c>
      <c r="H311" s="64">
        <v>14.000000000000002</v>
      </c>
      <c r="I311" s="65" t="str">
        <f>IF(Table8[[#This Row],[Temp]]&lt;11, "COLD", IF(Table8[[#This Row],[Temp]]&lt;=25, "COMFORTABLE", "WARM"))</f>
        <v>COMFORTABLE</v>
      </c>
      <c r="J311" s="64">
        <v>0.1212</v>
      </c>
      <c r="K311" s="64">
        <v>0.59</v>
      </c>
      <c r="L311" s="66">
        <v>28.360000000000003</v>
      </c>
      <c r="M311" s="75" t="s">
        <v>81</v>
      </c>
      <c r="N311" s="64">
        <v>1</v>
      </c>
      <c r="O311" s="64">
        <v>6</v>
      </c>
      <c r="P311" s="64">
        <v>7</v>
      </c>
      <c r="Q311" s="64"/>
      <c r="R311" s="65" t="str">
        <f t="shared" si="9"/>
        <v>Week 2</v>
      </c>
      <c r="S311" s="65" t="str">
        <f>TEXT(Table8[[#This Row],[Date Day]],"mmm,YYYY")</f>
        <v>Jan,2011</v>
      </c>
    </row>
    <row r="312" spans="1:19" ht="15.6" x14ac:dyDescent="0.3">
      <c r="A312" s="62">
        <v>279</v>
      </c>
      <c r="B312" s="63">
        <v>40556</v>
      </c>
      <c r="C312" s="64">
        <v>1</v>
      </c>
      <c r="D312" s="64" t="b">
        <f>IF(COUNTIF(AU$36:AU$52,Table8[[#This Row],[Date Day]]) &gt; 0, TRUE, FALSE)</f>
        <v>0</v>
      </c>
      <c r="E312" s="64">
        <f t="shared" si="8"/>
        <v>4</v>
      </c>
      <c r="F312" s="64">
        <v>1</v>
      </c>
      <c r="G312" s="65" t="str">
        <f>IF(Table8[[#This Row],[Weathersit]]=1, "BAD", IF(Table8[[#This Row],[Weathersit]]=2, "MODERATE", IF(Table8[[#This Row],[Weathersit]]=3, "GOOD")))</f>
        <v>BAD</v>
      </c>
      <c r="H312" s="64">
        <v>14.000000000000002</v>
      </c>
      <c r="I312" s="65" t="str">
        <f>IF(Table8[[#This Row],[Temp]]&lt;11, "COLD", IF(Table8[[#This Row],[Temp]]&lt;=25, "COMFORTABLE", "WARM"))</f>
        <v>COMFORTABLE</v>
      </c>
      <c r="J312" s="64">
        <v>0.1212</v>
      </c>
      <c r="K312" s="64">
        <v>0.5</v>
      </c>
      <c r="L312" s="66">
        <v>28.360000000000003</v>
      </c>
      <c r="M312" s="75" t="s">
        <v>81</v>
      </c>
      <c r="N312" s="64">
        <v>0</v>
      </c>
      <c r="O312" s="64">
        <v>2</v>
      </c>
      <c r="P312" s="64">
        <v>2</v>
      </c>
      <c r="Q312" s="64"/>
      <c r="R312" s="65" t="str">
        <f t="shared" si="9"/>
        <v>Week 2</v>
      </c>
      <c r="S312" s="65" t="str">
        <f>TEXT(Table8[[#This Row],[Date Day]],"mmm,YYYY")</f>
        <v>Jan,2011</v>
      </c>
    </row>
    <row r="313" spans="1:19" ht="15.6" x14ac:dyDescent="0.3">
      <c r="A313" s="62">
        <v>280</v>
      </c>
      <c r="B313" s="63">
        <v>40556</v>
      </c>
      <c r="C313" s="64">
        <v>2</v>
      </c>
      <c r="D313" s="64" t="b">
        <f>IF(COUNTIF(AU$36:AU$52,Table8[[#This Row],[Date Day]]) &gt; 0, TRUE, FALSE)</f>
        <v>0</v>
      </c>
      <c r="E313" s="64">
        <f t="shared" si="8"/>
        <v>4</v>
      </c>
      <c r="F313" s="64">
        <v>1</v>
      </c>
      <c r="G313" s="65" t="str">
        <f>IF(Table8[[#This Row],[Weathersit]]=1, "BAD", IF(Table8[[#This Row],[Weathersit]]=2, "MODERATE", IF(Table8[[#This Row],[Weathersit]]=3, "GOOD")))</f>
        <v>BAD</v>
      </c>
      <c r="H313" s="64">
        <v>14.000000000000002</v>
      </c>
      <c r="I313" s="65" t="str">
        <f>IF(Table8[[#This Row],[Temp]]&lt;11, "COLD", IF(Table8[[#This Row],[Temp]]&lt;=25, "COMFORTABLE", "WARM"))</f>
        <v>COMFORTABLE</v>
      </c>
      <c r="J313" s="64">
        <v>0.1212</v>
      </c>
      <c r="K313" s="64">
        <v>0.5</v>
      </c>
      <c r="L313" s="66">
        <v>35.82</v>
      </c>
      <c r="M313" s="75" t="s">
        <v>84</v>
      </c>
      <c r="N313" s="64">
        <v>0</v>
      </c>
      <c r="O313" s="64">
        <v>2</v>
      </c>
      <c r="P313" s="64">
        <v>2</v>
      </c>
      <c r="Q313" s="64"/>
      <c r="R313" s="65" t="str">
        <f t="shared" si="9"/>
        <v>Week 2</v>
      </c>
      <c r="S313" s="65" t="str">
        <f>TEXT(Table8[[#This Row],[Date Day]],"mmm,YYYY")</f>
        <v>Jan,2011</v>
      </c>
    </row>
    <row r="314" spans="1:19" ht="15.6" x14ac:dyDescent="0.3">
      <c r="A314" s="62">
        <v>281</v>
      </c>
      <c r="B314" s="63">
        <v>40556</v>
      </c>
      <c r="C314" s="64">
        <v>3</v>
      </c>
      <c r="D314" s="64" t="b">
        <f>IF(COUNTIF(AU$36:AU$52,Table8[[#This Row],[Date Day]]) &gt; 0, TRUE, FALSE)</f>
        <v>0</v>
      </c>
      <c r="E314" s="64">
        <f t="shared" si="8"/>
        <v>4</v>
      </c>
      <c r="F314" s="64">
        <v>1</v>
      </c>
      <c r="G314" s="65" t="str">
        <f>IF(Table8[[#This Row],[Weathersit]]=1, "BAD", IF(Table8[[#This Row],[Weathersit]]=2, "MODERATE", IF(Table8[[#This Row],[Weathersit]]=3, "GOOD")))</f>
        <v>BAD</v>
      </c>
      <c r="H314" s="64">
        <v>14.000000000000002</v>
      </c>
      <c r="I314" s="65" t="str">
        <f>IF(Table8[[#This Row],[Temp]]&lt;11, "COLD", IF(Table8[[#This Row],[Temp]]&lt;=25, "COMFORTABLE", "WARM"))</f>
        <v>COMFORTABLE</v>
      </c>
      <c r="J314" s="64">
        <v>0.1212</v>
      </c>
      <c r="K314" s="64">
        <v>0.5</v>
      </c>
      <c r="L314" s="66">
        <v>32.840000000000003</v>
      </c>
      <c r="M314" s="75" t="s">
        <v>84</v>
      </c>
      <c r="N314" s="64">
        <v>0</v>
      </c>
      <c r="O314" s="64">
        <v>3</v>
      </c>
      <c r="P314" s="64">
        <v>3</v>
      </c>
      <c r="Q314" s="64"/>
      <c r="R314" s="65" t="str">
        <f t="shared" si="9"/>
        <v>Week 2</v>
      </c>
      <c r="S314" s="65" t="str">
        <f>TEXT(Table8[[#This Row],[Date Day]],"mmm,YYYY")</f>
        <v>Jan,2011</v>
      </c>
    </row>
    <row r="315" spans="1:19" ht="15.6" x14ac:dyDescent="0.3">
      <c r="A315" s="62">
        <v>282</v>
      </c>
      <c r="B315" s="63">
        <v>40556</v>
      </c>
      <c r="C315" s="64">
        <v>4</v>
      </c>
      <c r="D315" s="64" t="b">
        <f>IF(COUNTIF(AU$36:AU$52,Table8[[#This Row],[Date Day]]) &gt; 0, TRUE, FALSE)</f>
        <v>0</v>
      </c>
      <c r="E315" s="64">
        <f t="shared" si="8"/>
        <v>4</v>
      </c>
      <c r="F315" s="64">
        <v>1</v>
      </c>
      <c r="G315" s="65" t="str">
        <f>IF(Table8[[#This Row],[Weathersit]]=1, "BAD", IF(Table8[[#This Row],[Weathersit]]=2, "MODERATE", IF(Table8[[#This Row],[Weathersit]]=3, "GOOD")))</f>
        <v>BAD</v>
      </c>
      <c r="H315" s="64">
        <v>14.000000000000002</v>
      </c>
      <c r="I315" s="65" t="str">
        <f>IF(Table8[[#This Row],[Temp]]&lt;11, "COLD", IF(Table8[[#This Row],[Temp]]&lt;=25, "COMFORTABLE", "WARM"))</f>
        <v>COMFORTABLE</v>
      </c>
      <c r="J315" s="64">
        <v>0.1212</v>
      </c>
      <c r="K315" s="64">
        <v>0.5</v>
      </c>
      <c r="L315" s="66">
        <v>25.369999999999997</v>
      </c>
      <c r="M315" s="75" t="s">
        <v>81</v>
      </c>
      <c r="N315" s="64">
        <v>0</v>
      </c>
      <c r="O315" s="64">
        <v>4</v>
      </c>
      <c r="P315" s="64">
        <v>4</v>
      </c>
      <c r="Q315" s="64"/>
      <c r="R315" s="65" t="str">
        <f t="shared" si="9"/>
        <v>Week 2</v>
      </c>
      <c r="S315" s="65" t="str">
        <f>TEXT(Table8[[#This Row],[Date Day]],"mmm,YYYY")</f>
        <v>Jan,2011</v>
      </c>
    </row>
    <row r="316" spans="1:19" ht="15.6" x14ac:dyDescent="0.3">
      <c r="A316" s="62">
        <v>283</v>
      </c>
      <c r="B316" s="63">
        <v>40556</v>
      </c>
      <c r="C316" s="64">
        <v>5</v>
      </c>
      <c r="D316" s="64" t="b">
        <f>IF(COUNTIF(AU$36:AU$52,Table8[[#This Row],[Date Day]]) &gt; 0, TRUE, FALSE)</f>
        <v>0</v>
      </c>
      <c r="E316" s="64">
        <f t="shared" si="8"/>
        <v>4</v>
      </c>
      <c r="F316" s="64">
        <v>1</v>
      </c>
      <c r="G316" s="65" t="str">
        <f>IF(Table8[[#This Row],[Weathersit]]=1, "BAD", IF(Table8[[#This Row],[Weathersit]]=2, "MODERATE", IF(Table8[[#This Row],[Weathersit]]=3, "GOOD")))</f>
        <v>BAD</v>
      </c>
      <c r="H316" s="64">
        <v>14.000000000000002</v>
      </c>
      <c r="I316" s="65" t="str">
        <f>IF(Table8[[#This Row],[Temp]]&lt;11, "COLD", IF(Table8[[#This Row],[Temp]]&lt;=25, "COMFORTABLE", "WARM"))</f>
        <v>COMFORTABLE</v>
      </c>
      <c r="J316" s="64">
        <v>0.1212</v>
      </c>
      <c r="K316" s="64">
        <v>0.5</v>
      </c>
      <c r="L316" s="66">
        <v>29.849999999999998</v>
      </c>
      <c r="M316" s="75" t="s">
        <v>81</v>
      </c>
      <c r="N316" s="64">
        <v>0</v>
      </c>
      <c r="O316" s="64">
        <v>3</v>
      </c>
      <c r="P316" s="64">
        <v>3</v>
      </c>
      <c r="Q316" s="64"/>
      <c r="R316" s="65" t="str">
        <f t="shared" si="9"/>
        <v>Week 2</v>
      </c>
      <c r="S316" s="65" t="str">
        <f>TEXT(Table8[[#This Row],[Date Day]],"mmm,YYYY")</f>
        <v>Jan,2011</v>
      </c>
    </row>
    <row r="317" spans="1:19" ht="15.6" x14ac:dyDescent="0.3">
      <c r="A317" s="62">
        <v>284</v>
      </c>
      <c r="B317" s="63">
        <v>40556</v>
      </c>
      <c r="C317" s="64">
        <v>6</v>
      </c>
      <c r="D317" s="64" t="b">
        <f>IF(COUNTIF(AU$36:AU$52,Table8[[#This Row],[Date Day]]) &gt; 0, TRUE, FALSE)</f>
        <v>0</v>
      </c>
      <c r="E317" s="64">
        <f t="shared" si="8"/>
        <v>4</v>
      </c>
      <c r="F317" s="64">
        <v>1</v>
      </c>
      <c r="G317" s="65" t="str">
        <f>IF(Table8[[#This Row],[Weathersit]]=1, "BAD", IF(Table8[[#This Row],[Weathersit]]=2, "MODERATE", IF(Table8[[#This Row],[Weathersit]]=3, "GOOD")))</f>
        <v>BAD</v>
      </c>
      <c r="H317" s="64">
        <v>12</v>
      </c>
      <c r="I317" s="65" t="str">
        <f>IF(Table8[[#This Row],[Temp]]&lt;11, "COLD", IF(Table8[[#This Row],[Temp]]&lt;=25, "COMFORTABLE", "WARM"))</f>
        <v>COMFORTABLE</v>
      </c>
      <c r="J317" s="64">
        <v>0.1515</v>
      </c>
      <c r="K317" s="64">
        <v>0.54</v>
      </c>
      <c r="L317" s="66">
        <v>13.43</v>
      </c>
      <c r="M317" s="75" t="s">
        <v>80</v>
      </c>
      <c r="N317" s="64">
        <v>0</v>
      </c>
      <c r="O317" s="64">
        <v>28</v>
      </c>
      <c r="P317" s="64">
        <v>28</v>
      </c>
      <c r="Q317" s="64"/>
      <c r="R317" s="65" t="str">
        <f t="shared" si="9"/>
        <v>Week 2</v>
      </c>
      <c r="S317" s="65" t="str">
        <f>TEXT(Table8[[#This Row],[Date Day]],"mmm,YYYY")</f>
        <v>Jan,2011</v>
      </c>
    </row>
    <row r="318" spans="1:19" ht="15.6" x14ac:dyDescent="0.3">
      <c r="A318" s="62">
        <v>285</v>
      </c>
      <c r="B318" s="63">
        <v>40556</v>
      </c>
      <c r="C318" s="64">
        <v>7</v>
      </c>
      <c r="D318" s="64" t="b">
        <f>IF(COUNTIF(AU$36:AU$52,Table8[[#This Row],[Date Day]]) &gt; 0, TRUE, FALSE)</f>
        <v>0</v>
      </c>
      <c r="E318" s="64">
        <f t="shared" si="8"/>
        <v>4</v>
      </c>
      <c r="F318" s="64">
        <v>1</v>
      </c>
      <c r="G318" s="65" t="str">
        <f>IF(Table8[[#This Row],[Weathersit]]=1, "BAD", IF(Table8[[#This Row],[Weathersit]]=2, "MODERATE", IF(Table8[[#This Row],[Weathersit]]=3, "GOOD")))</f>
        <v>BAD</v>
      </c>
      <c r="H318" s="64">
        <v>12</v>
      </c>
      <c r="I318" s="65" t="str">
        <f>IF(Table8[[#This Row],[Temp]]&lt;11, "COLD", IF(Table8[[#This Row],[Temp]]&lt;=25, "COMFORTABLE", "WARM"))</f>
        <v>COMFORTABLE</v>
      </c>
      <c r="J318" s="64">
        <v>0.1515</v>
      </c>
      <c r="K318" s="64">
        <v>0.54</v>
      </c>
      <c r="L318" s="66">
        <v>13.43</v>
      </c>
      <c r="M318" s="75" t="s">
        <v>80</v>
      </c>
      <c r="N318" s="64">
        <v>0</v>
      </c>
      <c r="O318" s="64">
        <v>72</v>
      </c>
      <c r="P318" s="64">
        <v>72</v>
      </c>
      <c r="Q318" s="64"/>
      <c r="R318" s="65" t="str">
        <f t="shared" si="9"/>
        <v>Week 2</v>
      </c>
      <c r="S318" s="65" t="str">
        <f>TEXT(Table8[[#This Row],[Date Day]],"mmm,YYYY")</f>
        <v>Jan,2011</v>
      </c>
    </row>
    <row r="319" spans="1:19" ht="15.6" x14ac:dyDescent="0.3">
      <c r="A319" s="62">
        <v>286</v>
      </c>
      <c r="B319" s="63">
        <v>40556</v>
      </c>
      <c r="C319" s="64">
        <v>8</v>
      </c>
      <c r="D319" s="64" t="b">
        <f>IF(COUNTIF(AU$36:AU$52,Table8[[#This Row],[Date Day]]) &gt; 0, TRUE, FALSE)</f>
        <v>0</v>
      </c>
      <c r="E319" s="64">
        <f t="shared" si="8"/>
        <v>4</v>
      </c>
      <c r="F319" s="64">
        <v>1</v>
      </c>
      <c r="G319" s="65" t="str">
        <f>IF(Table8[[#This Row],[Weathersit]]=1, "BAD", IF(Table8[[#This Row],[Weathersit]]=2, "MODERATE", IF(Table8[[#This Row],[Weathersit]]=3, "GOOD")))</f>
        <v>BAD</v>
      </c>
      <c r="H319" s="64">
        <v>14.000000000000002</v>
      </c>
      <c r="I319" s="65" t="str">
        <f>IF(Table8[[#This Row],[Temp]]&lt;11, "COLD", IF(Table8[[#This Row],[Temp]]&lt;=25, "COMFORTABLE", "WARM"))</f>
        <v>COMFORTABLE</v>
      </c>
      <c r="J319" s="64">
        <v>0.13639999999999999</v>
      </c>
      <c r="K319" s="64">
        <v>0.5</v>
      </c>
      <c r="L319" s="66">
        <v>19.400000000000002</v>
      </c>
      <c r="M319" s="75" t="s">
        <v>80</v>
      </c>
      <c r="N319" s="64">
        <v>5</v>
      </c>
      <c r="O319" s="64">
        <v>197</v>
      </c>
      <c r="P319" s="64">
        <v>202</v>
      </c>
      <c r="Q319" s="64"/>
      <c r="R319" s="65" t="str">
        <f t="shared" si="9"/>
        <v>Week 2</v>
      </c>
      <c r="S319" s="65" t="str">
        <f>TEXT(Table8[[#This Row],[Date Day]],"mmm,YYYY")</f>
        <v>Jan,2011</v>
      </c>
    </row>
    <row r="320" spans="1:19" ht="15.6" x14ac:dyDescent="0.3">
      <c r="A320" s="62">
        <v>287</v>
      </c>
      <c r="B320" s="63">
        <v>40556</v>
      </c>
      <c r="C320" s="64">
        <v>9</v>
      </c>
      <c r="D320" s="64" t="b">
        <f>IF(COUNTIF(AU$36:AU$52,Table8[[#This Row],[Date Day]]) &gt; 0, TRUE, FALSE)</f>
        <v>0</v>
      </c>
      <c r="E320" s="64">
        <f t="shared" si="8"/>
        <v>4</v>
      </c>
      <c r="F320" s="64">
        <v>1</v>
      </c>
      <c r="G320" s="65" t="str">
        <f>IF(Table8[[#This Row],[Weathersit]]=1, "BAD", IF(Table8[[#This Row],[Weathersit]]=2, "MODERATE", IF(Table8[[#This Row],[Weathersit]]=3, "GOOD")))</f>
        <v>BAD</v>
      </c>
      <c r="H320" s="64">
        <v>14.000000000000002</v>
      </c>
      <c r="I320" s="65" t="str">
        <f>IF(Table8[[#This Row],[Temp]]&lt;11, "COLD", IF(Table8[[#This Row],[Temp]]&lt;=25, "COMFORTABLE", "WARM"))</f>
        <v>COMFORTABLE</v>
      </c>
      <c r="J320" s="64">
        <v>0.1212</v>
      </c>
      <c r="K320" s="64">
        <v>0.5</v>
      </c>
      <c r="L320" s="66">
        <v>32.840000000000003</v>
      </c>
      <c r="M320" s="75" t="s">
        <v>84</v>
      </c>
      <c r="N320" s="64">
        <v>2</v>
      </c>
      <c r="O320" s="64">
        <v>137</v>
      </c>
      <c r="P320" s="64">
        <v>139</v>
      </c>
      <c r="Q320" s="64"/>
      <c r="R320" s="65" t="str">
        <f t="shared" si="9"/>
        <v>Week 2</v>
      </c>
      <c r="S320" s="65" t="str">
        <f>TEXT(Table8[[#This Row],[Date Day]],"mmm,YYYY")</f>
        <v>Jan,2011</v>
      </c>
    </row>
    <row r="321" spans="1:19" ht="15.6" x14ac:dyDescent="0.3">
      <c r="A321" s="62">
        <v>288</v>
      </c>
      <c r="B321" s="63">
        <v>40556</v>
      </c>
      <c r="C321" s="64">
        <v>10</v>
      </c>
      <c r="D321" s="64" t="b">
        <f>IF(COUNTIF(AU$36:AU$52,Table8[[#This Row],[Date Day]]) &gt; 0, TRUE, FALSE)</f>
        <v>0</v>
      </c>
      <c r="E321" s="64">
        <f t="shared" si="8"/>
        <v>4</v>
      </c>
      <c r="F321" s="64">
        <v>2</v>
      </c>
      <c r="G321" s="65" t="str">
        <f>IF(Table8[[#This Row],[Weathersit]]=1, "BAD", IF(Table8[[#This Row],[Weathersit]]=2, "MODERATE", IF(Table8[[#This Row],[Weathersit]]=3, "GOOD")))</f>
        <v>MODERATE</v>
      </c>
      <c r="H321" s="64">
        <v>16</v>
      </c>
      <c r="I321" s="65" t="str">
        <f>IF(Table8[[#This Row],[Temp]]&lt;11, "COLD", IF(Table8[[#This Row],[Temp]]&lt;=25, "COMFORTABLE", "WARM"))</f>
        <v>COMFORTABLE</v>
      </c>
      <c r="J321" s="64">
        <v>0.13639999999999999</v>
      </c>
      <c r="K321" s="64">
        <v>0.5</v>
      </c>
      <c r="L321" s="66">
        <v>35.82</v>
      </c>
      <c r="M321" s="75" t="s">
        <v>84</v>
      </c>
      <c r="N321" s="64">
        <v>2</v>
      </c>
      <c r="O321" s="64">
        <v>36</v>
      </c>
      <c r="P321" s="64">
        <v>38</v>
      </c>
      <c r="Q321" s="64"/>
      <c r="R321" s="65" t="str">
        <f t="shared" si="9"/>
        <v>Week 2</v>
      </c>
      <c r="S321" s="65" t="str">
        <f>TEXT(Table8[[#This Row],[Date Day]],"mmm,YYYY")</f>
        <v>Jan,2011</v>
      </c>
    </row>
    <row r="322" spans="1:19" ht="15.6" x14ac:dyDescent="0.3">
      <c r="A322" s="62">
        <v>289</v>
      </c>
      <c r="B322" s="63">
        <v>40556</v>
      </c>
      <c r="C322" s="64">
        <v>11</v>
      </c>
      <c r="D322" s="64" t="b">
        <f>IF(COUNTIF(AU$36:AU$52,Table8[[#This Row],[Date Day]]) &gt; 0, TRUE, FALSE)</f>
        <v>0</v>
      </c>
      <c r="E322" s="64">
        <f t="shared" si="8"/>
        <v>4</v>
      </c>
      <c r="F322" s="64">
        <v>2</v>
      </c>
      <c r="G322" s="65" t="str">
        <f>IF(Table8[[#This Row],[Weathersit]]=1, "BAD", IF(Table8[[#This Row],[Weathersit]]=2, "MODERATE", IF(Table8[[#This Row],[Weathersit]]=3, "GOOD")))</f>
        <v>MODERATE</v>
      </c>
      <c r="H322" s="64">
        <v>20</v>
      </c>
      <c r="I322" s="65" t="str">
        <f>IF(Table8[[#This Row],[Temp]]&lt;11, "COLD", IF(Table8[[#This Row],[Temp]]&lt;=25, "COMFORTABLE", "WARM"))</f>
        <v>COMFORTABLE</v>
      </c>
      <c r="J322" s="64">
        <v>0.16669999999999999</v>
      </c>
      <c r="K322" s="64">
        <v>0.44</v>
      </c>
      <c r="L322" s="66">
        <v>44.78</v>
      </c>
      <c r="M322" s="75" t="s">
        <v>84</v>
      </c>
      <c r="N322" s="64">
        <v>4</v>
      </c>
      <c r="O322" s="64">
        <v>33</v>
      </c>
      <c r="P322" s="64">
        <v>37</v>
      </c>
      <c r="Q322" s="64"/>
      <c r="R322" s="65" t="str">
        <f t="shared" si="9"/>
        <v>Week 2</v>
      </c>
      <c r="S322" s="65" t="str">
        <f>TEXT(Table8[[#This Row],[Date Day]],"mmm,YYYY")</f>
        <v>Jan,2011</v>
      </c>
    </row>
    <row r="323" spans="1:19" ht="15.6" x14ac:dyDescent="0.3">
      <c r="A323" s="62">
        <v>290</v>
      </c>
      <c r="B323" s="63">
        <v>40556</v>
      </c>
      <c r="C323" s="64">
        <v>12</v>
      </c>
      <c r="D323" s="64" t="b">
        <f>IF(COUNTIF(AU$36:AU$52,Table8[[#This Row],[Date Day]]) &gt; 0, TRUE, FALSE)</f>
        <v>0</v>
      </c>
      <c r="E323" s="64">
        <f t="shared" si="8"/>
        <v>4</v>
      </c>
      <c r="F323" s="64">
        <v>1</v>
      </c>
      <c r="G323" s="65" t="str">
        <f>IF(Table8[[#This Row],[Weathersit]]=1, "BAD", IF(Table8[[#This Row],[Weathersit]]=2, "MODERATE", IF(Table8[[#This Row],[Weathersit]]=3, "GOOD")))</f>
        <v>BAD</v>
      </c>
      <c r="H323" s="64">
        <v>20</v>
      </c>
      <c r="I323" s="65" t="str">
        <f>IF(Table8[[#This Row],[Temp]]&lt;11, "COLD", IF(Table8[[#This Row],[Temp]]&lt;=25, "COMFORTABLE", "WARM"))</f>
        <v>COMFORTABLE</v>
      </c>
      <c r="J323" s="64">
        <v>0.16669999999999999</v>
      </c>
      <c r="K323" s="64">
        <v>0.44</v>
      </c>
      <c r="L323" s="66">
        <v>41.79</v>
      </c>
      <c r="M323" s="75" t="s">
        <v>84</v>
      </c>
      <c r="N323" s="64">
        <v>3</v>
      </c>
      <c r="O323" s="64">
        <v>49</v>
      </c>
      <c r="P323" s="64">
        <v>52</v>
      </c>
      <c r="Q323" s="64"/>
      <c r="R323" s="65" t="str">
        <f t="shared" si="9"/>
        <v>Week 2</v>
      </c>
      <c r="S323" s="65" t="str">
        <f>TEXT(Table8[[#This Row],[Date Day]],"mmm,YYYY")</f>
        <v>Jan,2011</v>
      </c>
    </row>
    <row r="324" spans="1:19" ht="15.6" x14ac:dyDescent="0.3">
      <c r="A324" s="62">
        <v>291</v>
      </c>
      <c r="B324" s="63">
        <v>40556</v>
      </c>
      <c r="C324" s="64">
        <v>13</v>
      </c>
      <c r="D324" s="64" t="b">
        <f>IF(COUNTIF(AU$36:AU$52,Table8[[#This Row],[Date Day]]) &gt; 0, TRUE, FALSE)</f>
        <v>0</v>
      </c>
      <c r="E324" s="64">
        <f t="shared" si="8"/>
        <v>4</v>
      </c>
      <c r="F324" s="64">
        <v>1</v>
      </c>
      <c r="G324" s="65" t="str">
        <f>IF(Table8[[#This Row],[Weathersit]]=1, "BAD", IF(Table8[[#This Row],[Weathersit]]=2, "MODERATE", IF(Table8[[#This Row],[Weathersit]]=3, "GOOD")))</f>
        <v>BAD</v>
      </c>
      <c r="H324" s="64">
        <v>22</v>
      </c>
      <c r="I324" s="65" t="str">
        <f>IF(Table8[[#This Row],[Temp]]&lt;11, "COLD", IF(Table8[[#This Row],[Temp]]&lt;=25, "COMFORTABLE", "WARM"))</f>
        <v>COMFORTABLE</v>
      </c>
      <c r="J324" s="64">
        <v>0.19700000000000001</v>
      </c>
      <c r="K324" s="64">
        <v>0.41</v>
      </c>
      <c r="L324" s="66">
        <v>44.78</v>
      </c>
      <c r="M324" s="75" t="s">
        <v>84</v>
      </c>
      <c r="N324" s="64">
        <v>2</v>
      </c>
      <c r="O324" s="64">
        <v>81</v>
      </c>
      <c r="P324" s="64">
        <v>83</v>
      </c>
      <c r="Q324" s="64"/>
      <c r="R324" s="65" t="str">
        <f t="shared" si="9"/>
        <v>Week 2</v>
      </c>
      <c r="S324" s="65" t="str">
        <f>TEXT(Table8[[#This Row],[Date Day]],"mmm,YYYY")</f>
        <v>Jan,2011</v>
      </c>
    </row>
    <row r="325" spans="1:19" ht="15.6" x14ac:dyDescent="0.3">
      <c r="A325" s="62">
        <v>292</v>
      </c>
      <c r="B325" s="63">
        <v>40556</v>
      </c>
      <c r="C325" s="64">
        <v>14</v>
      </c>
      <c r="D325" s="64" t="b">
        <f>IF(COUNTIF(AU$36:AU$52,Table8[[#This Row],[Date Day]]) &gt; 0, TRUE, FALSE)</f>
        <v>0</v>
      </c>
      <c r="E325" s="64">
        <f t="shared" si="8"/>
        <v>4</v>
      </c>
      <c r="F325" s="64">
        <v>1</v>
      </c>
      <c r="G325" s="65" t="str">
        <f>IF(Table8[[#This Row],[Weathersit]]=1, "BAD", IF(Table8[[#This Row],[Weathersit]]=2, "MODERATE", IF(Table8[[#This Row],[Weathersit]]=3, "GOOD")))</f>
        <v>BAD</v>
      </c>
      <c r="H325" s="64">
        <v>22</v>
      </c>
      <c r="I325" s="65" t="str">
        <f>IF(Table8[[#This Row],[Temp]]&lt;11, "COLD", IF(Table8[[#This Row],[Temp]]&lt;=25, "COMFORTABLE", "WARM"))</f>
        <v>COMFORTABLE</v>
      </c>
      <c r="J325" s="64">
        <v>0.19700000000000001</v>
      </c>
      <c r="K325" s="64">
        <v>0.41</v>
      </c>
      <c r="L325" s="66">
        <v>38.81</v>
      </c>
      <c r="M325" s="75" t="s">
        <v>84</v>
      </c>
      <c r="N325" s="64">
        <v>3</v>
      </c>
      <c r="O325" s="64">
        <v>39</v>
      </c>
      <c r="P325" s="64">
        <v>42</v>
      </c>
      <c r="Q325" s="64"/>
      <c r="R325" s="65" t="str">
        <f t="shared" si="9"/>
        <v>Week 2</v>
      </c>
      <c r="S325" s="65" t="str">
        <f>TEXT(Table8[[#This Row],[Date Day]],"mmm,YYYY")</f>
        <v>Jan,2011</v>
      </c>
    </row>
    <row r="326" spans="1:19" ht="15.6" x14ac:dyDescent="0.3">
      <c r="A326" s="62">
        <v>293</v>
      </c>
      <c r="B326" s="63">
        <v>40556</v>
      </c>
      <c r="C326" s="64">
        <v>15</v>
      </c>
      <c r="D326" s="64" t="b">
        <f>IF(COUNTIF(AU$36:AU$52,Table8[[#This Row],[Date Day]]) &gt; 0, TRUE, FALSE)</f>
        <v>0</v>
      </c>
      <c r="E326" s="64">
        <f t="shared" si="8"/>
        <v>4</v>
      </c>
      <c r="F326" s="64">
        <v>1</v>
      </c>
      <c r="G326" s="65" t="str">
        <f>IF(Table8[[#This Row],[Weathersit]]=1, "BAD", IF(Table8[[#This Row],[Weathersit]]=2, "MODERATE", IF(Table8[[#This Row],[Weathersit]]=3, "GOOD")))</f>
        <v>BAD</v>
      </c>
      <c r="H326" s="64">
        <v>24</v>
      </c>
      <c r="I326" s="65" t="str">
        <f>IF(Table8[[#This Row],[Temp]]&lt;11, "COLD", IF(Table8[[#This Row],[Temp]]&lt;=25, "COMFORTABLE", "WARM"))</f>
        <v>COMFORTABLE</v>
      </c>
      <c r="J326" s="64">
        <v>0.21210000000000001</v>
      </c>
      <c r="K326" s="64">
        <v>0.38</v>
      </c>
      <c r="L326" s="66">
        <v>29.849999999999998</v>
      </c>
      <c r="M326" s="75" t="s">
        <v>81</v>
      </c>
      <c r="N326" s="64">
        <v>5</v>
      </c>
      <c r="O326" s="64">
        <v>55</v>
      </c>
      <c r="P326" s="64">
        <v>60</v>
      </c>
      <c r="Q326" s="64"/>
      <c r="R326" s="65" t="str">
        <f t="shared" si="9"/>
        <v>Week 2</v>
      </c>
      <c r="S326" s="65" t="str">
        <f>TEXT(Table8[[#This Row],[Date Day]],"mmm,YYYY")</f>
        <v>Jan,2011</v>
      </c>
    </row>
    <row r="327" spans="1:19" ht="15.6" x14ac:dyDescent="0.3">
      <c r="A327" s="62">
        <v>294</v>
      </c>
      <c r="B327" s="63">
        <v>40556</v>
      </c>
      <c r="C327" s="64">
        <v>16</v>
      </c>
      <c r="D327" s="64" t="b">
        <f>IF(COUNTIF(AU$36:AU$52,Table8[[#This Row],[Date Day]]) &gt; 0, TRUE, FALSE)</f>
        <v>0</v>
      </c>
      <c r="E327" s="64">
        <f t="shared" si="8"/>
        <v>4</v>
      </c>
      <c r="F327" s="64">
        <v>1</v>
      </c>
      <c r="G327" s="65" t="str">
        <f>IF(Table8[[#This Row],[Weathersit]]=1, "BAD", IF(Table8[[#This Row],[Weathersit]]=2, "MODERATE", IF(Table8[[#This Row],[Weathersit]]=3, "GOOD")))</f>
        <v>BAD</v>
      </c>
      <c r="H327" s="64">
        <v>24</v>
      </c>
      <c r="I327" s="65" t="str">
        <f>IF(Table8[[#This Row],[Temp]]&lt;11, "COLD", IF(Table8[[#This Row],[Temp]]&lt;=25, "COMFORTABLE", "WARM"))</f>
        <v>COMFORTABLE</v>
      </c>
      <c r="J327" s="64">
        <v>0.21210000000000001</v>
      </c>
      <c r="K327" s="64">
        <v>0.38</v>
      </c>
      <c r="L327" s="66">
        <v>35.82</v>
      </c>
      <c r="M327" s="75" t="s">
        <v>84</v>
      </c>
      <c r="N327" s="64">
        <v>2</v>
      </c>
      <c r="O327" s="64">
        <v>76</v>
      </c>
      <c r="P327" s="64">
        <v>78</v>
      </c>
      <c r="Q327" s="64"/>
      <c r="R327" s="65" t="str">
        <f t="shared" si="9"/>
        <v>Week 2</v>
      </c>
      <c r="S327" s="65" t="str">
        <f>TEXT(Table8[[#This Row],[Date Day]],"mmm,YYYY")</f>
        <v>Jan,2011</v>
      </c>
    </row>
    <row r="328" spans="1:19" ht="15.6" x14ac:dyDescent="0.3">
      <c r="A328" s="62">
        <v>295</v>
      </c>
      <c r="B328" s="63">
        <v>40556</v>
      </c>
      <c r="C328" s="64">
        <v>17</v>
      </c>
      <c r="D328" s="64" t="b">
        <f>IF(COUNTIF(AU$36:AU$52,Table8[[#This Row],[Date Day]]) &gt; 0, TRUE, FALSE)</f>
        <v>0</v>
      </c>
      <c r="E328" s="64">
        <f t="shared" si="8"/>
        <v>4</v>
      </c>
      <c r="F328" s="64">
        <v>1</v>
      </c>
      <c r="G328" s="65" t="str">
        <f>IF(Table8[[#This Row],[Weathersit]]=1, "BAD", IF(Table8[[#This Row],[Weathersit]]=2, "MODERATE", IF(Table8[[#This Row],[Weathersit]]=3, "GOOD")))</f>
        <v>BAD</v>
      </c>
      <c r="H328" s="64">
        <v>20</v>
      </c>
      <c r="I328" s="65" t="str">
        <f>IF(Table8[[#This Row],[Temp]]&lt;11, "COLD", IF(Table8[[#This Row],[Temp]]&lt;=25, "COMFORTABLE", "WARM"))</f>
        <v>COMFORTABLE</v>
      </c>
      <c r="J328" s="64">
        <v>0.18179999999999999</v>
      </c>
      <c r="K328" s="64">
        <v>0.4</v>
      </c>
      <c r="L328" s="66">
        <v>28.360000000000003</v>
      </c>
      <c r="M328" s="75" t="s">
        <v>81</v>
      </c>
      <c r="N328" s="64">
        <v>4</v>
      </c>
      <c r="O328" s="64">
        <v>158</v>
      </c>
      <c r="P328" s="64">
        <v>162</v>
      </c>
      <c r="Q328" s="64"/>
      <c r="R328" s="65" t="str">
        <f t="shared" si="9"/>
        <v>Week 2</v>
      </c>
      <c r="S328" s="65" t="str">
        <f>TEXT(Table8[[#This Row],[Date Day]],"mmm,YYYY")</f>
        <v>Jan,2011</v>
      </c>
    </row>
    <row r="329" spans="1:19" ht="15.6" x14ac:dyDescent="0.3">
      <c r="A329" s="62">
        <v>296</v>
      </c>
      <c r="B329" s="63">
        <v>40556</v>
      </c>
      <c r="C329" s="64">
        <v>18</v>
      </c>
      <c r="D329" s="64" t="b">
        <f>IF(COUNTIF(AU$36:AU$52,Table8[[#This Row],[Date Day]]) &gt; 0, TRUE, FALSE)</f>
        <v>0</v>
      </c>
      <c r="E329" s="64">
        <f t="shared" si="8"/>
        <v>4</v>
      </c>
      <c r="F329" s="64">
        <v>1</v>
      </c>
      <c r="G329" s="65" t="str">
        <f>IF(Table8[[#This Row],[Weathersit]]=1, "BAD", IF(Table8[[#This Row],[Weathersit]]=2, "MODERATE", IF(Table8[[#This Row],[Weathersit]]=3, "GOOD")))</f>
        <v>BAD</v>
      </c>
      <c r="H329" s="64">
        <v>20</v>
      </c>
      <c r="I329" s="65" t="str">
        <f>IF(Table8[[#This Row],[Temp]]&lt;11, "COLD", IF(Table8[[#This Row],[Temp]]&lt;=25, "COMFORTABLE", "WARM"))</f>
        <v>COMFORTABLE</v>
      </c>
      <c r="J329" s="64">
        <v>0.18179999999999999</v>
      </c>
      <c r="K329" s="64">
        <v>0.4</v>
      </c>
      <c r="L329" s="66">
        <v>32.840000000000003</v>
      </c>
      <c r="M329" s="75" t="s">
        <v>84</v>
      </c>
      <c r="N329" s="64">
        <v>3</v>
      </c>
      <c r="O329" s="64">
        <v>141</v>
      </c>
      <c r="P329" s="64">
        <v>144</v>
      </c>
      <c r="Q329" s="64"/>
      <c r="R329" s="65" t="str">
        <f t="shared" si="9"/>
        <v>Week 2</v>
      </c>
      <c r="S329" s="65" t="str">
        <f>TEXT(Table8[[#This Row],[Date Day]],"mmm,YYYY")</f>
        <v>Jan,2011</v>
      </c>
    </row>
    <row r="330" spans="1:19" ht="15.6" x14ac:dyDescent="0.3">
      <c r="A330" s="62">
        <v>297</v>
      </c>
      <c r="B330" s="63">
        <v>40556</v>
      </c>
      <c r="C330" s="64">
        <v>19</v>
      </c>
      <c r="D330" s="64" t="b">
        <f>IF(COUNTIF(AU$36:AU$52,Table8[[#This Row],[Date Day]]) &gt; 0, TRUE, FALSE)</f>
        <v>0</v>
      </c>
      <c r="E330" s="64">
        <f t="shared" si="8"/>
        <v>4</v>
      </c>
      <c r="F330" s="64">
        <v>1</v>
      </c>
      <c r="G330" s="65" t="str">
        <f>IF(Table8[[#This Row],[Weathersit]]=1, "BAD", IF(Table8[[#This Row],[Weathersit]]=2, "MODERATE", IF(Table8[[#This Row],[Weathersit]]=3, "GOOD")))</f>
        <v>BAD</v>
      </c>
      <c r="H330" s="64">
        <v>16</v>
      </c>
      <c r="I330" s="65" t="str">
        <f>IF(Table8[[#This Row],[Temp]]&lt;11, "COLD", IF(Table8[[#This Row],[Temp]]&lt;=25, "COMFORTABLE", "WARM"))</f>
        <v>COMFORTABLE</v>
      </c>
      <c r="J330" s="64">
        <v>0.1515</v>
      </c>
      <c r="K330" s="64">
        <v>0.47</v>
      </c>
      <c r="L330" s="66">
        <v>25.369999999999997</v>
      </c>
      <c r="M330" s="75" t="s">
        <v>81</v>
      </c>
      <c r="N330" s="64">
        <v>1</v>
      </c>
      <c r="O330" s="64">
        <v>98</v>
      </c>
      <c r="P330" s="64">
        <v>99</v>
      </c>
      <c r="Q330" s="64"/>
      <c r="R330" s="65" t="str">
        <f t="shared" si="9"/>
        <v>Week 2</v>
      </c>
      <c r="S330" s="65" t="str">
        <f>TEXT(Table8[[#This Row],[Date Day]],"mmm,YYYY")</f>
        <v>Jan,2011</v>
      </c>
    </row>
    <row r="331" spans="1:19" ht="15.6" x14ac:dyDescent="0.3">
      <c r="A331" s="62">
        <v>298</v>
      </c>
      <c r="B331" s="63">
        <v>40556</v>
      </c>
      <c r="C331" s="64">
        <v>20</v>
      </c>
      <c r="D331" s="64" t="b">
        <f>IF(COUNTIF(AU$36:AU$52,Table8[[#This Row],[Date Day]]) &gt; 0, TRUE, FALSE)</f>
        <v>0</v>
      </c>
      <c r="E331" s="64">
        <f t="shared" si="8"/>
        <v>4</v>
      </c>
      <c r="F331" s="64">
        <v>1</v>
      </c>
      <c r="G331" s="65" t="str">
        <f>IF(Table8[[#This Row],[Weathersit]]=1, "BAD", IF(Table8[[#This Row],[Weathersit]]=2, "MODERATE", IF(Table8[[#This Row],[Weathersit]]=3, "GOOD")))</f>
        <v>BAD</v>
      </c>
      <c r="H331" s="64">
        <v>16</v>
      </c>
      <c r="I331" s="65" t="str">
        <f>IF(Table8[[#This Row],[Temp]]&lt;11, "COLD", IF(Table8[[#This Row],[Temp]]&lt;=25, "COMFORTABLE", "WARM"))</f>
        <v>COMFORTABLE</v>
      </c>
      <c r="J331" s="64">
        <v>0.1515</v>
      </c>
      <c r="K331" s="64">
        <v>0.47</v>
      </c>
      <c r="L331" s="66">
        <v>22.39</v>
      </c>
      <c r="M331" s="75" t="s">
        <v>81</v>
      </c>
      <c r="N331" s="64">
        <v>0</v>
      </c>
      <c r="O331" s="64">
        <v>64</v>
      </c>
      <c r="P331" s="64">
        <v>64</v>
      </c>
      <c r="Q331" s="64"/>
      <c r="R331" s="65" t="str">
        <f t="shared" si="9"/>
        <v>Week 2</v>
      </c>
      <c r="S331" s="65" t="str">
        <f>TEXT(Table8[[#This Row],[Date Day]],"mmm,YYYY")</f>
        <v>Jan,2011</v>
      </c>
    </row>
    <row r="332" spans="1:19" ht="15.6" x14ac:dyDescent="0.3">
      <c r="A332" s="62">
        <v>299</v>
      </c>
      <c r="B332" s="63">
        <v>40556</v>
      </c>
      <c r="C332" s="64">
        <v>21</v>
      </c>
      <c r="D332" s="64" t="b">
        <f>IF(COUNTIF(AU$36:AU$52,Table8[[#This Row],[Date Day]]) &gt; 0, TRUE, FALSE)</f>
        <v>0</v>
      </c>
      <c r="E332" s="64">
        <f t="shared" si="8"/>
        <v>4</v>
      </c>
      <c r="F332" s="64">
        <v>1</v>
      </c>
      <c r="G332" s="65" t="str">
        <f>IF(Table8[[#This Row],[Weathersit]]=1, "BAD", IF(Table8[[#This Row],[Weathersit]]=2, "MODERATE", IF(Table8[[#This Row],[Weathersit]]=3, "GOOD")))</f>
        <v>BAD</v>
      </c>
      <c r="H332" s="64">
        <v>14.000000000000002</v>
      </c>
      <c r="I332" s="65" t="str">
        <f>IF(Table8[[#This Row],[Temp]]&lt;11, "COLD", IF(Table8[[#This Row],[Temp]]&lt;=25, "COMFORTABLE", "WARM"))</f>
        <v>COMFORTABLE</v>
      </c>
      <c r="J332" s="64">
        <v>0.1212</v>
      </c>
      <c r="K332" s="64">
        <v>0.46</v>
      </c>
      <c r="L332" s="66">
        <v>29.849999999999998</v>
      </c>
      <c r="M332" s="75" t="s">
        <v>81</v>
      </c>
      <c r="N332" s="64">
        <v>0</v>
      </c>
      <c r="O332" s="64">
        <v>40</v>
      </c>
      <c r="P332" s="64">
        <v>40</v>
      </c>
      <c r="Q332" s="64"/>
      <c r="R332" s="65" t="str">
        <f t="shared" si="9"/>
        <v>Week 2</v>
      </c>
      <c r="S332" s="65" t="str">
        <f>TEXT(Table8[[#This Row],[Date Day]],"mmm,YYYY")</f>
        <v>Jan,2011</v>
      </c>
    </row>
    <row r="333" spans="1:19" ht="15.6" x14ac:dyDescent="0.3">
      <c r="A333" s="62">
        <v>300</v>
      </c>
      <c r="B333" s="63">
        <v>40556</v>
      </c>
      <c r="C333" s="64">
        <v>22</v>
      </c>
      <c r="D333" s="64" t="b">
        <f>IF(COUNTIF(AU$36:AU$52,Table8[[#This Row],[Date Day]]) &gt; 0, TRUE, FALSE)</f>
        <v>0</v>
      </c>
      <c r="E333" s="64">
        <f t="shared" si="8"/>
        <v>4</v>
      </c>
      <c r="F333" s="64">
        <v>1</v>
      </c>
      <c r="G333" s="65" t="str">
        <f>IF(Table8[[#This Row],[Weathersit]]=1, "BAD", IF(Table8[[#This Row],[Weathersit]]=2, "MODERATE", IF(Table8[[#This Row],[Weathersit]]=3, "GOOD")))</f>
        <v>BAD</v>
      </c>
      <c r="H333" s="64">
        <v>14.000000000000002</v>
      </c>
      <c r="I333" s="65" t="str">
        <f>IF(Table8[[#This Row],[Temp]]&lt;11, "COLD", IF(Table8[[#This Row],[Temp]]&lt;=25, "COMFORTABLE", "WARM"))</f>
        <v>COMFORTABLE</v>
      </c>
      <c r="J333" s="64">
        <v>0.1212</v>
      </c>
      <c r="K333" s="64">
        <v>0.46</v>
      </c>
      <c r="L333" s="66">
        <v>32.840000000000003</v>
      </c>
      <c r="M333" s="75" t="s">
        <v>84</v>
      </c>
      <c r="N333" s="64">
        <v>0</v>
      </c>
      <c r="O333" s="64">
        <v>30</v>
      </c>
      <c r="P333" s="64">
        <v>30</v>
      </c>
      <c r="Q333" s="64"/>
      <c r="R333" s="65" t="str">
        <f t="shared" si="9"/>
        <v>Week 2</v>
      </c>
      <c r="S333" s="65" t="str">
        <f>TEXT(Table8[[#This Row],[Date Day]],"mmm,YYYY")</f>
        <v>Jan,2011</v>
      </c>
    </row>
    <row r="334" spans="1:19" ht="15.6" x14ac:dyDescent="0.3">
      <c r="A334" s="62">
        <v>301</v>
      </c>
      <c r="B334" s="63">
        <v>40556</v>
      </c>
      <c r="C334" s="64">
        <v>23</v>
      </c>
      <c r="D334" s="64" t="b">
        <f>IF(COUNTIF(AU$36:AU$52,Table8[[#This Row],[Date Day]]) &gt; 0, TRUE, FALSE)</f>
        <v>0</v>
      </c>
      <c r="E334" s="64">
        <f t="shared" si="8"/>
        <v>4</v>
      </c>
      <c r="F334" s="64">
        <v>1</v>
      </c>
      <c r="G334" s="65" t="str">
        <f>IF(Table8[[#This Row],[Weathersit]]=1, "BAD", IF(Table8[[#This Row],[Weathersit]]=2, "MODERATE", IF(Table8[[#This Row],[Weathersit]]=3, "GOOD")))</f>
        <v>BAD</v>
      </c>
      <c r="H334" s="64">
        <v>12</v>
      </c>
      <c r="I334" s="65" t="str">
        <f>IF(Table8[[#This Row],[Temp]]&lt;11, "COLD", IF(Table8[[#This Row],[Temp]]&lt;=25, "COMFORTABLE", "WARM"))</f>
        <v>COMFORTABLE</v>
      </c>
      <c r="J334" s="64">
        <v>0.13639999999999999</v>
      </c>
      <c r="K334" s="64">
        <v>0.5</v>
      </c>
      <c r="L334" s="66">
        <v>19.400000000000002</v>
      </c>
      <c r="M334" s="75" t="s">
        <v>80</v>
      </c>
      <c r="N334" s="64">
        <v>1</v>
      </c>
      <c r="O334" s="64">
        <v>14</v>
      </c>
      <c r="P334" s="64">
        <v>15</v>
      </c>
      <c r="Q334" s="64"/>
      <c r="R334" s="65" t="str">
        <f t="shared" si="9"/>
        <v>Week 2</v>
      </c>
      <c r="S334" s="65" t="str">
        <f>TEXT(Table8[[#This Row],[Date Day]],"mmm,YYYY")</f>
        <v>Jan,2011</v>
      </c>
    </row>
    <row r="335" spans="1:19" ht="15.6" x14ac:dyDescent="0.3">
      <c r="A335" s="62">
        <v>302</v>
      </c>
      <c r="B335" s="63">
        <v>40557</v>
      </c>
      <c r="C335" s="64">
        <v>0</v>
      </c>
      <c r="D335" s="64" t="b">
        <f>IF(COUNTIF(AU$36:AU$52,Table8[[#This Row],[Date Day]]) &gt; 0, TRUE, FALSE)</f>
        <v>0</v>
      </c>
      <c r="E335" s="64">
        <f t="shared" si="8"/>
        <v>5</v>
      </c>
      <c r="F335" s="64">
        <v>1</v>
      </c>
      <c r="G335" s="65" t="str">
        <f>IF(Table8[[#This Row],[Weathersit]]=1, "BAD", IF(Table8[[#This Row],[Weathersit]]=2, "MODERATE", IF(Table8[[#This Row],[Weathersit]]=3, "GOOD")))</f>
        <v>BAD</v>
      </c>
      <c r="H335" s="64">
        <v>12</v>
      </c>
      <c r="I335" s="65" t="str">
        <f>IF(Table8[[#This Row],[Temp]]&lt;11, "COLD", IF(Table8[[#This Row],[Temp]]&lt;=25, "COMFORTABLE", "WARM"))</f>
        <v>COMFORTABLE</v>
      </c>
      <c r="J335" s="64">
        <v>0.13639999999999999</v>
      </c>
      <c r="K335" s="64">
        <v>0.5</v>
      </c>
      <c r="L335" s="66">
        <v>19.400000000000002</v>
      </c>
      <c r="M335" s="75" t="s">
        <v>80</v>
      </c>
      <c r="N335" s="64">
        <v>0</v>
      </c>
      <c r="O335" s="64">
        <v>14</v>
      </c>
      <c r="P335" s="64">
        <v>14</v>
      </c>
      <c r="Q335" s="64"/>
      <c r="R335" s="65" t="str">
        <f t="shared" si="9"/>
        <v>Week 2</v>
      </c>
      <c r="S335" s="65" t="str">
        <f>TEXT(Table8[[#This Row],[Date Day]],"mmm,YYYY")</f>
        <v>Jan,2011</v>
      </c>
    </row>
    <row r="336" spans="1:19" ht="15.6" x14ac:dyDescent="0.3">
      <c r="A336" s="62">
        <v>303</v>
      </c>
      <c r="B336" s="63">
        <v>40557</v>
      </c>
      <c r="C336" s="64">
        <v>1</v>
      </c>
      <c r="D336" s="64" t="b">
        <f>IF(COUNTIF(AU$36:AU$52,Table8[[#This Row],[Date Day]]) &gt; 0, TRUE, FALSE)</f>
        <v>0</v>
      </c>
      <c r="E336" s="64">
        <f t="shared" si="8"/>
        <v>5</v>
      </c>
      <c r="F336" s="64">
        <v>1</v>
      </c>
      <c r="G336" s="65" t="str">
        <f>IF(Table8[[#This Row],[Weathersit]]=1, "BAD", IF(Table8[[#This Row],[Weathersit]]=2, "MODERATE", IF(Table8[[#This Row],[Weathersit]]=3, "GOOD")))</f>
        <v>BAD</v>
      </c>
      <c r="H336" s="64">
        <v>10</v>
      </c>
      <c r="I336" s="65" t="str">
        <f>IF(Table8[[#This Row],[Temp]]&lt;11, "COLD", IF(Table8[[#This Row],[Temp]]&lt;=25, "COMFORTABLE", "WARM"))</f>
        <v>COLD</v>
      </c>
      <c r="J336" s="64">
        <v>0.1212</v>
      </c>
      <c r="K336" s="64">
        <v>0.54</v>
      </c>
      <c r="L336" s="66">
        <v>16.420000000000002</v>
      </c>
      <c r="M336" s="75" t="s">
        <v>80</v>
      </c>
      <c r="N336" s="64">
        <v>0</v>
      </c>
      <c r="O336" s="64">
        <v>5</v>
      </c>
      <c r="P336" s="64">
        <v>5</v>
      </c>
      <c r="Q336" s="64"/>
      <c r="R336" s="65" t="str">
        <f t="shared" si="9"/>
        <v>Week 2</v>
      </c>
      <c r="S336" s="65" t="str">
        <f>TEXT(Table8[[#This Row],[Date Day]],"mmm,YYYY")</f>
        <v>Jan,2011</v>
      </c>
    </row>
    <row r="337" spans="1:19" ht="15.6" x14ac:dyDescent="0.3">
      <c r="A337" s="62">
        <v>304</v>
      </c>
      <c r="B337" s="63">
        <v>40557</v>
      </c>
      <c r="C337" s="64">
        <v>2</v>
      </c>
      <c r="D337" s="64" t="b">
        <f>IF(COUNTIF(AU$36:AU$52,Table8[[#This Row],[Date Day]]) &gt; 0, TRUE, FALSE)</f>
        <v>0</v>
      </c>
      <c r="E337" s="64">
        <f t="shared" si="8"/>
        <v>5</v>
      </c>
      <c r="F337" s="64">
        <v>1</v>
      </c>
      <c r="G337" s="65" t="str">
        <f>IF(Table8[[#This Row],[Weathersit]]=1, "BAD", IF(Table8[[#This Row],[Weathersit]]=2, "MODERATE", IF(Table8[[#This Row],[Weathersit]]=3, "GOOD")))</f>
        <v>BAD</v>
      </c>
      <c r="H337" s="64">
        <v>10</v>
      </c>
      <c r="I337" s="65" t="str">
        <f>IF(Table8[[#This Row],[Temp]]&lt;11, "COLD", IF(Table8[[#This Row],[Temp]]&lt;=25, "COMFORTABLE", "WARM"))</f>
        <v>COLD</v>
      </c>
      <c r="J337" s="64">
        <v>0.1212</v>
      </c>
      <c r="K337" s="64">
        <v>0.54</v>
      </c>
      <c r="L337" s="66">
        <v>13.43</v>
      </c>
      <c r="M337" s="75" t="s">
        <v>80</v>
      </c>
      <c r="N337" s="64">
        <v>0</v>
      </c>
      <c r="O337" s="64">
        <v>1</v>
      </c>
      <c r="P337" s="64">
        <v>1</v>
      </c>
      <c r="Q337" s="64"/>
      <c r="R337" s="65" t="str">
        <f t="shared" si="9"/>
        <v>Week 2</v>
      </c>
      <c r="S337" s="65" t="str">
        <f>TEXT(Table8[[#This Row],[Date Day]],"mmm,YYYY")</f>
        <v>Jan,2011</v>
      </c>
    </row>
    <row r="338" spans="1:19" ht="15.6" x14ac:dyDescent="0.3">
      <c r="A338" s="62">
        <v>305</v>
      </c>
      <c r="B338" s="63">
        <v>40557</v>
      </c>
      <c r="C338" s="64">
        <v>3</v>
      </c>
      <c r="D338" s="64" t="b">
        <f>IF(COUNTIF(AU$36:AU$52,Table8[[#This Row],[Date Day]]) &gt; 0, TRUE, FALSE)</f>
        <v>0</v>
      </c>
      <c r="E338" s="64">
        <f t="shared" si="8"/>
        <v>5</v>
      </c>
      <c r="F338" s="64">
        <v>1</v>
      </c>
      <c r="G338" s="65" t="str">
        <f>IF(Table8[[#This Row],[Weathersit]]=1, "BAD", IF(Table8[[#This Row],[Weathersit]]=2, "MODERATE", IF(Table8[[#This Row],[Weathersit]]=3, "GOOD")))</f>
        <v>BAD</v>
      </c>
      <c r="H338" s="64">
        <v>10</v>
      </c>
      <c r="I338" s="65" t="str">
        <f>IF(Table8[[#This Row],[Temp]]&lt;11, "COLD", IF(Table8[[#This Row],[Temp]]&lt;=25, "COMFORTABLE", "WARM"))</f>
        <v>COLD</v>
      </c>
      <c r="J338" s="64">
        <v>0.13639999999999999</v>
      </c>
      <c r="K338" s="64">
        <v>0.54</v>
      </c>
      <c r="L338" s="66">
        <v>10.45</v>
      </c>
      <c r="M338" s="75" t="s">
        <v>80</v>
      </c>
      <c r="N338" s="64">
        <v>0</v>
      </c>
      <c r="O338" s="64">
        <v>1</v>
      </c>
      <c r="P338" s="64">
        <v>1</v>
      </c>
      <c r="Q338" s="64"/>
      <c r="R338" s="65" t="str">
        <f t="shared" si="9"/>
        <v>Week 2</v>
      </c>
      <c r="S338" s="65" t="str">
        <f>TEXT(Table8[[#This Row],[Date Day]],"mmm,YYYY")</f>
        <v>Jan,2011</v>
      </c>
    </row>
    <row r="339" spans="1:19" ht="15.6" x14ac:dyDescent="0.3">
      <c r="A339" s="62">
        <v>306</v>
      </c>
      <c r="B339" s="63">
        <v>40557</v>
      </c>
      <c r="C339" s="64">
        <v>5</v>
      </c>
      <c r="D339" s="64" t="b">
        <f>IF(COUNTIF(AU$36:AU$52,Table8[[#This Row],[Date Day]]) &gt; 0, TRUE, FALSE)</f>
        <v>0</v>
      </c>
      <c r="E339" s="64">
        <f t="shared" si="8"/>
        <v>5</v>
      </c>
      <c r="F339" s="64">
        <v>1</v>
      </c>
      <c r="G339" s="65" t="str">
        <f>IF(Table8[[#This Row],[Weathersit]]=1, "BAD", IF(Table8[[#This Row],[Weathersit]]=2, "MODERATE", IF(Table8[[#This Row],[Weathersit]]=3, "GOOD")))</f>
        <v>BAD</v>
      </c>
      <c r="H339" s="64">
        <v>10</v>
      </c>
      <c r="I339" s="65" t="str">
        <f>IF(Table8[[#This Row],[Temp]]&lt;11, "COLD", IF(Table8[[#This Row],[Temp]]&lt;=25, "COMFORTABLE", "WARM"))</f>
        <v>COLD</v>
      </c>
      <c r="J339" s="64">
        <v>0.13639999999999999</v>
      </c>
      <c r="K339" s="64">
        <v>0.54</v>
      </c>
      <c r="L339" s="66">
        <v>8.9599999999999991</v>
      </c>
      <c r="M339" s="75" t="s">
        <v>80</v>
      </c>
      <c r="N339" s="64">
        <v>0</v>
      </c>
      <c r="O339" s="64">
        <v>8</v>
      </c>
      <c r="P339" s="64">
        <v>8</v>
      </c>
      <c r="Q339" s="64"/>
      <c r="R339" s="65" t="str">
        <f t="shared" si="9"/>
        <v>Week 2</v>
      </c>
      <c r="S339" s="65" t="str">
        <f>TEXT(Table8[[#This Row],[Date Day]],"mmm,YYYY")</f>
        <v>Jan,2011</v>
      </c>
    </row>
    <row r="340" spans="1:19" ht="15.6" x14ac:dyDescent="0.3">
      <c r="A340" s="62">
        <v>307</v>
      </c>
      <c r="B340" s="63">
        <v>40557</v>
      </c>
      <c r="C340" s="64">
        <v>6</v>
      </c>
      <c r="D340" s="64" t="b">
        <f>IF(COUNTIF(AU$36:AU$52,Table8[[#This Row],[Date Day]]) &gt; 0, TRUE, FALSE)</f>
        <v>0</v>
      </c>
      <c r="E340" s="64">
        <f t="shared" si="8"/>
        <v>5</v>
      </c>
      <c r="F340" s="64">
        <v>1</v>
      </c>
      <c r="G340" s="65" t="str">
        <f>IF(Table8[[#This Row],[Weathersit]]=1, "BAD", IF(Table8[[#This Row],[Weathersit]]=2, "MODERATE", IF(Table8[[#This Row],[Weathersit]]=3, "GOOD")))</f>
        <v>BAD</v>
      </c>
      <c r="H340" s="64">
        <v>10</v>
      </c>
      <c r="I340" s="65" t="str">
        <f>IF(Table8[[#This Row],[Temp]]&lt;11, "COLD", IF(Table8[[#This Row],[Temp]]&lt;=25, "COMFORTABLE", "WARM"))</f>
        <v>COLD</v>
      </c>
      <c r="J340" s="64">
        <v>0.18179999999999999</v>
      </c>
      <c r="K340" s="64">
        <v>0.54</v>
      </c>
      <c r="L340" s="66">
        <v>20.485098360655737</v>
      </c>
      <c r="M340" s="75" t="s">
        <v>81</v>
      </c>
      <c r="N340" s="64">
        <v>0</v>
      </c>
      <c r="O340" s="64">
        <v>17</v>
      </c>
      <c r="P340" s="64">
        <v>17</v>
      </c>
      <c r="Q340" s="64"/>
      <c r="R340" s="65" t="str">
        <f t="shared" si="9"/>
        <v>Week 2</v>
      </c>
      <c r="S340" s="65" t="str">
        <f>TEXT(Table8[[#This Row],[Date Day]],"mmm,YYYY")</f>
        <v>Jan,2011</v>
      </c>
    </row>
    <row r="341" spans="1:19" ht="15.6" x14ac:dyDescent="0.3">
      <c r="A341" s="62">
        <v>308</v>
      </c>
      <c r="B341" s="63">
        <v>40557</v>
      </c>
      <c r="C341" s="64">
        <v>7</v>
      </c>
      <c r="D341" s="64" t="b">
        <f>IF(COUNTIF(AU$36:AU$52,Table8[[#This Row],[Date Day]]) &gt; 0, TRUE, FALSE)</f>
        <v>0</v>
      </c>
      <c r="E341" s="64">
        <f t="shared" si="8"/>
        <v>5</v>
      </c>
      <c r="F341" s="64">
        <v>1</v>
      </c>
      <c r="G341" s="65" t="str">
        <f>IF(Table8[[#This Row],[Weathersit]]=1, "BAD", IF(Table8[[#This Row],[Weathersit]]=2, "MODERATE", IF(Table8[[#This Row],[Weathersit]]=3, "GOOD")))</f>
        <v>BAD</v>
      </c>
      <c r="H341" s="64">
        <v>10</v>
      </c>
      <c r="I341" s="65" t="str">
        <f>IF(Table8[[#This Row],[Temp]]&lt;11, "COLD", IF(Table8[[#This Row],[Temp]]&lt;=25, "COMFORTABLE", "WARM"))</f>
        <v>COLD</v>
      </c>
      <c r="J341" s="64">
        <v>0.1212</v>
      </c>
      <c r="K341" s="64">
        <v>0.74</v>
      </c>
      <c r="L341" s="66">
        <v>16.420000000000002</v>
      </c>
      <c r="M341" s="75" t="s">
        <v>80</v>
      </c>
      <c r="N341" s="64">
        <v>0</v>
      </c>
      <c r="O341" s="64">
        <v>70</v>
      </c>
      <c r="P341" s="64">
        <v>70</v>
      </c>
      <c r="Q341" s="64"/>
      <c r="R341" s="65" t="str">
        <f t="shared" si="9"/>
        <v>Week 2</v>
      </c>
      <c r="S341" s="65" t="str">
        <f>TEXT(Table8[[#This Row],[Date Day]],"mmm,YYYY")</f>
        <v>Jan,2011</v>
      </c>
    </row>
    <row r="342" spans="1:19" ht="15.6" x14ac:dyDescent="0.3">
      <c r="A342" s="62">
        <v>309</v>
      </c>
      <c r="B342" s="63">
        <v>40557</v>
      </c>
      <c r="C342" s="64">
        <v>8</v>
      </c>
      <c r="D342" s="64" t="b">
        <f>IF(COUNTIF(AU$36:AU$52,Table8[[#This Row],[Date Day]]) &gt; 0, TRUE, FALSE)</f>
        <v>0</v>
      </c>
      <c r="E342" s="64">
        <f t="shared" si="8"/>
        <v>5</v>
      </c>
      <c r="F342" s="64">
        <v>1</v>
      </c>
      <c r="G342" s="65" t="str">
        <f>IF(Table8[[#This Row],[Weathersit]]=1, "BAD", IF(Table8[[#This Row],[Weathersit]]=2, "MODERATE", IF(Table8[[#This Row],[Weathersit]]=3, "GOOD")))</f>
        <v>BAD</v>
      </c>
      <c r="H342" s="64">
        <v>12</v>
      </c>
      <c r="I342" s="65" t="str">
        <f>IF(Table8[[#This Row],[Temp]]&lt;11, "COLD", IF(Table8[[#This Row],[Temp]]&lt;=25, "COMFORTABLE", "WARM"))</f>
        <v>COMFORTABLE</v>
      </c>
      <c r="J342" s="64">
        <v>0.16669999999999999</v>
      </c>
      <c r="K342" s="64">
        <v>0.68</v>
      </c>
      <c r="L342" s="66">
        <v>20.485098360655737</v>
      </c>
      <c r="M342" s="75" t="s">
        <v>81</v>
      </c>
      <c r="N342" s="64">
        <v>2</v>
      </c>
      <c r="O342" s="64">
        <v>156</v>
      </c>
      <c r="P342" s="64">
        <v>158</v>
      </c>
      <c r="Q342" s="64"/>
      <c r="R342" s="65" t="str">
        <f t="shared" si="9"/>
        <v>Week 2</v>
      </c>
      <c r="S342" s="65" t="str">
        <f>TEXT(Table8[[#This Row],[Date Day]],"mmm,YYYY")</f>
        <v>Jan,2011</v>
      </c>
    </row>
    <row r="343" spans="1:19" ht="15.6" x14ac:dyDescent="0.3">
      <c r="A343" s="62">
        <v>310</v>
      </c>
      <c r="B343" s="63">
        <v>40557</v>
      </c>
      <c r="C343" s="64">
        <v>9</v>
      </c>
      <c r="D343" s="64" t="b">
        <f>IF(COUNTIF(AU$36:AU$52,Table8[[#This Row],[Date Day]]) &gt; 0, TRUE, FALSE)</f>
        <v>0</v>
      </c>
      <c r="E343" s="64">
        <f t="shared" si="8"/>
        <v>5</v>
      </c>
      <c r="F343" s="64">
        <v>1</v>
      </c>
      <c r="G343" s="65" t="str">
        <f>IF(Table8[[#This Row],[Weathersit]]=1, "BAD", IF(Table8[[#This Row],[Weathersit]]=2, "MODERATE", IF(Table8[[#This Row],[Weathersit]]=3, "GOOD")))</f>
        <v>BAD</v>
      </c>
      <c r="H343" s="64">
        <v>14.000000000000002</v>
      </c>
      <c r="I343" s="65" t="str">
        <f>IF(Table8[[#This Row],[Temp]]&lt;11, "COLD", IF(Table8[[#This Row],[Temp]]&lt;=25, "COMFORTABLE", "WARM"))</f>
        <v>COMFORTABLE</v>
      </c>
      <c r="J343" s="64">
        <v>0.1515</v>
      </c>
      <c r="K343" s="64">
        <v>0.69</v>
      </c>
      <c r="L343" s="66">
        <v>13.43</v>
      </c>
      <c r="M343" s="75" t="s">
        <v>80</v>
      </c>
      <c r="N343" s="64">
        <v>0</v>
      </c>
      <c r="O343" s="64">
        <v>117</v>
      </c>
      <c r="P343" s="64">
        <v>117</v>
      </c>
      <c r="Q343" s="64"/>
      <c r="R343" s="65" t="str">
        <f t="shared" si="9"/>
        <v>Week 2</v>
      </c>
      <c r="S343" s="65" t="str">
        <f>TEXT(Table8[[#This Row],[Date Day]],"mmm,YYYY")</f>
        <v>Jan,2011</v>
      </c>
    </row>
    <row r="344" spans="1:19" ht="15.6" x14ac:dyDescent="0.3">
      <c r="A344" s="62">
        <v>311</v>
      </c>
      <c r="B344" s="63">
        <v>40557</v>
      </c>
      <c r="C344" s="64">
        <v>10</v>
      </c>
      <c r="D344" s="64" t="b">
        <f>IF(COUNTIF(AU$36:AU$52,Table8[[#This Row],[Date Day]]) &gt; 0, TRUE, FALSE)</f>
        <v>0</v>
      </c>
      <c r="E344" s="64">
        <f t="shared" si="8"/>
        <v>5</v>
      </c>
      <c r="F344" s="64">
        <v>1</v>
      </c>
      <c r="G344" s="65" t="str">
        <f>IF(Table8[[#This Row],[Weathersit]]=1, "BAD", IF(Table8[[#This Row],[Weathersit]]=2, "MODERATE", IF(Table8[[#This Row],[Weathersit]]=3, "GOOD")))</f>
        <v>BAD</v>
      </c>
      <c r="H344" s="64">
        <v>18</v>
      </c>
      <c r="I344" s="65" t="str">
        <f>IF(Table8[[#This Row],[Temp]]&lt;11, "COLD", IF(Table8[[#This Row],[Temp]]&lt;=25, "COMFORTABLE", "WARM"))</f>
        <v>COMFORTABLE</v>
      </c>
      <c r="J344" s="64">
        <v>0.18179999999999999</v>
      </c>
      <c r="K344" s="64">
        <v>0.55000000000000004</v>
      </c>
      <c r="L344" s="66">
        <v>19.400000000000002</v>
      </c>
      <c r="M344" s="75" t="s">
        <v>80</v>
      </c>
      <c r="N344" s="64">
        <v>4</v>
      </c>
      <c r="O344" s="64">
        <v>40</v>
      </c>
      <c r="P344" s="64">
        <v>44</v>
      </c>
      <c r="Q344" s="64"/>
      <c r="R344" s="65" t="str">
        <f t="shared" si="9"/>
        <v>Week 2</v>
      </c>
      <c r="S344" s="65" t="str">
        <f>TEXT(Table8[[#This Row],[Date Day]],"mmm,YYYY")</f>
        <v>Jan,2011</v>
      </c>
    </row>
    <row r="345" spans="1:19" ht="15.6" x14ac:dyDescent="0.3">
      <c r="A345" s="62">
        <v>312</v>
      </c>
      <c r="B345" s="63">
        <v>40557</v>
      </c>
      <c r="C345" s="64">
        <v>11</v>
      </c>
      <c r="D345" s="64" t="b">
        <f>IF(COUNTIF(AU$36:AU$52,Table8[[#This Row],[Date Day]]) &gt; 0, TRUE, FALSE)</f>
        <v>0</v>
      </c>
      <c r="E345" s="64">
        <f t="shared" si="8"/>
        <v>5</v>
      </c>
      <c r="F345" s="64">
        <v>1</v>
      </c>
      <c r="G345" s="65" t="str">
        <f>IF(Table8[[#This Row],[Weathersit]]=1, "BAD", IF(Table8[[#This Row],[Weathersit]]=2, "MODERATE", IF(Table8[[#This Row],[Weathersit]]=3, "GOOD")))</f>
        <v>BAD</v>
      </c>
      <c r="H345" s="64">
        <v>18</v>
      </c>
      <c r="I345" s="65" t="str">
        <f>IF(Table8[[#This Row],[Temp]]&lt;11, "COLD", IF(Table8[[#This Row],[Temp]]&lt;=25, "COMFORTABLE", "WARM"))</f>
        <v>COMFORTABLE</v>
      </c>
      <c r="J345" s="64">
        <v>0.16669999999999999</v>
      </c>
      <c r="K345" s="64">
        <v>0.51</v>
      </c>
      <c r="L345" s="66">
        <v>28.360000000000003</v>
      </c>
      <c r="M345" s="75" t="s">
        <v>81</v>
      </c>
      <c r="N345" s="64">
        <v>6</v>
      </c>
      <c r="O345" s="64">
        <v>47</v>
      </c>
      <c r="P345" s="64">
        <v>53</v>
      </c>
      <c r="Q345" s="64"/>
      <c r="R345" s="65" t="str">
        <f t="shared" si="9"/>
        <v>Week 2</v>
      </c>
      <c r="S345" s="65" t="str">
        <f>TEXT(Table8[[#This Row],[Date Day]],"mmm,YYYY")</f>
        <v>Jan,2011</v>
      </c>
    </row>
    <row r="346" spans="1:19" ht="15.6" x14ac:dyDescent="0.3">
      <c r="A346" s="62">
        <v>313</v>
      </c>
      <c r="B346" s="63">
        <v>40557</v>
      </c>
      <c r="C346" s="64">
        <v>12</v>
      </c>
      <c r="D346" s="64" t="b">
        <f>IF(COUNTIF(AU$36:AU$52,Table8[[#This Row],[Date Day]]) &gt; 0, TRUE, FALSE)</f>
        <v>0</v>
      </c>
      <c r="E346" s="64">
        <f t="shared" si="8"/>
        <v>5</v>
      </c>
      <c r="F346" s="64">
        <v>1</v>
      </c>
      <c r="G346" s="65" t="str">
        <f>IF(Table8[[#This Row],[Weathersit]]=1, "BAD", IF(Table8[[#This Row],[Weathersit]]=2, "MODERATE", IF(Table8[[#This Row],[Weathersit]]=3, "GOOD")))</f>
        <v>BAD</v>
      </c>
      <c r="H346" s="64">
        <v>20</v>
      </c>
      <c r="I346" s="65" t="str">
        <f>IF(Table8[[#This Row],[Temp]]&lt;11, "COLD", IF(Table8[[#This Row],[Temp]]&lt;=25, "COMFORTABLE", "WARM"))</f>
        <v>COMFORTABLE</v>
      </c>
      <c r="J346" s="64">
        <v>0.19700000000000001</v>
      </c>
      <c r="K346" s="64">
        <v>0.44</v>
      </c>
      <c r="L346" s="66">
        <v>25.369999999999997</v>
      </c>
      <c r="M346" s="75" t="s">
        <v>81</v>
      </c>
      <c r="N346" s="64">
        <v>2</v>
      </c>
      <c r="O346" s="64">
        <v>59</v>
      </c>
      <c r="P346" s="64">
        <v>61</v>
      </c>
      <c r="Q346" s="64"/>
      <c r="R346" s="65" t="str">
        <f t="shared" si="9"/>
        <v>Week 2</v>
      </c>
      <c r="S346" s="65" t="str">
        <f>TEXT(Table8[[#This Row],[Date Day]],"mmm,YYYY")</f>
        <v>Jan,2011</v>
      </c>
    </row>
    <row r="347" spans="1:19" ht="15.6" x14ac:dyDescent="0.3">
      <c r="A347" s="62">
        <v>314</v>
      </c>
      <c r="B347" s="63">
        <v>40557</v>
      </c>
      <c r="C347" s="64">
        <v>13</v>
      </c>
      <c r="D347" s="64" t="b">
        <f>IF(COUNTIF(AU$36:AU$52,Table8[[#This Row],[Date Day]]) &gt; 0, TRUE, FALSE)</f>
        <v>0</v>
      </c>
      <c r="E347" s="64">
        <f t="shared" si="8"/>
        <v>5</v>
      </c>
      <c r="F347" s="64">
        <v>1</v>
      </c>
      <c r="G347" s="65" t="str">
        <f>IF(Table8[[#This Row],[Weathersit]]=1, "BAD", IF(Table8[[#This Row],[Weathersit]]=2, "MODERATE", IF(Table8[[#This Row],[Weathersit]]=3, "GOOD")))</f>
        <v>BAD</v>
      </c>
      <c r="H347" s="64">
        <v>22</v>
      </c>
      <c r="I347" s="65" t="str">
        <f>IF(Table8[[#This Row],[Temp]]&lt;11, "COLD", IF(Table8[[#This Row],[Temp]]&lt;=25, "COMFORTABLE", "WARM"))</f>
        <v>COMFORTABLE</v>
      </c>
      <c r="J347" s="64">
        <v>0.19700000000000001</v>
      </c>
      <c r="K347" s="64">
        <v>0.37</v>
      </c>
      <c r="L347" s="66">
        <v>38.81</v>
      </c>
      <c r="M347" s="75" t="s">
        <v>84</v>
      </c>
      <c r="N347" s="64">
        <v>4</v>
      </c>
      <c r="O347" s="64">
        <v>73</v>
      </c>
      <c r="P347" s="64">
        <v>77</v>
      </c>
      <c r="Q347" s="64"/>
      <c r="R347" s="65" t="str">
        <f t="shared" si="9"/>
        <v>Week 2</v>
      </c>
      <c r="S347" s="65" t="str">
        <f>TEXT(Table8[[#This Row],[Date Day]],"mmm,YYYY")</f>
        <v>Jan,2011</v>
      </c>
    </row>
    <row r="348" spans="1:19" ht="15.6" x14ac:dyDescent="0.3">
      <c r="A348" s="62">
        <v>315</v>
      </c>
      <c r="B348" s="63">
        <v>40557</v>
      </c>
      <c r="C348" s="64">
        <v>14</v>
      </c>
      <c r="D348" s="64" t="b">
        <f>IF(COUNTIF(AU$36:AU$52,Table8[[#This Row],[Date Day]]) &gt; 0, TRUE, FALSE)</f>
        <v>0</v>
      </c>
      <c r="E348" s="64">
        <f t="shared" si="8"/>
        <v>5</v>
      </c>
      <c r="F348" s="64">
        <v>1</v>
      </c>
      <c r="G348" s="65" t="str">
        <f>IF(Table8[[#This Row],[Weathersit]]=1, "BAD", IF(Table8[[#This Row],[Weathersit]]=2, "MODERATE", IF(Table8[[#This Row],[Weathersit]]=3, "GOOD")))</f>
        <v>BAD</v>
      </c>
      <c r="H348" s="64">
        <v>22</v>
      </c>
      <c r="I348" s="65" t="str">
        <f>IF(Table8[[#This Row],[Temp]]&lt;11, "COLD", IF(Table8[[#This Row],[Temp]]&lt;=25, "COMFORTABLE", "WARM"))</f>
        <v>COMFORTABLE</v>
      </c>
      <c r="J348" s="64">
        <v>0.21210000000000001</v>
      </c>
      <c r="K348" s="64">
        <v>0.41</v>
      </c>
      <c r="L348" s="66">
        <v>28.360000000000003</v>
      </c>
      <c r="M348" s="75" t="s">
        <v>81</v>
      </c>
      <c r="N348" s="64">
        <v>5</v>
      </c>
      <c r="O348" s="64">
        <v>59</v>
      </c>
      <c r="P348" s="64">
        <v>64</v>
      </c>
      <c r="Q348" s="64"/>
      <c r="R348" s="65" t="str">
        <f t="shared" si="9"/>
        <v>Week 2</v>
      </c>
      <c r="S348" s="65" t="str">
        <f>TEXT(Table8[[#This Row],[Date Day]],"mmm,YYYY")</f>
        <v>Jan,2011</v>
      </c>
    </row>
    <row r="349" spans="1:19" ht="15.6" x14ac:dyDescent="0.3">
      <c r="A349" s="62">
        <v>316</v>
      </c>
      <c r="B349" s="63">
        <v>40557</v>
      </c>
      <c r="C349" s="64">
        <v>15</v>
      </c>
      <c r="D349" s="64" t="b">
        <f>IF(COUNTIF(AU$36:AU$52,Table8[[#This Row],[Date Day]]) &gt; 0, TRUE, FALSE)</f>
        <v>0</v>
      </c>
      <c r="E349" s="64">
        <f t="shared" si="8"/>
        <v>5</v>
      </c>
      <c r="F349" s="64">
        <v>1</v>
      </c>
      <c r="G349" s="65" t="str">
        <f>IF(Table8[[#This Row],[Weathersit]]=1, "BAD", IF(Table8[[#This Row],[Weathersit]]=2, "MODERATE", IF(Table8[[#This Row],[Weathersit]]=3, "GOOD")))</f>
        <v>BAD</v>
      </c>
      <c r="H349" s="64">
        <v>24</v>
      </c>
      <c r="I349" s="65" t="str">
        <f>IF(Table8[[#This Row],[Temp]]&lt;11, "COLD", IF(Table8[[#This Row],[Temp]]&lt;=25, "COMFORTABLE", "WARM"))</f>
        <v>COMFORTABLE</v>
      </c>
      <c r="J349" s="64">
        <v>0.2424</v>
      </c>
      <c r="K349" s="64">
        <v>0.38</v>
      </c>
      <c r="L349" s="66">
        <v>16.420000000000002</v>
      </c>
      <c r="M349" s="75" t="s">
        <v>80</v>
      </c>
      <c r="N349" s="64">
        <v>9</v>
      </c>
      <c r="O349" s="64">
        <v>59</v>
      </c>
      <c r="P349" s="64">
        <v>68</v>
      </c>
      <c r="Q349" s="64"/>
      <c r="R349" s="65" t="str">
        <f t="shared" si="9"/>
        <v>Week 2</v>
      </c>
      <c r="S349" s="65" t="str">
        <f>TEXT(Table8[[#This Row],[Date Day]],"mmm,YYYY")</f>
        <v>Jan,2011</v>
      </c>
    </row>
    <row r="350" spans="1:19" ht="15.6" x14ac:dyDescent="0.3">
      <c r="A350" s="62">
        <v>317</v>
      </c>
      <c r="B350" s="63">
        <v>40557</v>
      </c>
      <c r="C350" s="64">
        <v>16</v>
      </c>
      <c r="D350" s="64" t="b">
        <f>IF(COUNTIF(AU$36:AU$52,Table8[[#This Row],[Date Day]]) &gt; 0, TRUE, FALSE)</f>
        <v>0</v>
      </c>
      <c r="E350" s="64">
        <f t="shared" si="8"/>
        <v>5</v>
      </c>
      <c r="F350" s="64">
        <v>1</v>
      </c>
      <c r="G350" s="65" t="str">
        <f>IF(Table8[[#This Row],[Weathersit]]=1, "BAD", IF(Table8[[#This Row],[Weathersit]]=2, "MODERATE", IF(Table8[[#This Row],[Weathersit]]=3, "GOOD")))</f>
        <v>BAD</v>
      </c>
      <c r="H350" s="64">
        <v>22</v>
      </c>
      <c r="I350" s="65" t="str">
        <f>IF(Table8[[#This Row],[Temp]]&lt;11, "COLD", IF(Table8[[#This Row],[Temp]]&lt;=25, "COMFORTABLE", "WARM"))</f>
        <v>COMFORTABLE</v>
      </c>
      <c r="J350" s="64">
        <v>0.2424</v>
      </c>
      <c r="K350" s="64">
        <v>0.41</v>
      </c>
      <c r="L350" s="66">
        <v>10.45</v>
      </c>
      <c r="M350" s="75" t="s">
        <v>80</v>
      </c>
      <c r="N350" s="64">
        <v>3</v>
      </c>
      <c r="O350" s="64">
        <v>87</v>
      </c>
      <c r="P350" s="64">
        <v>90</v>
      </c>
      <c r="Q350" s="64"/>
      <c r="R350" s="65" t="str">
        <f t="shared" si="9"/>
        <v>Week 2</v>
      </c>
      <c r="S350" s="65" t="str">
        <f>TEXT(Table8[[#This Row],[Date Day]],"mmm,YYYY")</f>
        <v>Jan,2011</v>
      </c>
    </row>
    <row r="351" spans="1:19" ht="15.6" x14ac:dyDescent="0.3">
      <c r="A351" s="62">
        <v>318</v>
      </c>
      <c r="B351" s="63">
        <v>40557</v>
      </c>
      <c r="C351" s="64">
        <v>17</v>
      </c>
      <c r="D351" s="64" t="b">
        <f>IF(COUNTIF(AU$36:AU$52,Table8[[#This Row],[Date Day]]) &gt; 0, TRUE, FALSE)</f>
        <v>0</v>
      </c>
      <c r="E351" s="64">
        <f t="shared" si="8"/>
        <v>5</v>
      </c>
      <c r="F351" s="64">
        <v>1</v>
      </c>
      <c r="G351" s="65" t="str">
        <f>IF(Table8[[#This Row],[Weathersit]]=1, "BAD", IF(Table8[[#This Row],[Weathersit]]=2, "MODERATE", IF(Table8[[#This Row],[Weathersit]]=3, "GOOD")))</f>
        <v>BAD</v>
      </c>
      <c r="H351" s="64">
        <v>22</v>
      </c>
      <c r="I351" s="65" t="str">
        <f>IF(Table8[[#This Row],[Temp]]&lt;11, "COLD", IF(Table8[[#This Row],[Temp]]&lt;=25, "COMFORTABLE", "WARM"))</f>
        <v>COMFORTABLE</v>
      </c>
      <c r="J351" s="64">
        <v>0.2273</v>
      </c>
      <c r="K351" s="64">
        <v>0.41</v>
      </c>
      <c r="L351" s="66">
        <v>16.420000000000002</v>
      </c>
      <c r="M351" s="75" t="s">
        <v>80</v>
      </c>
      <c r="N351" s="64">
        <v>4</v>
      </c>
      <c r="O351" s="64">
        <v>155</v>
      </c>
      <c r="P351" s="64">
        <v>159</v>
      </c>
      <c r="Q351" s="64"/>
      <c r="R351" s="65" t="str">
        <f t="shared" si="9"/>
        <v>Week 2</v>
      </c>
      <c r="S351" s="65" t="str">
        <f>TEXT(Table8[[#This Row],[Date Day]],"mmm,YYYY")</f>
        <v>Jan,2011</v>
      </c>
    </row>
    <row r="352" spans="1:19" ht="15.6" x14ac:dyDescent="0.3">
      <c r="A352" s="62">
        <v>319</v>
      </c>
      <c r="B352" s="63">
        <v>40557</v>
      </c>
      <c r="C352" s="64">
        <v>18</v>
      </c>
      <c r="D352" s="64" t="b">
        <f>IF(COUNTIF(AU$36:AU$52,Table8[[#This Row],[Date Day]]) &gt; 0, TRUE, FALSE)</f>
        <v>0</v>
      </c>
      <c r="E352" s="64">
        <f t="shared" si="8"/>
        <v>5</v>
      </c>
      <c r="F352" s="64">
        <v>1</v>
      </c>
      <c r="G352" s="65" t="str">
        <f>IF(Table8[[#This Row],[Weathersit]]=1, "BAD", IF(Table8[[#This Row],[Weathersit]]=2, "MODERATE", IF(Table8[[#This Row],[Weathersit]]=3, "GOOD")))</f>
        <v>BAD</v>
      </c>
      <c r="H352" s="64">
        <v>20</v>
      </c>
      <c r="I352" s="65" t="str">
        <f>IF(Table8[[#This Row],[Temp]]&lt;11, "COLD", IF(Table8[[#This Row],[Temp]]&lt;=25, "COMFORTABLE", "WARM"))</f>
        <v>COMFORTABLE</v>
      </c>
      <c r="J352" s="64">
        <v>0.2576</v>
      </c>
      <c r="K352" s="64">
        <v>0.47</v>
      </c>
      <c r="L352" s="66">
        <v>20.485098360655737</v>
      </c>
      <c r="M352" s="75" t="s">
        <v>81</v>
      </c>
      <c r="N352" s="64">
        <v>5</v>
      </c>
      <c r="O352" s="64">
        <v>134</v>
      </c>
      <c r="P352" s="64">
        <v>139</v>
      </c>
      <c r="Q352" s="64"/>
      <c r="R352" s="65" t="str">
        <f t="shared" si="9"/>
        <v>Week 2</v>
      </c>
      <c r="S352" s="65" t="str">
        <f>TEXT(Table8[[#This Row],[Date Day]],"mmm,YYYY")</f>
        <v>Jan,2011</v>
      </c>
    </row>
    <row r="353" spans="1:19" ht="15.6" x14ac:dyDescent="0.3">
      <c r="A353" s="62">
        <v>320</v>
      </c>
      <c r="B353" s="63">
        <v>40557</v>
      </c>
      <c r="C353" s="64">
        <v>19</v>
      </c>
      <c r="D353" s="64" t="b">
        <f>IF(COUNTIF(AU$36:AU$52,Table8[[#This Row],[Date Day]]) &gt; 0, TRUE, FALSE)</f>
        <v>0</v>
      </c>
      <c r="E353" s="64">
        <f t="shared" si="8"/>
        <v>5</v>
      </c>
      <c r="F353" s="64">
        <v>1</v>
      </c>
      <c r="G353" s="65" t="str">
        <f>IF(Table8[[#This Row],[Weathersit]]=1, "BAD", IF(Table8[[#This Row],[Weathersit]]=2, "MODERATE", IF(Table8[[#This Row],[Weathersit]]=3, "GOOD")))</f>
        <v>BAD</v>
      </c>
      <c r="H353" s="64">
        <v>16</v>
      </c>
      <c r="I353" s="65" t="str">
        <f>IF(Table8[[#This Row],[Temp]]&lt;11, "COLD", IF(Table8[[#This Row],[Temp]]&lt;=25, "COMFORTABLE", "WARM"))</f>
        <v>COMFORTABLE</v>
      </c>
      <c r="J353" s="64">
        <v>0.19700000000000001</v>
      </c>
      <c r="K353" s="64">
        <v>0.59</v>
      </c>
      <c r="L353" s="66">
        <v>8.9599999999999991</v>
      </c>
      <c r="M353" s="75" t="s">
        <v>80</v>
      </c>
      <c r="N353" s="64">
        <v>3</v>
      </c>
      <c r="O353" s="64">
        <v>89</v>
      </c>
      <c r="P353" s="64">
        <v>92</v>
      </c>
      <c r="Q353" s="64"/>
      <c r="R353" s="65" t="str">
        <f t="shared" si="9"/>
        <v>Week 2</v>
      </c>
      <c r="S353" s="65" t="str">
        <f>TEXT(Table8[[#This Row],[Date Day]],"mmm,YYYY")</f>
        <v>Jan,2011</v>
      </c>
    </row>
    <row r="354" spans="1:19" ht="15.6" x14ac:dyDescent="0.3">
      <c r="A354" s="62">
        <v>321</v>
      </c>
      <c r="B354" s="63">
        <v>40557</v>
      </c>
      <c r="C354" s="64">
        <v>20</v>
      </c>
      <c r="D354" s="64" t="b">
        <f>IF(COUNTIF(AU$36:AU$52,Table8[[#This Row],[Date Day]]) &gt; 0, TRUE, FALSE)</f>
        <v>0</v>
      </c>
      <c r="E354" s="64">
        <f t="shared" ref="E354:E417" si="10">WEEKDAY(B:B,2)</f>
        <v>5</v>
      </c>
      <c r="F354" s="64">
        <v>1</v>
      </c>
      <c r="G354" s="65" t="str">
        <f>IF(Table8[[#This Row],[Weathersit]]=1, "BAD", IF(Table8[[#This Row],[Weathersit]]=2, "MODERATE", IF(Table8[[#This Row],[Weathersit]]=3, "GOOD")))</f>
        <v>BAD</v>
      </c>
      <c r="H354" s="64">
        <v>18</v>
      </c>
      <c r="I354" s="65" t="str">
        <f>IF(Table8[[#This Row],[Temp]]&lt;11, "COLD", IF(Table8[[#This Row],[Temp]]&lt;=25, "COMFORTABLE", "WARM"))</f>
        <v>COMFORTABLE</v>
      </c>
      <c r="J354" s="64">
        <v>0.2424</v>
      </c>
      <c r="K354" s="64">
        <v>0.59</v>
      </c>
      <c r="L354" s="66">
        <v>20.485098360655737</v>
      </c>
      <c r="M354" s="75" t="s">
        <v>81</v>
      </c>
      <c r="N354" s="64">
        <v>0</v>
      </c>
      <c r="O354" s="64">
        <v>68</v>
      </c>
      <c r="P354" s="64">
        <v>68</v>
      </c>
      <c r="Q354" s="64"/>
      <c r="R354" s="65" t="str">
        <f t="shared" ref="R354:R417" si="11">"Week " &amp; INT((DAY(B354)-1)/7)+1</f>
        <v>Week 2</v>
      </c>
      <c r="S354" s="65" t="str">
        <f>TEXT(Table8[[#This Row],[Date Day]],"mmm,YYYY")</f>
        <v>Jan,2011</v>
      </c>
    </row>
    <row r="355" spans="1:19" ht="15.6" x14ac:dyDescent="0.3">
      <c r="A355" s="62">
        <v>322</v>
      </c>
      <c r="B355" s="63">
        <v>40557</v>
      </c>
      <c r="C355" s="64">
        <v>21</v>
      </c>
      <c r="D355" s="64" t="b">
        <f>IF(COUNTIF(AU$36:AU$52,Table8[[#This Row],[Date Day]]) &gt; 0, TRUE, FALSE)</f>
        <v>0</v>
      </c>
      <c r="E355" s="64">
        <f t="shared" si="10"/>
        <v>5</v>
      </c>
      <c r="F355" s="64">
        <v>1</v>
      </c>
      <c r="G355" s="65" t="str">
        <f>IF(Table8[[#This Row],[Weathersit]]=1, "BAD", IF(Table8[[#This Row],[Weathersit]]=2, "MODERATE", IF(Table8[[#This Row],[Weathersit]]=3, "GOOD")))</f>
        <v>BAD</v>
      </c>
      <c r="H355" s="64">
        <v>16</v>
      </c>
      <c r="I355" s="65" t="str">
        <f>IF(Table8[[#This Row],[Temp]]&lt;11, "COLD", IF(Table8[[#This Row],[Temp]]&lt;=25, "COMFORTABLE", "WARM"))</f>
        <v>COMFORTABLE</v>
      </c>
      <c r="J355" s="64">
        <v>0.2273</v>
      </c>
      <c r="K355" s="64">
        <v>0.69</v>
      </c>
      <c r="L355" s="66">
        <v>20.485098360655737</v>
      </c>
      <c r="M355" s="75" t="s">
        <v>81</v>
      </c>
      <c r="N355" s="64">
        <v>4</v>
      </c>
      <c r="O355" s="64">
        <v>48</v>
      </c>
      <c r="P355" s="64">
        <v>52</v>
      </c>
      <c r="Q355" s="64"/>
      <c r="R355" s="65" t="str">
        <f t="shared" si="11"/>
        <v>Week 2</v>
      </c>
      <c r="S355" s="65" t="str">
        <f>TEXT(Table8[[#This Row],[Date Day]],"mmm,YYYY")</f>
        <v>Jan,2011</v>
      </c>
    </row>
    <row r="356" spans="1:19" ht="15.6" x14ac:dyDescent="0.3">
      <c r="A356" s="62">
        <v>323</v>
      </c>
      <c r="B356" s="63">
        <v>40557</v>
      </c>
      <c r="C356" s="64">
        <v>22</v>
      </c>
      <c r="D356" s="64" t="b">
        <f>IF(COUNTIF(AU$36:AU$52,Table8[[#This Row],[Date Day]]) &gt; 0, TRUE, FALSE)</f>
        <v>0</v>
      </c>
      <c r="E356" s="64">
        <f t="shared" si="10"/>
        <v>5</v>
      </c>
      <c r="F356" s="64">
        <v>2</v>
      </c>
      <c r="G356" s="65" t="str">
        <f>IF(Table8[[#This Row],[Weathersit]]=1, "BAD", IF(Table8[[#This Row],[Weathersit]]=2, "MODERATE", IF(Table8[[#This Row],[Weathersit]]=3, "GOOD")))</f>
        <v>MODERATE</v>
      </c>
      <c r="H356" s="64">
        <v>16</v>
      </c>
      <c r="I356" s="65" t="str">
        <f>IF(Table8[[#This Row],[Temp]]&lt;11, "COLD", IF(Table8[[#This Row],[Temp]]&lt;=25, "COMFORTABLE", "WARM"))</f>
        <v>COMFORTABLE</v>
      </c>
      <c r="J356" s="64">
        <v>0.2273</v>
      </c>
      <c r="K356" s="64">
        <v>0.69</v>
      </c>
      <c r="L356" s="66">
        <v>20.485098360655737</v>
      </c>
      <c r="M356" s="75" t="s">
        <v>81</v>
      </c>
      <c r="N356" s="64">
        <v>2</v>
      </c>
      <c r="O356" s="64">
        <v>34</v>
      </c>
      <c r="P356" s="64">
        <v>36</v>
      </c>
      <c r="Q356" s="64"/>
      <c r="R356" s="65" t="str">
        <f t="shared" si="11"/>
        <v>Week 2</v>
      </c>
      <c r="S356" s="65" t="str">
        <f>TEXT(Table8[[#This Row],[Date Day]],"mmm,YYYY")</f>
        <v>Jan,2011</v>
      </c>
    </row>
    <row r="357" spans="1:19" ht="15.6" x14ac:dyDescent="0.3">
      <c r="A357" s="62">
        <v>324</v>
      </c>
      <c r="B357" s="63">
        <v>40557</v>
      </c>
      <c r="C357" s="64">
        <v>23</v>
      </c>
      <c r="D357" s="64" t="b">
        <f>IF(COUNTIF(AU$36:AU$52,Table8[[#This Row],[Date Day]]) &gt; 0, TRUE, FALSE)</f>
        <v>0</v>
      </c>
      <c r="E357" s="64">
        <f t="shared" si="10"/>
        <v>5</v>
      </c>
      <c r="F357" s="64">
        <v>2</v>
      </c>
      <c r="G357" s="65" t="str">
        <f>IF(Table8[[#This Row],[Weathersit]]=1, "BAD", IF(Table8[[#This Row],[Weathersit]]=2, "MODERATE", IF(Table8[[#This Row],[Weathersit]]=3, "GOOD")))</f>
        <v>MODERATE</v>
      </c>
      <c r="H357" s="64">
        <v>18</v>
      </c>
      <c r="I357" s="65" t="str">
        <f>IF(Table8[[#This Row],[Temp]]&lt;11, "COLD", IF(Table8[[#This Row],[Temp]]&lt;=25, "COMFORTABLE", "WARM"))</f>
        <v>COMFORTABLE</v>
      </c>
      <c r="J357" s="64">
        <v>0.2424</v>
      </c>
      <c r="K357" s="64">
        <v>0.55000000000000004</v>
      </c>
      <c r="L357" s="66">
        <v>20.485098360655737</v>
      </c>
      <c r="M357" s="75" t="s">
        <v>81</v>
      </c>
      <c r="N357" s="64">
        <v>1</v>
      </c>
      <c r="O357" s="64">
        <v>26</v>
      </c>
      <c r="P357" s="64">
        <v>27</v>
      </c>
      <c r="Q357" s="64"/>
      <c r="R357" s="65" t="str">
        <f t="shared" si="11"/>
        <v>Week 2</v>
      </c>
      <c r="S357" s="65" t="str">
        <f>TEXT(Table8[[#This Row],[Date Day]],"mmm,YYYY")</f>
        <v>Jan,2011</v>
      </c>
    </row>
    <row r="358" spans="1:19" ht="15.6" x14ac:dyDescent="0.3">
      <c r="A358" s="62">
        <v>325</v>
      </c>
      <c r="B358" s="63">
        <v>40558</v>
      </c>
      <c r="C358" s="64">
        <v>0</v>
      </c>
      <c r="D358" s="64" t="b">
        <f>IF(COUNTIF(AU$36:AU$52,Table8[[#This Row],[Date Day]]) &gt; 0, TRUE, FALSE)</f>
        <v>0</v>
      </c>
      <c r="E358" s="64">
        <f t="shared" si="10"/>
        <v>6</v>
      </c>
      <c r="F358" s="64">
        <v>1</v>
      </c>
      <c r="G358" s="65" t="str">
        <f>IF(Table8[[#This Row],[Weathersit]]=1, "BAD", IF(Table8[[#This Row],[Weathersit]]=2, "MODERATE", IF(Table8[[#This Row],[Weathersit]]=3, "GOOD")))</f>
        <v>BAD</v>
      </c>
      <c r="H358" s="64">
        <v>18</v>
      </c>
      <c r="I358" s="65" t="str">
        <f>IF(Table8[[#This Row],[Temp]]&lt;11, "COLD", IF(Table8[[#This Row],[Temp]]&lt;=25, "COMFORTABLE", "WARM"))</f>
        <v>COMFORTABLE</v>
      </c>
      <c r="J358" s="64">
        <v>0.2424</v>
      </c>
      <c r="K358" s="64">
        <v>0.55000000000000004</v>
      </c>
      <c r="L358" s="66">
        <v>20.485098360655737</v>
      </c>
      <c r="M358" s="75" t="s">
        <v>81</v>
      </c>
      <c r="N358" s="64">
        <v>3</v>
      </c>
      <c r="O358" s="64">
        <v>25</v>
      </c>
      <c r="P358" s="64">
        <v>28</v>
      </c>
      <c r="Q358" s="64"/>
      <c r="R358" s="65" t="str">
        <f t="shared" si="11"/>
        <v>Week 3</v>
      </c>
      <c r="S358" s="65" t="str">
        <f>TEXT(Table8[[#This Row],[Date Day]],"mmm,YYYY")</f>
        <v>Jan,2011</v>
      </c>
    </row>
    <row r="359" spans="1:19" ht="15.6" x14ac:dyDescent="0.3">
      <c r="A359" s="62">
        <v>326</v>
      </c>
      <c r="B359" s="63">
        <v>40558</v>
      </c>
      <c r="C359" s="64">
        <v>1</v>
      </c>
      <c r="D359" s="64" t="b">
        <f>IF(COUNTIF(AU$36:AU$52,Table8[[#This Row],[Date Day]]) &gt; 0, TRUE, FALSE)</f>
        <v>0</v>
      </c>
      <c r="E359" s="64">
        <f t="shared" si="10"/>
        <v>6</v>
      </c>
      <c r="F359" s="64">
        <v>2</v>
      </c>
      <c r="G359" s="65" t="str">
        <f>IF(Table8[[#This Row],[Weathersit]]=1, "BAD", IF(Table8[[#This Row],[Weathersit]]=2, "MODERATE", IF(Table8[[#This Row],[Weathersit]]=3, "GOOD")))</f>
        <v>MODERATE</v>
      </c>
      <c r="H359" s="64">
        <v>16</v>
      </c>
      <c r="I359" s="65" t="str">
        <f>IF(Table8[[#This Row],[Temp]]&lt;11, "COLD", IF(Table8[[#This Row],[Temp]]&lt;=25, "COMFORTABLE", "WARM"))</f>
        <v>COMFORTABLE</v>
      </c>
      <c r="J359" s="64">
        <v>0.19700000000000001</v>
      </c>
      <c r="K359" s="64">
        <v>0.59</v>
      </c>
      <c r="L359" s="66">
        <v>8.9599999999999991</v>
      </c>
      <c r="M359" s="75" t="s">
        <v>80</v>
      </c>
      <c r="N359" s="64">
        <v>2</v>
      </c>
      <c r="O359" s="64">
        <v>18</v>
      </c>
      <c r="P359" s="64">
        <v>20</v>
      </c>
      <c r="Q359" s="64"/>
      <c r="R359" s="65" t="str">
        <f t="shared" si="11"/>
        <v>Week 3</v>
      </c>
      <c r="S359" s="65" t="str">
        <f>TEXT(Table8[[#This Row],[Date Day]],"mmm,YYYY")</f>
        <v>Jan,2011</v>
      </c>
    </row>
    <row r="360" spans="1:19" ht="15.6" x14ac:dyDescent="0.3">
      <c r="A360" s="62">
        <v>327</v>
      </c>
      <c r="B360" s="63">
        <v>40558</v>
      </c>
      <c r="C360" s="64">
        <v>2</v>
      </c>
      <c r="D360" s="64" t="b">
        <f>IF(COUNTIF(AU$36:AU$52,Table8[[#This Row],[Date Day]]) &gt; 0, TRUE, FALSE)</f>
        <v>0</v>
      </c>
      <c r="E360" s="64">
        <f t="shared" si="10"/>
        <v>6</v>
      </c>
      <c r="F360" s="64">
        <v>2</v>
      </c>
      <c r="G360" s="65" t="str">
        <f>IF(Table8[[#This Row],[Weathersit]]=1, "BAD", IF(Table8[[#This Row],[Weathersit]]=2, "MODERATE", IF(Table8[[#This Row],[Weathersit]]=3, "GOOD")))</f>
        <v>MODERATE</v>
      </c>
      <c r="H360" s="64">
        <v>16</v>
      </c>
      <c r="I360" s="65" t="str">
        <f>IF(Table8[[#This Row],[Temp]]&lt;11, "COLD", IF(Table8[[#This Row],[Temp]]&lt;=25, "COMFORTABLE", "WARM"))</f>
        <v>COMFORTABLE</v>
      </c>
      <c r="J360" s="64">
        <v>0.19700000000000001</v>
      </c>
      <c r="K360" s="64">
        <v>0.59</v>
      </c>
      <c r="L360" s="66">
        <v>8.9599999999999991</v>
      </c>
      <c r="M360" s="75" t="s">
        <v>80</v>
      </c>
      <c r="N360" s="64">
        <v>0</v>
      </c>
      <c r="O360" s="64">
        <v>12</v>
      </c>
      <c r="P360" s="64">
        <v>12</v>
      </c>
      <c r="Q360" s="64"/>
      <c r="R360" s="65" t="str">
        <f t="shared" si="11"/>
        <v>Week 3</v>
      </c>
      <c r="S360" s="65" t="str">
        <f>TEXT(Table8[[#This Row],[Date Day]],"mmm,YYYY")</f>
        <v>Jan,2011</v>
      </c>
    </row>
    <row r="361" spans="1:19" ht="15.6" x14ac:dyDescent="0.3">
      <c r="A361" s="62">
        <v>328</v>
      </c>
      <c r="B361" s="63">
        <v>40558</v>
      </c>
      <c r="C361" s="64">
        <v>3</v>
      </c>
      <c r="D361" s="64" t="b">
        <f>IF(COUNTIF(AU$36:AU$52,Table8[[#This Row],[Date Day]]) &gt; 0, TRUE, FALSE)</f>
        <v>0</v>
      </c>
      <c r="E361" s="64">
        <f t="shared" si="10"/>
        <v>6</v>
      </c>
      <c r="F361" s="64">
        <v>2</v>
      </c>
      <c r="G361" s="65" t="str">
        <f>IF(Table8[[#This Row],[Weathersit]]=1, "BAD", IF(Table8[[#This Row],[Weathersit]]=2, "MODERATE", IF(Table8[[#This Row],[Weathersit]]=3, "GOOD")))</f>
        <v>MODERATE</v>
      </c>
      <c r="H361" s="64">
        <v>16</v>
      </c>
      <c r="I361" s="65" t="str">
        <f>IF(Table8[[#This Row],[Temp]]&lt;11, "COLD", IF(Table8[[#This Row],[Temp]]&lt;=25, "COMFORTABLE", "WARM"))</f>
        <v>COMFORTABLE</v>
      </c>
      <c r="J361" s="64">
        <v>0.2273</v>
      </c>
      <c r="K361" s="64">
        <v>0.59</v>
      </c>
      <c r="L361" s="66">
        <v>20.485098360655737</v>
      </c>
      <c r="M361" s="75" t="s">
        <v>81</v>
      </c>
      <c r="N361" s="64">
        <v>1</v>
      </c>
      <c r="O361" s="64">
        <v>7</v>
      </c>
      <c r="P361" s="64">
        <v>8</v>
      </c>
      <c r="Q361" s="64"/>
      <c r="R361" s="65" t="str">
        <f t="shared" si="11"/>
        <v>Week 3</v>
      </c>
      <c r="S361" s="65" t="str">
        <f>TEXT(Table8[[#This Row],[Date Day]],"mmm,YYYY")</f>
        <v>Jan,2011</v>
      </c>
    </row>
    <row r="362" spans="1:19" ht="15.6" x14ac:dyDescent="0.3">
      <c r="A362" s="62">
        <v>329</v>
      </c>
      <c r="B362" s="63">
        <v>40558</v>
      </c>
      <c r="C362" s="64">
        <v>4</v>
      </c>
      <c r="D362" s="64" t="b">
        <f>IF(COUNTIF(AU$36:AU$52,Table8[[#This Row],[Date Day]]) &gt; 0, TRUE, FALSE)</f>
        <v>0</v>
      </c>
      <c r="E362" s="64">
        <f t="shared" si="10"/>
        <v>6</v>
      </c>
      <c r="F362" s="64">
        <v>2</v>
      </c>
      <c r="G362" s="65" t="str">
        <f>IF(Table8[[#This Row],[Weathersit]]=1, "BAD", IF(Table8[[#This Row],[Weathersit]]=2, "MODERATE", IF(Table8[[#This Row],[Weathersit]]=3, "GOOD")))</f>
        <v>MODERATE</v>
      </c>
      <c r="H362" s="64">
        <v>16</v>
      </c>
      <c r="I362" s="65" t="str">
        <f>IF(Table8[[#This Row],[Temp]]&lt;11, "COLD", IF(Table8[[#This Row],[Temp]]&lt;=25, "COMFORTABLE", "WARM"))</f>
        <v>COMFORTABLE</v>
      </c>
      <c r="J362" s="64">
        <v>0.2273</v>
      </c>
      <c r="K362" s="64">
        <v>0.59</v>
      </c>
      <c r="L362" s="66">
        <v>20.485098360655737</v>
      </c>
      <c r="M362" s="75" t="s">
        <v>81</v>
      </c>
      <c r="N362" s="64">
        <v>0</v>
      </c>
      <c r="O362" s="64">
        <v>5</v>
      </c>
      <c r="P362" s="64">
        <v>5</v>
      </c>
      <c r="Q362" s="64"/>
      <c r="R362" s="65" t="str">
        <f t="shared" si="11"/>
        <v>Week 3</v>
      </c>
      <c r="S362" s="65" t="str">
        <f>TEXT(Table8[[#This Row],[Date Day]],"mmm,YYYY")</f>
        <v>Jan,2011</v>
      </c>
    </row>
    <row r="363" spans="1:19" ht="15.6" x14ac:dyDescent="0.3">
      <c r="A363" s="62">
        <v>330</v>
      </c>
      <c r="B363" s="63">
        <v>40558</v>
      </c>
      <c r="C363" s="64">
        <v>5</v>
      </c>
      <c r="D363" s="64" t="b">
        <f>IF(COUNTIF(AU$36:AU$52,Table8[[#This Row],[Date Day]]) &gt; 0, TRUE, FALSE)</f>
        <v>0</v>
      </c>
      <c r="E363" s="64">
        <f t="shared" si="10"/>
        <v>6</v>
      </c>
      <c r="F363" s="64">
        <v>1</v>
      </c>
      <c r="G363" s="65" t="str">
        <f>IF(Table8[[#This Row],[Weathersit]]=1, "BAD", IF(Table8[[#This Row],[Weathersit]]=2, "MODERATE", IF(Table8[[#This Row],[Weathersit]]=3, "GOOD")))</f>
        <v>BAD</v>
      </c>
      <c r="H363" s="64">
        <v>16</v>
      </c>
      <c r="I363" s="65" t="str">
        <f>IF(Table8[[#This Row],[Temp]]&lt;11, "COLD", IF(Table8[[#This Row],[Temp]]&lt;=25, "COMFORTABLE", "WARM"))</f>
        <v>COMFORTABLE</v>
      </c>
      <c r="J363" s="64">
        <v>0.2273</v>
      </c>
      <c r="K363" s="64">
        <v>0.59</v>
      </c>
      <c r="L363" s="66">
        <v>20.485098360655737</v>
      </c>
      <c r="M363" s="75" t="s">
        <v>81</v>
      </c>
      <c r="N363" s="64">
        <v>0</v>
      </c>
      <c r="O363" s="64">
        <v>1</v>
      </c>
      <c r="P363" s="64">
        <v>1</v>
      </c>
      <c r="Q363" s="64"/>
      <c r="R363" s="65" t="str">
        <f t="shared" si="11"/>
        <v>Week 3</v>
      </c>
      <c r="S363" s="65" t="str">
        <f>TEXT(Table8[[#This Row],[Date Day]],"mmm,YYYY")</f>
        <v>Jan,2011</v>
      </c>
    </row>
    <row r="364" spans="1:19" ht="15.6" x14ac:dyDescent="0.3">
      <c r="A364" s="62">
        <v>331</v>
      </c>
      <c r="B364" s="63">
        <v>40558</v>
      </c>
      <c r="C364" s="64">
        <v>6</v>
      </c>
      <c r="D364" s="64" t="b">
        <f>IF(COUNTIF(AU$36:AU$52,Table8[[#This Row],[Date Day]]) &gt; 0, TRUE, FALSE)</f>
        <v>0</v>
      </c>
      <c r="E364" s="64">
        <f t="shared" si="10"/>
        <v>6</v>
      </c>
      <c r="F364" s="64">
        <v>1</v>
      </c>
      <c r="G364" s="65" t="str">
        <f>IF(Table8[[#This Row],[Weathersit]]=1, "BAD", IF(Table8[[#This Row],[Weathersit]]=2, "MODERATE", IF(Table8[[#This Row],[Weathersit]]=3, "GOOD")))</f>
        <v>BAD</v>
      </c>
      <c r="H364" s="64">
        <v>14.000000000000002</v>
      </c>
      <c r="I364" s="65" t="str">
        <f>IF(Table8[[#This Row],[Temp]]&lt;11, "COLD", IF(Table8[[#This Row],[Temp]]&lt;=25, "COMFORTABLE", "WARM"))</f>
        <v>COMFORTABLE</v>
      </c>
      <c r="J364" s="64">
        <v>0.16669999999999999</v>
      </c>
      <c r="K364" s="64">
        <v>0.63</v>
      </c>
      <c r="L364" s="66">
        <v>10.45</v>
      </c>
      <c r="M364" s="75" t="s">
        <v>80</v>
      </c>
      <c r="N364" s="64">
        <v>1</v>
      </c>
      <c r="O364" s="64">
        <v>2</v>
      </c>
      <c r="P364" s="64">
        <v>3</v>
      </c>
      <c r="Q364" s="64"/>
      <c r="R364" s="65" t="str">
        <f t="shared" si="11"/>
        <v>Week 3</v>
      </c>
      <c r="S364" s="65" t="str">
        <f>TEXT(Table8[[#This Row],[Date Day]],"mmm,YYYY")</f>
        <v>Jan,2011</v>
      </c>
    </row>
    <row r="365" spans="1:19" ht="15.6" x14ac:dyDescent="0.3">
      <c r="A365" s="62">
        <v>332</v>
      </c>
      <c r="B365" s="63">
        <v>40558</v>
      </c>
      <c r="C365" s="64">
        <v>7</v>
      </c>
      <c r="D365" s="64" t="b">
        <f>IF(COUNTIF(AU$36:AU$52,Table8[[#This Row],[Date Day]]) &gt; 0, TRUE, FALSE)</f>
        <v>0</v>
      </c>
      <c r="E365" s="64">
        <f t="shared" si="10"/>
        <v>6</v>
      </c>
      <c r="F365" s="64">
        <v>1</v>
      </c>
      <c r="G365" s="65" t="str">
        <f>IF(Table8[[#This Row],[Weathersit]]=1, "BAD", IF(Table8[[#This Row],[Weathersit]]=2, "MODERATE", IF(Table8[[#This Row],[Weathersit]]=3, "GOOD")))</f>
        <v>BAD</v>
      </c>
      <c r="H365" s="64">
        <v>14.000000000000002</v>
      </c>
      <c r="I365" s="65" t="str">
        <f>IF(Table8[[#This Row],[Temp]]&lt;11, "COLD", IF(Table8[[#This Row],[Temp]]&lt;=25, "COMFORTABLE", "WARM"))</f>
        <v>COMFORTABLE</v>
      </c>
      <c r="J365" s="64">
        <v>0.21210000000000001</v>
      </c>
      <c r="K365" s="64">
        <v>0.63</v>
      </c>
      <c r="L365" s="66">
        <v>20.485098360655737</v>
      </c>
      <c r="M365" s="75" t="s">
        <v>81</v>
      </c>
      <c r="N365" s="64">
        <v>1</v>
      </c>
      <c r="O365" s="64">
        <v>9</v>
      </c>
      <c r="P365" s="64">
        <v>10</v>
      </c>
      <c r="Q365" s="64"/>
      <c r="R365" s="65" t="str">
        <f t="shared" si="11"/>
        <v>Week 3</v>
      </c>
      <c r="S365" s="65" t="str">
        <f>TEXT(Table8[[#This Row],[Date Day]],"mmm,YYYY")</f>
        <v>Jan,2011</v>
      </c>
    </row>
    <row r="366" spans="1:19" ht="15.6" x14ac:dyDescent="0.3">
      <c r="A366" s="62">
        <v>333</v>
      </c>
      <c r="B366" s="63">
        <v>40558</v>
      </c>
      <c r="C366" s="64">
        <v>8</v>
      </c>
      <c r="D366" s="64" t="b">
        <f>IF(COUNTIF(AU$36:AU$52,Table8[[#This Row],[Date Day]]) &gt; 0, TRUE, FALSE)</f>
        <v>0</v>
      </c>
      <c r="E366" s="64">
        <f t="shared" si="10"/>
        <v>6</v>
      </c>
      <c r="F366" s="64">
        <v>1</v>
      </c>
      <c r="G366" s="65" t="str">
        <f>IF(Table8[[#This Row],[Weathersit]]=1, "BAD", IF(Table8[[#This Row],[Weathersit]]=2, "MODERATE", IF(Table8[[#This Row],[Weathersit]]=3, "GOOD")))</f>
        <v>BAD</v>
      </c>
      <c r="H366" s="64">
        <v>14.000000000000002</v>
      </c>
      <c r="I366" s="65" t="str">
        <f>IF(Table8[[#This Row],[Temp]]&lt;11, "COLD", IF(Table8[[#This Row],[Temp]]&lt;=25, "COMFORTABLE", "WARM"))</f>
        <v>COMFORTABLE</v>
      </c>
      <c r="J366" s="64">
        <v>0.1515</v>
      </c>
      <c r="K366" s="64">
        <v>0.63</v>
      </c>
      <c r="L366" s="66">
        <v>13.43</v>
      </c>
      <c r="M366" s="75" t="s">
        <v>80</v>
      </c>
      <c r="N366" s="64">
        <v>1</v>
      </c>
      <c r="O366" s="64">
        <v>22</v>
      </c>
      <c r="P366" s="64">
        <v>23</v>
      </c>
      <c r="Q366" s="64"/>
      <c r="R366" s="65" t="str">
        <f t="shared" si="11"/>
        <v>Week 3</v>
      </c>
      <c r="S366" s="65" t="str">
        <f>TEXT(Table8[[#This Row],[Date Day]],"mmm,YYYY")</f>
        <v>Jan,2011</v>
      </c>
    </row>
    <row r="367" spans="1:19" ht="15.6" x14ac:dyDescent="0.3">
      <c r="A367" s="62">
        <v>334</v>
      </c>
      <c r="B367" s="63">
        <v>40558</v>
      </c>
      <c r="C367" s="64">
        <v>9</v>
      </c>
      <c r="D367" s="64" t="b">
        <f>IF(COUNTIF(AU$36:AU$52,Table8[[#This Row],[Date Day]]) &gt; 0, TRUE, FALSE)</f>
        <v>0</v>
      </c>
      <c r="E367" s="64">
        <f t="shared" si="10"/>
        <v>6</v>
      </c>
      <c r="F367" s="64">
        <v>1</v>
      </c>
      <c r="G367" s="65" t="str">
        <f>IF(Table8[[#This Row],[Weathersit]]=1, "BAD", IF(Table8[[#This Row],[Weathersit]]=2, "MODERATE", IF(Table8[[#This Row],[Weathersit]]=3, "GOOD")))</f>
        <v>BAD</v>
      </c>
      <c r="H367" s="64">
        <v>16</v>
      </c>
      <c r="I367" s="65" t="str">
        <f>IF(Table8[[#This Row],[Temp]]&lt;11, "COLD", IF(Table8[[#This Row],[Temp]]&lt;=25, "COMFORTABLE", "WARM"))</f>
        <v>COMFORTABLE</v>
      </c>
      <c r="J367" s="64">
        <v>0.18179999999999999</v>
      </c>
      <c r="K367" s="64">
        <v>0.64</v>
      </c>
      <c r="L367" s="66">
        <v>13.43</v>
      </c>
      <c r="M367" s="75" t="s">
        <v>80</v>
      </c>
      <c r="N367" s="64">
        <v>2</v>
      </c>
      <c r="O367" s="64">
        <v>31</v>
      </c>
      <c r="P367" s="64">
        <v>33</v>
      </c>
      <c r="Q367" s="64"/>
      <c r="R367" s="65" t="str">
        <f t="shared" si="11"/>
        <v>Week 3</v>
      </c>
      <c r="S367" s="65" t="str">
        <f>TEXT(Table8[[#This Row],[Date Day]],"mmm,YYYY")</f>
        <v>Jan,2011</v>
      </c>
    </row>
    <row r="368" spans="1:19" ht="15.6" x14ac:dyDescent="0.3">
      <c r="A368" s="62">
        <v>335</v>
      </c>
      <c r="B368" s="63">
        <v>40558</v>
      </c>
      <c r="C368" s="64">
        <v>10</v>
      </c>
      <c r="D368" s="64" t="b">
        <f>IF(COUNTIF(AU$36:AU$52,Table8[[#This Row],[Date Day]]) &gt; 0, TRUE, FALSE)</f>
        <v>0</v>
      </c>
      <c r="E368" s="64">
        <f t="shared" si="10"/>
        <v>6</v>
      </c>
      <c r="F368" s="64">
        <v>1</v>
      </c>
      <c r="G368" s="65" t="str">
        <f>IF(Table8[[#This Row],[Weathersit]]=1, "BAD", IF(Table8[[#This Row],[Weathersit]]=2, "MODERATE", IF(Table8[[#This Row],[Weathersit]]=3, "GOOD")))</f>
        <v>BAD</v>
      </c>
      <c r="H368" s="64">
        <v>18</v>
      </c>
      <c r="I368" s="65" t="str">
        <f>IF(Table8[[#This Row],[Temp]]&lt;11, "COLD", IF(Table8[[#This Row],[Temp]]&lt;=25, "COMFORTABLE", "WARM"))</f>
        <v>COMFORTABLE</v>
      </c>
      <c r="J368" s="64">
        <v>0.19700000000000001</v>
      </c>
      <c r="K368" s="64">
        <v>0.59</v>
      </c>
      <c r="L368" s="66">
        <v>16.420000000000002</v>
      </c>
      <c r="M368" s="75" t="s">
        <v>80</v>
      </c>
      <c r="N368" s="64">
        <v>2</v>
      </c>
      <c r="O368" s="64">
        <v>57</v>
      </c>
      <c r="P368" s="64">
        <v>59</v>
      </c>
      <c r="Q368" s="64"/>
      <c r="R368" s="65" t="str">
        <f t="shared" si="11"/>
        <v>Week 3</v>
      </c>
      <c r="S368" s="65" t="str">
        <f>TEXT(Table8[[#This Row],[Date Day]],"mmm,YYYY")</f>
        <v>Jan,2011</v>
      </c>
    </row>
    <row r="369" spans="1:19" ht="15.6" x14ac:dyDescent="0.3">
      <c r="A369" s="62">
        <v>336</v>
      </c>
      <c r="B369" s="63">
        <v>40558</v>
      </c>
      <c r="C369" s="64">
        <v>11</v>
      </c>
      <c r="D369" s="64" t="b">
        <f>IF(COUNTIF(AU$36:AU$52,Table8[[#This Row],[Date Day]]) &gt; 0, TRUE, FALSE)</f>
        <v>0</v>
      </c>
      <c r="E369" s="64">
        <f t="shared" si="10"/>
        <v>6</v>
      </c>
      <c r="F369" s="64">
        <v>1</v>
      </c>
      <c r="G369" s="65" t="str">
        <f>IF(Table8[[#This Row],[Weathersit]]=1, "BAD", IF(Table8[[#This Row],[Weathersit]]=2, "MODERATE", IF(Table8[[#This Row],[Weathersit]]=3, "GOOD")))</f>
        <v>BAD</v>
      </c>
      <c r="H369" s="64">
        <v>20</v>
      </c>
      <c r="I369" s="65" t="str">
        <f>IF(Table8[[#This Row],[Temp]]&lt;11, "COLD", IF(Table8[[#This Row],[Temp]]&lt;=25, "COMFORTABLE", "WARM"))</f>
        <v>COMFORTABLE</v>
      </c>
      <c r="J369" s="64">
        <v>0.19700000000000001</v>
      </c>
      <c r="K369" s="64">
        <v>0.55000000000000004</v>
      </c>
      <c r="L369" s="66">
        <v>22.39</v>
      </c>
      <c r="M369" s="75" t="s">
        <v>81</v>
      </c>
      <c r="N369" s="64">
        <v>18</v>
      </c>
      <c r="O369" s="64">
        <v>54</v>
      </c>
      <c r="P369" s="64">
        <v>72</v>
      </c>
      <c r="Q369" s="64"/>
      <c r="R369" s="65" t="str">
        <f t="shared" si="11"/>
        <v>Week 3</v>
      </c>
      <c r="S369" s="65" t="str">
        <f>TEXT(Table8[[#This Row],[Date Day]],"mmm,YYYY")</f>
        <v>Jan,2011</v>
      </c>
    </row>
    <row r="370" spans="1:19" ht="15.6" x14ac:dyDescent="0.3">
      <c r="A370" s="62">
        <v>337</v>
      </c>
      <c r="B370" s="63">
        <v>40558</v>
      </c>
      <c r="C370" s="64">
        <v>12</v>
      </c>
      <c r="D370" s="64" t="b">
        <f>IF(COUNTIF(AU$36:AU$52,Table8[[#This Row],[Date Day]]) &gt; 0, TRUE, FALSE)</f>
        <v>0</v>
      </c>
      <c r="E370" s="64">
        <f t="shared" si="10"/>
        <v>6</v>
      </c>
      <c r="F370" s="64">
        <v>1</v>
      </c>
      <c r="G370" s="65" t="str">
        <f>IF(Table8[[#This Row],[Weathersit]]=1, "BAD", IF(Table8[[#This Row],[Weathersit]]=2, "MODERATE", IF(Table8[[#This Row],[Weathersit]]=3, "GOOD")))</f>
        <v>BAD</v>
      </c>
      <c r="H370" s="64">
        <v>24</v>
      </c>
      <c r="I370" s="65" t="str">
        <f>IF(Table8[[#This Row],[Temp]]&lt;11, "COLD", IF(Table8[[#This Row],[Temp]]&lt;=25, "COMFORTABLE", "WARM"))</f>
        <v>COMFORTABLE</v>
      </c>
      <c r="J370" s="64">
        <v>0.2273</v>
      </c>
      <c r="K370" s="64">
        <v>0.48</v>
      </c>
      <c r="L370" s="66">
        <v>22.39</v>
      </c>
      <c r="M370" s="75" t="s">
        <v>81</v>
      </c>
      <c r="N370" s="64">
        <v>15</v>
      </c>
      <c r="O370" s="64">
        <v>74</v>
      </c>
      <c r="P370" s="64">
        <v>89</v>
      </c>
      <c r="Q370" s="64"/>
      <c r="R370" s="65" t="str">
        <f t="shared" si="11"/>
        <v>Week 3</v>
      </c>
      <c r="S370" s="65" t="str">
        <f>TEXT(Table8[[#This Row],[Date Day]],"mmm,YYYY")</f>
        <v>Jan,2011</v>
      </c>
    </row>
    <row r="371" spans="1:19" ht="15.6" x14ac:dyDescent="0.3">
      <c r="A371" s="62">
        <v>338</v>
      </c>
      <c r="B371" s="63">
        <v>40558</v>
      </c>
      <c r="C371" s="64">
        <v>13</v>
      </c>
      <c r="D371" s="64" t="b">
        <f>IF(COUNTIF(AU$36:AU$52,Table8[[#This Row],[Date Day]]) &gt; 0, TRUE, FALSE)</f>
        <v>0</v>
      </c>
      <c r="E371" s="64">
        <f t="shared" si="10"/>
        <v>6</v>
      </c>
      <c r="F371" s="64">
        <v>1</v>
      </c>
      <c r="G371" s="65" t="str">
        <f>IF(Table8[[#This Row],[Weathersit]]=1, "BAD", IF(Table8[[#This Row],[Weathersit]]=2, "MODERATE", IF(Table8[[#This Row],[Weathersit]]=3, "GOOD")))</f>
        <v>BAD</v>
      </c>
      <c r="H371" s="64">
        <v>28.000000000000004</v>
      </c>
      <c r="I371" s="65" t="str">
        <f>IF(Table8[[#This Row],[Temp]]&lt;11, "COLD", IF(Table8[[#This Row],[Temp]]&lt;=25, "COMFORTABLE", "WARM"))</f>
        <v>WARM</v>
      </c>
      <c r="J371" s="64">
        <v>0.2576</v>
      </c>
      <c r="K371" s="64">
        <v>0.38</v>
      </c>
      <c r="L371" s="66">
        <v>29.849999999999998</v>
      </c>
      <c r="M371" s="75" t="s">
        <v>81</v>
      </c>
      <c r="N371" s="64">
        <v>21</v>
      </c>
      <c r="O371" s="64">
        <v>80</v>
      </c>
      <c r="P371" s="64">
        <v>101</v>
      </c>
      <c r="Q371" s="64"/>
      <c r="R371" s="65" t="str">
        <f t="shared" si="11"/>
        <v>Week 3</v>
      </c>
      <c r="S371" s="65" t="str">
        <f>TEXT(Table8[[#This Row],[Date Day]],"mmm,YYYY")</f>
        <v>Jan,2011</v>
      </c>
    </row>
    <row r="372" spans="1:19" ht="15.6" x14ac:dyDescent="0.3">
      <c r="A372" s="62">
        <v>339</v>
      </c>
      <c r="B372" s="63">
        <v>40558</v>
      </c>
      <c r="C372" s="64">
        <v>14</v>
      </c>
      <c r="D372" s="64" t="b">
        <f>IF(COUNTIF(AU$36:AU$52,Table8[[#This Row],[Date Day]]) &gt; 0, TRUE, FALSE)</f>
        <v>0</v>
      </c>
      <c r="E372" s="64">
        <f t="shared" si="10"/>
        <v>6</v>
      </c>
      <c r="F372" s="64">
        <v>1</v>
      </c>
      <c r="G372" s="65" t="str">
        <f>IF(Table8[[#This Row],[Weathersit]]=1, "BAD", IF(Table8[[#This Row],[Weathersit]]=2, "MODERATE", IF(Table8[[#This Row],[Weathersit]]=3, "GOOD")))</f>
        <v>BAD</v>
      </c>
      <c r="H372" s="64">
        <v>30</v>
      </c>
      <c r="I372" s="65" t="str">
        <f>IF(Table8[[#This Row],[Temp]]&lt;11, "COLD", IF(Table8[[#This Row],[Temp]]&lt;=25, "COMFORTABLE", "WARM"))</f>
        <v>WARM</v>
      </c>
      <c r="J372" s="64">
        <v>0.28789999999999999</v>
      </c>
      <c r="K372" s="64">
        <v>0.39</v>
      </c>
      <c r="L372" s="66">
        <v>28.360000000000003</v>
      </c>
      <c r="M372" s="75" t="s">
        <v>81</v>
      </c>
      <c r="N372" s="64">
        <v>26</v>
      </c>
      <c r="O372" s="64">
        <v>92</v>
      </c>
      <c r="P372" s="64">
        <v>118</v>
      </c>
      <c r="Q372" s="64"/>
      <c r="R372" s="65" t="str">
        <f t="shared" si="11"/>
        <v>Week 3</v>
      </c>
      <c r="S372" s="65" t="str">
        <f>TEXT(Table8[[#This Row],[Date Day]],"mmm,YYYY")</f>
        <v>Jan,2011</v>
      </c>
    </row>
    <row r="373" spans="1:19" ht="15.6" x14ac:dyDescent="0.3">
      <c r="A373" s="62">
        <v>340</v>
      </c>
      <c r="B373" s="63">
        <v>40558</v>
      </c>
      <c r="C373" s="64">
        <v>15</v>
      </c>
      <c r="D373" s="64" t="b">
        <f>IF(COUNTIF(AU$36:AU$52,Table8[[#This Row],[Date Day]]) &gt; 0, TRUE, FALSE)</f>
        <v>0</v>
      </c>
      <c r="E373" s="64">
        <f t="shared" si="10"/>
        <v>6</v>
      </c>
      <c r="F373" s="64">
        <v>2</v>
      </c>
      <c r="G373" s="65" t="str">
        <f>IF(Table8[[#This Row],[Weathersit]]=1, "BAD", IF(Table8[[#This Row],[Weathersit]]=2, "MODERATE", IF(Table8[[#This Row],[Weathersit]]=3, "GOOD")))</f>
        <v>MODERATE</v>
      </c>
      <c r="H373" s="64">
        <v>32</v>
      </c>
      <c r="I373" s="65" t="str">
        <f>IF(Table8[[#This Row],[Temp]]&lt;11, "COLD", IF(Table8[[#This Row],[Temp]]&lt;=25, "COMFORTABLE", "WARM"))</f>
        <v>WARM</v>
      </c>
      <c r="J373" s="64">
        <v>0.31819999999999998</v>
      </c>
      <c r="K373" s="64">
        <v>0.36</v>
      </c>
      <c r="L373" s="66">
        <v>19.400000000000002</v>
      </c>
      <c r="M373" s="75" t="s">
        <v>80</v>
      </c>
      <c r="N373" s="64">
        <v>21</v>
      </c>
      <c r="O373" s="64">
        <v>108</v>
      </c>
      <c r="P373" s="64">
        <v>129</v>
      </c>
      <c r="Q373" s="64"/>
      <c r="R373" s="65" t="str">
        <f t="shared" si="11"/>
        <v>Week 3</v>
      </c>
      <c r="S373" s="65" t="str">
        <f>TEXT(Table8[[#This Row],[Date Day]],"mmm,YYYY")</f>
        <v>Jan,2011</v>
      </c>
    </row>
    <row r="374" spans="1:19" ht="15.6" x14ac:dyDescent="0.3">
      <c r="A374" s="62">
        <v>341</v>
      </c>
      <c r="B374" s="63">
        <v>40558</v>
      </c>
      <c r="C374" s="64">
        <v>16</v>
      </c>
      <c r="D374" s="64" t="b">
        <f>IF(COUNTIF(AU$36:AU$52,Table8[[#This Row],[Date Day]]) &gt; 0, TRUE, FALSE)</f>
        <v>0</v>
      </c>
      <c r="E374" s="64">
        <f t="shared" si="10"/>
        <v>6</v>
      </c>
      <c r="F374" s="64">
        <v>2</v>
      </c>
      <c r="G374" s="65" t="str">
        <f>IF(Table8[[#This Row],[Weathersit]]=1, "BAD", IF(Table8[[#This Row],[Weathersit]]=2, "MODERATE", IF(Table8[[#This Row],[Weathersit]]=3, "GOOD")))</f>
        <v>MODERATE</v>
      </c>
      <c r="H374" s="64">
        <v>34</v>
      </c>
      <c r="I374" s="65" t="str">
        <f>IF(Table8[[#This Row],[Temp]]&lt;11, "COLD", IF(Table8[[#This Row],[Temp]]&lt;=25, "COMFORTABLE", "WARM"))</f>
        <v>WARM</v>
      </c>
      <c r="J374" s="64">
        <v>0.33329999999999999</v>
      </c>
      <c r="K374" s="64">
        <v>0.34</v>
      </c>
      <c r="L374" s="66">
        <v>19.400000000000002</v>
      </c>
      <c r="M374" s="75" t="s">
        <v>80</v>
      </c>
      <c r="N374" s="64">
        <v>33</v>
      </c>
      <c r="O374" s="64">
        <v>95</v>
      </c>
      <c r="P374" s="64">
        <v>128</v>
      </c>
      <c r="Q374" s="64"/>
      <c r="R374" s="65" t="str">
        <f t="shared" si="11"/>
        <v>Week 3</v>
      </c>
      <c r="S374" s="65" t="str">
        <f>TEXT(Table8[[#This Row],[Date Day]],"mmm,YYYY")</f>
        <v>Jan,2011</v>
      </c>
    </row>
    <row r="375" spans="1:19" ht="15.6" x14ac:dyDescent="0.3">
      <c r="A375" s="62">
        <v>342</v>
      </c>
      <c r="B375" s="63">
        <v>40558</v>
      </c>
      <c r="C375" s="64">
        <v>17</v>
      </c>
      <c r="D375" s="64" t="b">
        <f>IF(COUNTIF(AU$36:AU$52,Table8[[#This Row],[Date Day]]) &gt; 0, TRUE, FALSE)</f>
        <v>0</v>
      </c>
      <c r="E375" s="64">
        <f t="shared" si="10"/>
        <v>6</v>
      </c>
      <c r="F375" s="64">
        <v>2</v>
      </c>
      <c r="G375" s="65" t="str">
        <f>IF(Table8[[#This Row],[Weathersit]]=1, "BAD", IF(Table8[[#This Row],[Weathersit]]=2, "MODERATE", IF(Table8[[#This Row],[Weathersit]]=3, "GOOD")))</f>
        <v>MODERATE</v>
      </c>
      <c r="H375" s="64">
        <v>32</v>
      </c>
      <c r="I375" s="65" t="str">
        <f>IF(Table8[[#This Row],[Temp]]&lt;11, "COLD", IF(Table8[[#This Row],[Temp]]&lt;=25, "COMFORTABLE", "WARM"))</f>
        <v>WARM</v>
      </c>
      <c r="J375" s="64">
        <v>0.30299999999999999</v>
      </c>
      <c r="K375" s="64">
        <v>0.36</v>
      </c>
      <c r="L375" s="66">
        <v>28.360000000000003</v>
      </c>
      <c r="M375" s="75" t="s">
        <v>81</v>
      </c>
      <c r="N375" s="64">
        <v>29</v>
      </c>
      <c r="O375" s="64">
        <v>54</v>
      </c>
      <c r="P375" s="64">
        <v>83</v>
      </c>
      <c r="Q375" s="64"/>
      <c r="R375" s="65" t="str">
        <f t="shared" si="11"/>
        <v>Week 3</v>
      </c>
      <c r="S375" s="65" t="str">
        <f>TEXT(Table8[[#This Row],[Date Day]],"mmm,YYYY")</f>
        <v>Jan,2011</v>
      </c>
    </row>
    <row r="376" spans="1:19" ht="15.6" x14ac:dyDescent="0.3">
      <c r="A376" s="62">
        <v>343</v>
      </c>
      <c r="B376" s="63">
        <v>40558</v>
      </c>
      <c r="C376" s="64">
        <v>18</v>
      </c>
      <c r="D376" s="64" t="b">
        <f>IF(COUNTIF(AU$36:AU$52,Table8[[#This Row],[Date Day]]) &gt; 0, TRUE, FALSE)</f>
        <v>0</v>
      </c>
      <c r="E376" s="64">
        <f t="shared" si="10"/>
        <v>6</v>
      </c>
      <c r="F376" s="64">
        <v>2</v>
      </c>
      <c r="G376" s="65" t="str">
        <f>IF(Table8[[#This Row],[Weathersit]]=1, "BAD", IF(Table8[[#This Row],[Weathersit]]=2, "MODERATE", IF(Table8[[#This Row],[Weathersit]]=3, "GOOD")))</f>
        <v>MODERATE</v>
      </c>
      <c r="H376" s="64">
        <v>30</v>
      </c>
      <c r="I376" s="65" t="str">
        <f>IF(Table8[[#This Row],[Temp]]&lt;11, "COLD", IF(Table8[[#This Row],[Temp]]&lt;=25, "COMFORTABLE", "WARM"))</f>
        <v>WARM</v>
      </c>
      <c r="J376" s="64">
        <v>0.28789999999999999</v>
      </c>
      <c r="K376" s="64">
        <v>0.45</v>
      </c>
      <c r="L376" s="66">
        <v>25.369999999999997</v>
      </c>
      <c r="M376" s="75" t="s">
        <v>81</v>
      </c>
      <c r="N376" s="64">
        <v>15</v>
      </c>
      <c r="O376" s="64">
        <v>69</v>
      </c>
      <c r="P376" s="64">
        <v>84</v>
      </c>
      <c r="Q376" s="64"/>
      <c r="R376" s="65" t="str">
        <f t="shared" si="11"/>
        <v>Week 3</v>
      </c>
      <c r="S376" s="65" t="str">
        <f>TEXT(Table8[[#This Row],[Date Day]],"mmm,YYYY")</f>
        <v>Jan,2011</v>
      </c>
    </row>
    <row r="377" spans="1:19" ht="15.6" x14ac:dyDescent="0.3">
      <c r="A377" s="62">
        <v>344</v>
      </c>
      <c r="B377" s="63">
        <v>40558</v>
      </c>
      <c r="C377" s="64">
        <v>19</v>
      </c>
      <c r="D377" s="64" t="b">
        <f>IF(COUNTIF(AU$36:AU$52,Table8[[#This Row],[Date Day]]) &gt; 0, TRUE, FALSE)</f>
        <v>0</v>
      </c>
      <c r="E377" s="64">
        <f t="shared" si="10"/>
        <v>6</v>
      </c>
      <c r="F377" s="64">
        <v>2</v>
      </c>
      <c r="G377" s="65" t="str">
        <f>IF(Table8[[#This Row],[Weathersit]]=1, "BAD", IF(Table8[[#This Row],[Weathersit]]=2, "MODERATE", IF(Table8[[#This Row],[Weathersit]]=3, "GOOD")))</f>
        <v>MODERATE</v>
      </c>
      <c r="H377" s="64">
        <v>32</v>
      </c>
      <c r="I377" s="65" t="str">
        <f>IF(Table8[[#This Row],[Temp]]&lt;11, "COLD", IF(Table8[[#This Row],[Temp]]&lt;=25, "COMFORTABLE", "WARM"))</f>
        <v>WARM</v>
      </c>
      <c r="J377" s="64">
        <v>0.30299999999999999</v>
      </c>
      <c r="K377" s="64">
        <v>0.39</v>
      </c>
      <c r="L377" s="66">
        <v>25.369999999999997</v>
      </c>
      <c r="M377" s="75" t="s">
        <v>81</v>
      </c>
      <c r="N377" s="64">
        <v>14</v>
      </c>
      <c r="O377" s="64">
        <v>60</v>
      </c>
      <c r="P377" s="64">
        <v>74</v>
      </c>
      <c r="Q377" s="64"/>
      <c r="R377" s="65" t="str">
        <f t="shared" si="11"/>
        <v>Week 3</v>
      </c>
      <c r="S377" s="65" t="str">
        <f>TEXT(Table8[[#This Row],[Date Day]],"mmm,YYYY")</f>
        <v>Jan,2011</v>
      </c>
    </row>
    <row r="378" spans="1:19" ht="15.6" x14ac:dyDescent="0.3">
      <c r="A378" s="62">
        <v>345</v>
      </c>
      <c r="B378" s="63">
        <v>40558</v>
      </c>
      <c r="C378" s="64">
        <v>20</v>
      </c>
      <c r="D378" s="64" t="b">
        <f>IF(COUNTIF(AU$36:AU$52,Table8[[#This Row],[Date Day]]) &gt; 0, TRUE, FALSE)</f>
        <v>0</v>
      </c>
      <c r="E378" s="64">
        <f t="shared" si="10"/>
        <v>6</v>
      </c>
      <c r="F378" s="64">
        <v>2</v>
      </c>
      <c r="G378" s="65" t="str">
        <f>IF(Table8[[#This Row],[Weathersit]]=1, "BAD", IF(Table8[[#This Row],[Weathersit]]=2, "MODERATE", IF(Table8[[#This Row],[Weathersit]]=3, "GOOD")))</f>
        <v>MODERATE</v>
      </c>
      <c r="H378" s="64">
        <v>32</v>
      </c>
      <c r="I378" s="65" t="str">
        <f>IF(Table8[[#This Row],[Temp]]&lt;11, "COLD", IF(Table8[[#This Row],[Temp]]&lt;=25, "COMFORTABLE", "WARM"))</f>
        <v>WARM</v>
      </c>
      <c r="J378" s="64">
        <v>0.30299999999999999</v>
      </c>
      <c r="K378" s="64">
        <v>0.39</v>
      </c>
      <c r="L378" s="66">
        <v>25.369999999999997</v>
      </c>
      <c r="M378" s="75" t="s">
        <v>81</v>
      </c>
      <c r="N378" s="64">
        <v>6</v>
      </c>
      <c r="O378" s="64">
        <v>35</v>
      </c>
      <c r="P378" s="64">
        <v>41</v>
      </c>
      <c r="Q378" s="64"/>
      <c r="R378" s="65" t="str">
        <f t="shared" si="11"/>
        <v>Week 3</v>
      </c>
      <c r="S378" s="65" t="str">
        <f>TEXT(Table8[[#This Row],[Date Day]],"mmm,YYYY")</f>
        <v>Jan,2011</v>
      </c>
    </row>
    <row r="379" spans="1:19" ht="15.6" x14ac:dyDescent="0.3">
      <c r="A379" s="62">
        <v>346</v>
      </c>
      <c r="B379" s="63">
        <v>40558</v>
      </c>
      <c r="C379" s="64">
        <v>21</v>
      </c>
      <c r="D379" s="64" t="b">
        <f>IF(COUNTIF(AU$36:AU$52,Table8[[#This Row],[Date Day]]) &gt; 0, TRUE, FALSE)</f>
        <v>0</v>
      </c>
      <c r="E379" s="64">
        <f t="shared" si="10"/>
        <v>6</v>
      </c>
      <c r="F379" s="64">
        <v>2</v>
      </c>
      <c r="G379" s="65" t="str">
        <f>IF(Table8[[#This Row],[Weathersit]]=1, "BAD", IF(Table8[[#This Row],[Weathersit]]=2, "MODERATE", IF(Table8[[#This Row],[Weathersit]]=3, "GOOD")))</f>
        <v>MODERATE</v>
      </c>
      <c r="H379" s="64">
        <v>32</v>
      </c>
      <c r="I379" s="65" t="str">
        <f>IF(Table8[[#This Row],[Temp]]&lt;11, "COLD", IF(Table8[[#This Row],[Temp]]&lt;=25, "COMFORTABLE", "WARM"))</f>
        <v>WARM</v>
      </c>
      <c r="J379" s="64">
        <v>0.30299999999999999</v>
      </c>
      <c r="K379" s="64">
        <v>0.39</v>
      </c>
      <c r="L379" s="66">
        <v>22.39</v>
      </c>
      <c r="M379" s="75" t="s">
        <v>81</v>
      </c>
      <c r="N379" s="64">
        <v>6</v>
      </c>
      <c r="O379" s="64">
        <v>51</v>
      </c>
      <c r="P379" s="64">
        <v>57</v>
      </c>
      <c r="Q379" s="64"/>
      <c r="R379" s="65" t="str">
        <f t="shared" si="11"/>
        <v>Week 3</v>
      </c>
      <c r="S379" s="65" t="str">
        <f>TEXT(Table8[[#This Row],[Date Day]],"mmm,YYYY")</f>
        <v>Jan,2011</v>
      </c>
    </row>
    <row r="380" spans="1:19" ht="15.6" x14ac:dyDescent="0.3">
      <c r="A380" s="62">
        <v>347</v>
      </c>
      <c r="B380" s="63">
        <v>40558</v>
      </c>
      <c r="C380" s="64">
        <v>22</v>
      </c>
      <c r="D380" s="64" t="b">
        <f>IF(COUNTIF(AU$36:AU$52,Table8[[#This Row],[Date Day]]) &gt; 0, TRUE, FALSE)</f>
        <v>0</v>
      </c>
      <c r="E380" s="64">
        <f t="shared" si="10"/>
        <v>6</v>
      </c>
      <c r="F380" s="64">
        <v>2</v>
      </c>
      <c r="G380" s="65" t="str">
        <f>IF(Table8[[#This Row],[Weathersit]]=1, "BAD", IF(Table8[[#This Row],[Weathersit]]=2, "MODERATE", IF(Table8[[#This Row],[Weathersit]]=3, "GOOD")))</f>
        <v>MODERATE</v>
      </c>
      <c r="H380" s="64">
        <v>30</v>
      </c>
      <c r="I380" s="65" t="str">
        <f>IF(Table8[[#This Row],[Temp]]&lt;11, "COLD", IF(Table8[[#This Row],[Temp]]&lt;=25, "COMFORTABLE", "WARM"))</f>
        <v>WARM</v>
      </c>
      <c r="J380" s="64">
        <v>0.31819999999999998</v>
      </c>
      <c r="K380" s="64">
        <v>0.42</v>
      </c>
      <c r="L380" s="66">
        <v>10.45</v>
      </c>
      <c r="M380" s="75" t="s">
        <v>80</v>
      </c>
      <c r="N380" s="64">
        <v>0</v>
      </c>
      <c r="O380" s="64">
        <v>26</v>
      </c>
      <c r="P380" s="64">
        <v>26</v>
      </c>
      <c r="Q380" s="64"/>
      <c r="R380" s="65" t="str">
        <f t="shared" si="11"/>
        <v>Week 3</v>
      </c>
      <c r="S380" s="65" t="str">
        <f>TEXT(Table8[[#This Row],[Date Day]],"mmm,YYYY")</f>
        <v>Jan,2011</v>
      </c>
    </row>
    <row r="381" spans="1:19" ht="15.6" x14ac:dyDescent="0.3">
      <c r="A381" s="62">
        <v>348</v>
      </c>
      <c r="B381" s="63">
        <v>40558</v>
      </c>
      <c r="C381" s="64">
        <v>23</v>
      </c>
      <c r="D381" s="64" t="b">
        <f>IF(COUNTIF(AU$36:AU$52,Table8[[#This Row],[Date Day]]) &gt; 0, TRUE, FALSE)</f>
        <v>0</v>
      </c>
      <c r="E381" s="64">
        <f t="shared" si="10"/>
        <v>6</v>
      </c>
      <c r="F381" s="64">
        <v>1</v>
      </c>
      <c r="G381" s="65" t="str">
        <f>IF(Table8[[#This Row],[Weathersit]]=1, "BAD", IF(Table8[[#This Row],[Weathersit]]=2, "MODERATE", IF(Table8[[#This Row],[Weathersit]]=3, "GOOD")))</f>
        <v>BAD</v>
      </c>
      <c r="H381" s="64">
        <v>30</v>
      </c>
      <c r="I381" s="65" t="str">
        <f>IF(Table8[[#This Row],[Temp]]&lt;11, "COLD", IF(Table8[[#This Row],[Temp]]&lt;=25, "COMFORTABLE", "WARM"))</f>
        <v>WARM</v>
      </c>
      <c r="J381" s="64">
        <v>0.28789999999999999</v>
      </c>
      <c r="K381" s="64">
        <v>0.45</v>
      </c>
      <c r="L381" s="66">
        <v>28.360000000000003</v>
      </c>
      <c r="M381" s="75" t="s">
        <v>81</v>
      </c>
      <c r="N381" s="64">
        <v>5</v>
      </c>
      <c r="O381" s="64">
        <v>39</v>
      </c>
      <c r="P381" s="64">
        <v>44</v>
      </c>
      <c r="Q381" s="64"/>
      <c r="R381" s="65" t="str">
        <f t="shared" si="11"/>
        <v>Week 3</v>
      </c>
      <c r="S381" s="65" t="str">
        <f>TEXT(Table8[[#This Row],[Date Day]],"mmm,YYYY")</f>
        <v>Jan,2011</v>
      </c>
    </row>
    <row r="382" spans="1:19" ht="15.6" x14ac:dyDescent="0.3">
      <c r="A382" s="62">
        <v>349</v>
      </c>
      <c r="B382" s="63">
        <v>40559</v>
      </c>
      <c r="C382" s="64">
        <v>0</v>
      </c>
      <c r="D382" s="64" t="b">
        <f>IF(COUNTIF(AU$36:AU$52,Table8[[#This Row],[Date Day]]) &gt; 0, TRUE, FALSE)</f>
        <v>0</v>
      </c>
      <c r="E382" s="64">
        <f t="shared" si="10"/>
        <v>7</v>
      </c>
      <c r="F382" s="64">
        <v>1</v>
      </c>
      <c r="G382" s="65" t="str">
        <f>IF(Table8[[#This Row],[Weathersit]]=1, "BAD", IF(Table8[[#This Row],[Weathersit]]=2, "MODERATE", IF(Table8[[#This Row],[Weathersit]]=3, "GOOD")))</f>
        <v>BAD</v>
      </c>
      <c r="H382" s="64">
        <v>26</v>
      </c>
      <c r="I382" s="65" t="str">
        <f>IF(Table8[[#This Row],[Temp]]&lt;11, "COLD", IF(Table8[[#This Row],[Temp]]&lt;=25, "COMFORTABLE", "WARM"))</f>
        <v>WARM</v>
      </c>
      <c r="J382" s="64">
        <v>0.30299999999999999</v>
      </c>
      <c r="K382" s="64">
        <v>0.56000000000000005</v>
      </c>
      <c r="L382" s="66">
        <v>20.485098360655737</v>
      </c>
      <c r="M382" s="75" t="s">
        <v>81</v>
      </c>
      <c r="N382" s="64">
        <v>6</v>
      </c>
      <c r="O382" s="64">
        <v>33</v>
      </c>
      <c r="P382" s="64">
        <v>39</v>
      </c>
      <c r="Q382" s="64"/>
      <c r="R382" s="65" t="str">
        <f t="shared" si="11"/>
        <v>Week 3</v>
      </c>
      <c r="S382" s="65" t="str">
        <f>TEXT(Table8[[#This Row],[Date Day]],"mmm,YYYY")</f>
        <v>Jan,2011</v>
      </c>
    </row>
    <row r="383" spans="1:19" ht="15.6" x14ac:dyDescent="0.3">
      <c r="A383" s="62">
        <v>350</v>
      </c>
      <c r="B383" s="63">
        <v>40559</v>
      </c>
      <c r="C383" s="64">
        <v>1</v>
      </c>
      <c r="D383" s="64" t="b">
        <f>IF(COUNTIF(AU$36:AU$52,Table8[[#This Row],[Date Day]]) &gt; 0, TRUE, FALSE)</f>
        <v>0</v>
      </c>
      <c r="E383" s="64">
        <f t="shared" si="10"/>
        <v>7</v>
      </c>
      <c r="F383" s="64">
        <v>1</v>
      </c>
      <c r="G383" s="65" t="str">
        <f>IF(Table8[[#This Row],[Weathersit]]=1, "BAD", IF(Table8[[#This Row],[Weathersit]]=2, "MODERATE", IF(Table8[[#This Row],[Weathersit]]=3, "GOOD")))</f>
        <v>BAD</v>
      </c>
      <c r="H383" s="64">
        <v>26</v>
      </c>
      <c r="I383" s="65" t="str">
        <f>IF(Table8[[#This Row],[Temp]]&lt;11, "COLD", IF(Table8[[#This Row],[Temp]]&lt;=25, "COMFORTABLE", "WARM"))</f>
        <v>WARM</v>
      </c>
      <c r="J383" s="64">
        <v>0.2727</v>
      </c>
      <c r="K383" s="64">
        <v>0.56000000000000005</v>
      </c>
      <c r="L383" s="66">
        <v>13.43</v>
      </c>
      <c r="M383" s="75" t="s">
        <v>80</v>
      </c>
      <c r="N383" s="64">
        <v>4</v>
      </c>
      <c r="O383" s="64">
        <v>19</v>
      </c>
      <c r="P383" s="64">
        <v>23</v>
      </c>
      <c r="Q383" s="64"/>
      <c r="R383" s="65" t="str">
        <f t="shared" si="11"/>
        <v>Week 3</v>
      </c>
      <c r="S383" s="65" t="str">
        <f>TEXT(Table8[[#This Row],[Date Day]],"mmm,YYYY")</f>
        <v>Jan,2011</v>
      </c>
    </row>
    <row r="384" spans="1:19" ht="15.6" x14ac:dyDescent="0.3">
      <c r="A384" s="62">
        <v>351</v>
      </c>
      <c r="B384" s="63">
        <v>40559</v>
      </c>
      <c r="C384" s="64">
        <v>2</v>
      </c>
      <c r="D384" s="64" t="b">
        <f>IF(COUNTIF(AU$36:AU$52,Table8[[#This Row],[Date Day]]) &gt; 0, TRUE, FALSE)</f>
        <v>0</v>
      </c>
      <c r="E384" s="64">
        <f t="shared" si="10"/>
        <v>7</v>
      </c>
      <c r="F384" s="64">
        <v>1</v>
      </c>
      <c r="G384" s="65" t="str">
        <f>IF(Table8[[#This Row],[Weathersit]]=1, "BAD", IF(Table8[[#This Row],[Weathersit]]=2, "MODERATE", IF(Table8[[#This Row],[Weathersit]]=3, "GOOD")))</f>
        <v>BAD</v>
      </c>
      <c r="H384" s="64">
        <v>26</v>
      </c>
      <c r="I384" s="65" t="str">
        <f>IF(Table8[[#This Row],[Temp]]&lt;11, "COLD", IF(Table8[[#This Row],[Temp]]&lt;=25, "COMFORTABLE", "WARM"))</f>
        <v>WARM</v>
      </c>
      <c r="J384" s="64">
        <v>0.28789999999999999</v>
      </c>
      <c r="K384" s="64">
        <v>0.56000000000000005</v>
      </c>
      <c r="L384" s="66">
        <v>8.9599999999999991</v>
      </c>
      <c r="M384" s="75" t="s">
        <v>80</v>
      </c>
      <c r="N384" s="64">
        <v>3</v>
      </c>
      <c r="O384" s="64">
        <v>13</v>
      </c>
      <c r="P384" s="64">
        <v>16</v>
      </c>
      <c r="Q384" s="64"/>
      <c r="R384" s="65" t="str">
        <f t="shared" si="11"/>
        <v>Week 3</v>
      </c>
      <c r="S384" s="65" t="str">
        <f>TEXT(Table8[[#This Row],[Date Day]],"mmm,YYYY")</f>
        <v>Jan,2011</v>
      </c>
    </row>
    <row r="385" spans="1:19" ht="15.6" x14ac:dyDescent="0.3">
      <c r="A385" s="62">
        <v>352</v>
      </c>
      <c r="B385" s="63">
        <v>40559</v>
      </c>
      <c r="C385" s="64">
        <v>3</v>
      </c>
      <c r="D385" s="64" t="b">
        <f>IF(COUNTIF(AU$36:AU$52,Table8[[#This Row],[Date Day]]) &gt; 0, TRUE, FALSE)</f>
        <v>0</v>
      </c>
      <c r="E385" s="64">
        <f t="shared" si="10"/>
        <v>7</v>
      </c>
      <c r="F385" s="64">
        <v>1</v>
      </c>
      <c r="G385" s="65" t="str">
        <f>IF(Table8[[#This Row],[Weathersit]]=1, "BAD", IF(Table8[[#This Row],[Weathersit]]=2, "MODERATE", IF(Table8[[#This Row],[Weathersit]]=3, "GOOD")))</f>
        <v>BAD</v>
      </c>
      <c r="H385" s="64">
        <v>22</v>
      </c>
      <c r="I385" s="65" t="str">
        <f>IF(Table8[[#This Row],[Temp]]&lt;11, "COLD", IF(Table8[[#This Row],[Temp]]&lt;=25, "COMFORTABLE", "WARM"))</f>
        <v>COMFORTABLE</v>
      </c>
      <c r="J385" s="64">
        <v>0.2727</v>
      </c>
      <c r="K385" s="64">
        <v>0.69</v>
      </c>
      <c r="L385" s="66">
        <v>20.485098360655737</v>
      </c>
      <c r="M385" s="75" t="s">
        <v>81</v>
      </c>
      <c r="N385" s="64">
        <v>9</v>
      </c>
      <c r="O385" s="64">
        <v>6</v>
      </c>
      <c r="P385" s="64">
        <v>15</v>
      </c>
      <c r="Q385" s="64"/>
      <c r="R385" s="65" t="str">
        <f t="shared" si="11"/>
        <v>Week 3</v>
      </c>
      <c r="S385" s="65" t="str">
        <f>TEXT(Table8[[#This Row],[Date Day]],"mmm,YYYY")</f>
        <v>Jan,2011</v>
      </c>
    </row>
    <row r="386" spans="1:19" ht="15.6" x14ac:dyDescent="0.3">
      <c r="A386" s="62">
        <v>353</v>
      </c>
      <c r="B386" s="63">
        <v>40559</v>
      </c>
      <c r="C386" s="64">
        <v>4</v>
      </c>
      <c r="D386" s="64" t="b">
        <f>IF(COUNTIF(AU$36:AU$52,Table8[[#This Row],[Date Day]]) &gt; 0, TRUE, FALSE)</f>
        <v>0</v>
      </c>
      <c r="E386" s="64">
        <f t="shared" si="10"/>
        <v>7</v>
      </c>
      <c r="F386" s="64">
        <v>1</v>
      </c>
      <c r="G386" s="65" t="str">
        <f>IF(Table8[[#This Row],[Weathersit]]=1, "BAD", IF(Table8[[#This Row],[Weathersit]]=2, "MODERATE", IF(Table8[[#This Row],[Weathersit]]=3, "GOOD")))</f>
        <v>BAD</v>
      </c>
      <c r="H386" s="64">
        <v>26</v>
      </c>
      <c r="I386" s="65" t="str">
        <f>IF(Table8[[#This Row],[Temp]]&lt;11, "COLD", IF(Table8[[#This Row],[Temp]]&lt;=25, "COMFORTABLE", "WARM"))</f>
        <v>WARM</v>
      </c>
      <c r="J386" s="64">
        <v>0.2576</v>
      </c>
      <c r="K386" s="64">
        <v>0.56000000000000005</v>
      </c>
      <c r="L386" s="66">
        <v>16.420000000000002</v>
      </c>
      <c r="M386" s="75" t="s">
        <v>80</v>
      </c>
      <c r="N386" s="64">
        <v>0</v>
      </c>
      <c r="O386" s="64">
        <v>1</v>
      </c>
      <c r="P386" s="64">
        <v>1</v>
      </c>
      <c r="Q386" s="64"/>
      <c r="R386" s="65" t="str">
        <f t="shared" si="11"/>
        <v>Week 3</v>
      </c>
      <c r="S386" s="65" t="str">
        <f>TEXT(Table8[[#This Row],[Date Day]],"mmm,YYYY")</f>
        <v>Jan,2011</v>
      </c>
    </row>
    <row r="387" spans="1:19" ht="15.6" x14ac:dyDescent="0.3">
      <c r="A387" s="62">
        <v>354</v>
      </c>
      <c r="B387" s="63">
        <v>40559</v>
      </c>
      <c r="C387" s="64">
        <v>5</v>
      </c>
      <c r="D387" s="64" t="b">
        <f>IF(COUNTIF(AU$36:AU$52,Table8[[#This Row],[Date Day]]) &gt; 0, TRUE, FALSE)</f>
        <v>0</v>
      </c>
      <c r="E387" s="64">
        <f t="shared" si="10"/>
        <v>7</v>
      </c>
      <c r="F387" s="64">
        <v>2</v>
      </c>
      <c r="G387" s="65" t="str">
        <f>IF(Table8[[#This Row],[Weathersit]]=1, "BAD", IF(Table8[[#This Row],[Weathersit]]=2, "MODERATE", IF(Table8[[#This Row],[Weathersit]]=3, "GOOD")))</f>
        <v>MODERATE</v>
      </c>
      <c r="H387" s="64">
        <v>26</v>
      </c>
      <c r="I387" s="65" t="str">
        <f>IF(Table8[[#This Row],[Temp]]&lt;11, "COLD", IF(Table8[[#This Row],[Temp]]&lt;=25, "COMFORTABLE", "WARM"))</f>
        <v>WARM</v>
      </c>
      <c r="J387" s="64">
        <v>0.2576</v>
      </c>
      <c r="K387" s="64">
        <v>0.56000000000000005</v>
      </c>
      <c r="L387" s="66">
        <v>16.420000000000002</v>
      </c>
      <c r="M387" s="75" t="s">
        <v>80</v>
      </c>
      <c r="N387" s="64">
        <v>1</v>
      </c>
      <c r="O387" s="64">
        <v>1</v>
      </c>
      <c r="P387" s="64">
        <v>2</v>
      </c>
      <c r="Q387" s="64"/>
      <c r="R387" s="65" t="str">
        <f t="shared" si="11"/>
        <v>Week 3</v>
      </c>
      <c r="S387" s="65" t="str">
        <f>TEXT(Table8[[#This Row],[Date Day]],"mmm,YYYY")</f>
        <v>Jan,2011</v>
      </c>
    </row>
    <row r="388" spans="1:19" ht="15.6" x14ac:dyDescent="0.3">
      <c r="A388" s="62">
        <v>355</v>
      </c>
      <c r="B388" s="63">
        <v>40559</v>
      </c>
      <c r="C388" s="64">
        <v>6</v>
      </c>
      <c r="D388" s="64" t="b">
        <f>IF(COUNTIF(AU$36:AU$52,Table8[[#This Row],[Date Day]]) &gt; 0, TRUE, FALSE)</f>
        <v>0</v>
      </c>
      <c r="E388" s="64">
        <f t="shared" si="10"/>
        <v>7</v>
      </c>
      <c r="F388" s="64">
        <v>2</v>
      </c>
      <c r="G388" s="65" t="str">
        <f>IF(Table8[[#This Row],[Weathersit]]=1, "BAD", IF(Table8[[#This Row],[Weathersit]]=2, "MODERATE", IF(Table8[[#This Row],[Weathersit]]=3, "GOOD")))</f>
        <v>MODERATE</v>
      </c>
      <c r="H388" s="64">
        <v>26</v>
      </c>
      <c r="I388" s="65" t="str">
        <f>IF(Table8[[#This Row],[Temp]]&lt;11, "COLD", IF(Table8[[#This Row],[Temp]]&lt;=25, "COMFORTABLE", "WARM"))</f>
        <v>WARM</v>
      </c>
      <c r="J388" s="64">
        <v>0.2576</v>
      </c>
      <c r="K388" s="64">
        <v>0.56000000000000005</v>
      </c>
      <c r="L388" s="66">
        <v>16.420000000000002</v>
      </c>
      <c r="M388" s="75" t="s">
        <v>80</v>
      </c>
      <c r="N388" s="64">
        <v>0</v>
      </c>
      <c r="O388" s="64">
        <v>1</v>
      </c>
      <c r="P388" s="64">
        <v>1</v>
      </c>
      <c r="Q388" s="64"/>
      <c r="R388" s="65" t="str">
        <f t="shared" si="11"/>
        <v>Week 3</v>
      </c>
      <c r="S388" s="65" t="str">
        <f>TEXT(Table8[[#This Row],[Date Day]],"mmm,YYYY")</f>
        <v>Jan,2011</v>
      </c>
    </row>
    <row r="389" spans="1:19" ht="15.6" x14ac:dyDescent="0.3">
      <c r="A389" s="62">
        <v>356</v>
      </c>
      <c r="B389" s="63">
        <v>40559</v>
      </c>
      <c r="C389" s="64">
        <v>7</v>
      </c>
      <c r="D389" s="64" t="b">
        <f>IF(COUNTIF(AU$36:AU$52,Table8[[#This Row],[Date Day]]) &gt; 0, TRUE, FALSE)</f>
        <v>0</v>
      </c>
      <c r="E389" s="64">
        <f t="shared" si="10"/>
        <v>7</v>
      </c>
      <c r="F389" s="64">
        <v>2</v>
      </c>
      <c r="G389" s="65" t="str">
        <f>IF(Table8[[#This Row],[Weathersit]]=1, "BAD", IF(Table8[[#This Row],[Weathersit]]=2, "MODERATE", IF(Table8[[#This Row],[Weathersit]]=3, "GOOD")))</f>
        <v>MODERATE</v>
      </c>
      <c r="H389" s="64">
        <v>24</v>
      </c>
      <c r="I389" s="65" t="str">
        <f>IF(Table8[[#This Row],[Temp]]&lt;11, "COLD", IF(Table8[[#This Row],[Temp]]&lt;=25, "COMFORTABLE", "WARM"))</f>
        <v>COMFORTABLE</v>
      </c>
      <c r="J389" s="64">
        <v>0.21210000000000001</v>
      </c>
      <c r="K389" s="64">
        <v>0.56000000000000005</v>
      </c>
      <c r="L389" s="66">
        <v>29.849999999999998</v>
      </c>
      <c r="M389" s="75" t="s">
        <v>81</v>
      </c>
      <c r="N389" s="64">
        <v>0</v>
      </c>
      <c r="O389" s="64">
        <v>3</v>
      </c>
      <c r="P389" s="64">
        <v>3</v>
      </c>
      <c r="Q389" s="64"/>
      <c r="R389" s="65" t="str">
        <f t="shared" si="11"/>
        <v>Week 3</v>
      </c>
      <c r="S389" s="65" t="str">
        <f>TEXT(Table8[[#This Row],[Date Day]],"mmm,YYYY")</f>
        <v>Jan,2011</v>
      </c>
    </row>
    <row r="390" spans="1:19" ht="15.6" x14ac:dyDescent="0.3">
      <c r="A390" s="62">
        <v>357</v>
      </c>
      <c r="B390" s="63">
        <v>40559</v>
      </c>
      <c r="C390" s="64">
        <v>8</v>
      </c>
      <c r="D390" s="64" t="b">
        <f>IF(COUNTIF(AU$36:AU$52,Table8[[#This Row],[Date Day]]) &gt; 0, TRUE, FALSE)</f>
        <v>0</v>
      </c>
      <c r="E390" s="64">
        <f t="shared" si="10"/>
        <v>7</v>
      </c>
      <c r="F390" s="64">
        <v>1</v>
      </c>
      <c r="G390" s="65" t="str">
        <f>IF(Table8[[#This Row],[Weathersit]]=1, "BAD", IF(Table8[[#This Row],[Weathersit]]=2, "MODERATE", IF(Table8[[#This Row],[Weathersit]]=3, "GOOD")))</f>
        <v>BAD</v>
      </c>
      <c r="H390" s="64">
        <v>22</v>
      </c>
      <c r="I390" s="65" t="str">
        <f>IF(Table8[[#This Row],[Temp]]&lt;11, "COLD", IF(Table8[[#This Row],[Temp]]&lt;=25, "COMFORTABLE", "WARM"))</f>
        <v>COMFORTABLE</v>
      </c>
      <c r="J390" s="64">
        <v>0.21210000000000001</v>
      </c>
      <c r="K390" s="64">
        <v>0.55000000000000004</v>
      </c>
      <c r="L390" s="66">
        <v>28.360000000000003</v>
      </c>
      <c r="M390" s="75" t="s">
        <v>81</v>
      </c>
      <c r="N390" s="64">
        <v>0</v>
      </c>
      <c r="O390" s="64">
        <v>18</v>
      </c>
      <c r="P390" s="64">
        <v>18</v>
      </c>
      <c r="Q390" s="64"/>
      <c r="R390" s="65" t="str">
        <f t="shared" si="11"/>
        <v>Week 3</v>
      </c>
      <c r="S390" s="65" t="str">
        <f>TEXT(Table8[[#This Row],[Date Day]],"mmm,YYYY")</f>
        <v>Jan,2011</v>
      </c>
    </row>
    <row r="391" spans="1:19" ht="15.6" x14ac:dyDescent="0.3">
      <c r="A391" s="62">
        <v>358</v>
      </c>
      <c r="B391" s="63">
        <v>40559</v>
      </c>
      <c r="C391" s="64">
        <v>9</v>
      </c>
      <c r="D391" s="64" t="b">
        <f>IF(COUNTIF(AU$36:AU$52,Table8[[#This Row],[Date Day]]) &gt; 0, TRUE, FALSE)</f>
        <v>0</v>
      </c>
      <c r="E391" s="64">
        <f t="shared" si="10"/>
        <v>7</v>
      </c>
      <c r="F391" s="64">
        <v>1</v>
      </c>
      <c r="G391" s="65" t="str">
        <f>IF(Table8[[#This Row],[Weathersit]]=1, "BAD", IF(Table8[[#This Row],[Weathersit]]=2, "MODERATE", IF(Table8[[#This Row],[Weathersit]]=3, "GOOD")))</f>
        <v>BAD</v>
      </c>
      <c r="H391" s="64">
        <v>22</v>
      </c>
      <c r="I391" s="65" t="str">
        <f>IF(Table8[[#This Row],[Temp]]&lt;11, "COLD", IF(Table8[[#This Row],[Temp]]&lt;=25, "COMFORTABLE", "WARM"))</f>
        <v>COMFORTABLE</v>
      </c>
      <c r="J391" s="64">
        <v>0.21210000000000001</v>
      </c>
      <c r="K391" s="64">
        <v>0.51</v>
      </c>
      <c r="L391" s="66">
        <v>25.369999999999997</v>
      </c>
      <c r="M391" s="75" t="s">
        <v>81</v>
      </c>
      <c r="N391" s="64">
        <v>3</v>
      </c>
      <c r="O391" s="64">
        <v>29</v>
      </c>
      <c r="P391" s="64">
        <v>32</v>
      </c>
      <c r="Q391" s="64"/>
      <c r="R391" s="65" t="str">
        <f t="shared" si="11"/>
        <v>Week 3</v>
      </c>
      <c r="S391" s="65" t="str">
        <f>TEXT(Table8[[#This Row],[Date Day]],"mmm,YYYY")</f>
        <v>Jan,2011</v>
      </c>
    </row>
    <row r="392" spans="1:19" ht="15.6" x14ac:dyDescent="0.3">
      <c r="A392" s="62">
        <v>359</v>
      </c>
      <c r="B392" s="63">
        <v>40559</v>
      </c>
      <c r="C392" s="64">
        <v>10</v>
      </c>
      <c r="D392" s="64" t="b">
        <f>IF(COUNTIF(AU$36:AU$52,Table8[[#This Row],[Date Day]]) &gt; 0, TRUE, FALSE)</f>
        <v>0</v>
      </c>
      <c r="E392" s="64">
        <f t="shared" si="10"/>
        <v>7</v>
      </c>
      <c r="F392" s="64">
        <v>1</v>
      </c>
      <c r="G392" s="65" t="str">
        <f>IF(Table8[[#This Row],[Weathersit]]=1, "BAD", IF(Table8[[#This Row],[Weathersit]]=2, "MODERATE", IF(Table8[[#This Row],[Weathersit]]=3, "GOOD")))</f>
        <v>BAD</v>
      </c>
      <c r="H392" s="64">
        <v>22</v>
      </c>
      <c r="I392" s="65" t="str">
        <f>IF(Table8[[#This Row],[Temp]]&lt;11, "COLD", IF(Table8[[#This Row],[Temp]]&lt;=25, "COMFORTABLE", "WARM"))</f>
        <v>COMFORTABLE</v>
      </c>
      <c r="J392" s="64">
        <v>0.21210000000000001</v>
      </c>
      <c r="K392" s="64">
        <v>0.51</v>
      </c>
      <c r="L392" s="66">
        <v>28.360000000000003</v>
      </c>
      <c r="M392" s="75" t="s">
        <v>81</v>
      </c>
      <c r="N392" s="64">
        <v>8</v>
      </c>
      <c r="O392" s="64">
        <v>71</v>
      </c>
      <c r="P392" s="64">
        <v>79</v>
      </c>
      <c r="Q392" s="64"/>
      <c r="R392" s="65" t="str">
        <f t="shared" si="11"/>
        <v>Week 3</v>
      </c>
      <c r="S392" s="65" t="str">
        <f>TEXT(Table8[[#This Row],[Date Day]],"mmm,YYYY")</f>
        <v>Jan,2011</v>
      </c>
    </row>
    <row r="393" spans="1:19" ht="15.6" x14ac:dyDescent="0.3">
      <c r="A393" s="62">
        <v>360</v>
      </c>
      <c r="B393" s="63">
        <v>40559</v>
      </c>
      <c r="C393" s="64">
        <v>11</v>
      </c>
      <c r="D393" s="64" t="b">
        <f>IF(COUNTIF(AU$36:AU$52,Table8[[#This Row],[Date Day]]) &gt; 0, TRUE, FALSE)</f>
        <v>0</v>
      </c>
      <c r="E393" s="64">
        <f t="shared" si="10"/>
        <v>7</v>
      </c>
      <c r="F393" s="64">
        <v>1</v>
      </c>
      <c r="G393" s="65" t="str">
        <f>IF(Table8[[#This Row],[Weathersit]]=1, "BAD", IF(Table8[[#This Row],[Weathersit]]=2, "MODERATE", IF(Table8[[#This Row],[Weathersit]]=3, "GOOD")))</f>
        <v>BAD</v>
      </c>
      <c r="H393" s="64">
        <v>24</v>
      </c>
      <c r="I393" s="65" t="str">
        <f>IF(Table8[[#This Row],[Temp]]&lt;11, "COLD", IF(Table8[[#This Row],[Temp]]&lt;=25, "COMFORTABLE", "WARM"))</f>
        <v>COMFORTABLE</v>
      </c>
      <c r="J393" s="64">
        <v>0.2273</v>
      </c>
      <c r="K393" s="64">
        <v>0.44</v>
      </c>
      <c r="L393" s="66">
        <v>25.369999999999997</v>
      </c>
      <c r="M393" s="75" t="s">
        <v>81</v>
      </c>
      <c r="N393" s="64">
        <v>23</v>
      </c>
      <c r="O393" s="64">
        <v>70</v>
      </c>
      <c r="P393" s="64">
        <v>93</v>
      </c>
      <c r="Q393" s="64"/>
      <c r="R393" s="65" t="str">
        <f t="shared" si="11"/>
        <v>Week 3</v>
      </c>
      <c r="S393" s="65" t="str">
        <f>TEXT(Table8[[#This Row],[Date Day]],"mmm,YYYY")</f>
        <v>Jan,2011</v>
      </c>
    </row>
    <row r="394" spans="1:19" ht="15.6" x14ac:dyDescent="0.3">
      <c r="A394" s="62">
        <v>361</v>
      </c>
      <c r="B394" s="63">
        <v>40559</v>
      </c>
      <c r="C394" s="64">
        <v>12</v>
      </c>
      <c r="D394" s="64" t="b">
        <f>IF(COUNTIF(AU$36:AU$52,Table8[[#This Row],[Date Day]]) &gt; 0, TRUE, FALSE)</f>
        <v>0</v>
      </c>
      <c r="E394" s="64">
        <f t="shared" si="10"/>
        <v>7</v>
      </c>
      <c r="F394" s="64">
        <v>1</v>
      </c>
      <c r="G394" s="65" t="str">
        <f>IF(Table8[[#This Row],[Weathersit]]=1, "BAD", IF(Table8[[#This Row],[Weathersit]]=2, "MODERATE", IF(Table8[[#This Row],[Weathersit]]=3, "GOOD")))</f>
        <v>BAD</v>
      </c>
      <c r="H394" s="64">
        <v>24</v>
      </c>
      <c r="I394" s="65" t="str">
        <f>IF(Table8[[#This Row],[Temp]]&lt;11, "COLD", IF(Table8[[#This Row],[Temp]]&lt;=25, "COMFORTABLE", "WARM"))</f>
        <v>COMFORTABLE</v>
      </c>
      <c r="J394" s="64">
        <v>0.21210000000000001</v>
      </c>
      <c r="K394" s="64">
        <v>0.41</v>
      </c>
      <c r="L394" s="66">
        <v>28.360000000000003</v>
      </c>
      <c r="M394" s="75" t="s">
        <v>81</v>
      </c>
      <c r="N394" s="64">
        <v>29</v>
      </c>
      <c r="O394" s="64">
        <v>75</v>
      </c>
      <c r="P394" s="64">
        <v>104</v>
      </c>
      <c r="Q394" s="64"/>
      <c r="R394" s="65" t="str">
        <f t="shared" si="11"/>
        <v>Week 3</v>
      </c>
      <c r="S394" s="65" t="str">
        <f>TEXT(Table8[[#This Row],[Date Day]],"mmm,YYYY")</f>
        <v>Jan,2011</v>
      </c>
    </row>
    <row r="395" spans="1:19" ht="15.6" x14ac:dyDescent="0.3">
      <c r="A395" s="62">
        <v>362</v>
      </c>
      <c r="B395" s="63">
        <v>40559</v>
      </c>
      <c r="C395" s="64">
        <v>13</v>
      </c>
      <c r="D395" s="64" t="b">
        <f>IF(COUNTIF(AU$36:AU$52,Table8[[#This Row],[Date Day]]) &gt; 0, TRUE, FALSE)</f>
        <v>0</v>
      </c>
      <c r="E395" s="64">
        <f t="shared" si="10"/>
        <v>7</v>
      </c>
      <c r="F395" s="64">
        <v>1</v>
      </c>
      <c r="G395" s="65" t="str">
        <f>IF(Table8[[#This Row],[Weathersit]]=1, "BAD", IF(Table8[[#This Row],[Weathersit]]=2, "MODERATE", IF(Table8[[#This Row],[Weathersit]]=3, "GOOD")))</f>
        <v>BAD</v>
      </c>
      <c r="H395" s="64">
        <v>26</v>
      </c>
      <c r="I395" s="65" t="str">
        <f>IF(Table8[[#This Row],[Temp]]&lt;11, "COLD", IF(Table8[[#This Row],[Temp]]&lt;=25, "COMFORTABLE", "WARM"))</f>
        <v>WARM</v>
      </c>
      <c r="J395" s="64">
        <v>0.2273</v>
      </c>
      <c r="K395" s="64">
        <v>0.35</v>
      </c>
      <c r="L395" s="66">
        <v>29.849999999999998</v>
      </c>
      <c r="M395" s="75" t="s">
        <v>81</v>
      </c>
      <c r="N395" s="64">
        <v>23</v>
      </c>
      <c r="O395" s="64">
        <v>95</v>
      </c>
      <c r="P395" s="64">
        <v>118</v>
      </c>
      <c r="Q395" s="64"/>
      <c r="R395" s="65" t="str">
        <f t="shared" si="11"/>
        <v>Week 3</v>
      </c>
      <c r="S395" s="65" t="str">
        <f>TEXT(Table8[[#This Row],[Date Day]],"mmm,YYYY")</f>
        <v>Jan,2011</v>
      </c>
    </row>
    <row r="396" spans="1:19" ht="15.6" x14ac:dyDescent="0.3">
      <c r="A396" s="62">
        <v>363</v>
      </c>
      <c r="B396" s="63">
        <v>40559</v>
      </c>
      <c r="C396" s="64">
        <v>14</v>
      </c>
      <c r="D396" s="64" t="b">
        <f>IF(COUNTIF(AU$36:AU$52,Table8[[#This Row],[Date Day]]) &gt; 0, TRUE, FALSE)</f>
        <v>0</v>
      </c>
      <c r="E396" s="64">
        <f t="shared" si="10"/>
        <v>7</v>
      </c>
      <c r="F396" s="64">
        <v>1</v>
      </c>
      <c r="G396" s="65" t="str">
        <f>IF(Table8[[#This Row],[Weathersit]]=1, "BAD", IF(Table8[[#This Row],[Weathersit]]=2, "MODERATE", IF(Table8[[#This Row],[Weathersit]]=3, "GOOD")))</f>
        <v>BAD</v>
      </c>
      <c r="H396" s="64">
        <v>28.000000000000004</v>
      </c>
      <c r="I396" s="65" t="str">
        <f>IF(Table8[[#This Row],[Temp]]&lt;11, "COLD", IF(Table8[[#This Row],[Temp]]&lt;=25, "COMFORTABLE", "WARM"))</f>
        <v>WARM</v>
      </c>
      <c r="J396" s="64">
        <v>0.2727</v>
      </c>
      <c r="K396" s="64">
        <v>0.36</v>
      </c>
      <c r="L396" s="66">
        <v>25.369999999999997</v>
      </c>
      <c r="M396" s="75" t="s">
        <v>81</v>
      </c>
      <c r="N396" s="64">
        <v>22</v>
      </c>
      <c r="O396" s="64">
        <v>69</v>
      </c>
      <c r="P396" s="64">
        <v>91</v>
      </c>
      <c r="Q396" s="64"/>
      <c r="R396" s="65" t="str">
        <f t="shared" si="11"/>
        <v>Week 3</v>
      </c>
      <c r="S396" s="65" t="str">
        <f>TEXT(Table8[[#This Row],[Date Day]],"mmm,YYYY")</f>
        <v>Jan,2011</v>
      </c>
    </row>
    <row r="397" spans="1:19" ht="15.6" x14ac:dyDescent="0.3">
      <c r="A397" s="62">
        <v>364</v>
      </c>
      <c r="B397" s="63">
        <v>40559</v>
      </c>
      <c r="C397" s="64">
        <v>15</v>
      </c>
      <c r="D397" s="64" t="b">
        <f>IF(COUNTIF(AU$36:AU$52,Table8[[#This Row],[Date Day]]) &gt; 0, TRUE, FALSE)</f>
        <v>0</v>
      </c>
      <c r="E397" s="64">
        <f t="shared" si="10"/>
        <v>7</v>
      </c>
      <c r="F397" s="64">
        <v>1</v>
      </c>
      <c r="G397" s="65" t="str">
        <f>IF(Table8[[#This Row],[Weathersit]]=1, "BAD", IF(Table8[[#This Row],[Weathersit]]=2, "MODERATE", IF(Table8[[#This Row],[Weathersit]]=3, "GOOD")))</f>
        <v>BAD</v>
      </c>
      <c r="H397" s="64">
        <v>26</v>
      </c>
      <c r="I397" s="65" t="str">
        <f>IF(Table8[[#This Row],[Temp]]&lt;11, "COLD", IF(Table8[[#This Row],[Temp]]&lt;=25, "COMFORTABLE", "WARM"))</f>
        <v>WARM</v>
      </c>
      <c r="J397" s="64">
        <v>0.2424</v>
      </c>
      <c r="K397" s="64">
        <v>0.38</v>
      </c>
      <c r="L397" s="66">
        <v>25.369999999999997</v>
      </c>
      <c r="M397" s="75" t="s">
        <v>81</v>
      </c>
      <c r="N397" s="64">
        <v>35</v>
      </c>
      <c r="O397" s="64">
        <v>78</v>
      </c>
      <c r="P397" s="64">
        <v>113</v>
      </c>
      <c r="Q397" s="64"/>
      <c r="R397" s="65" t="str">
        <f t="shared" si="11"/>
        <v>Week 3</v>
      </c>
      <c r="S397" s="65" t="str">
        <f>TEXT(Table8[[#This Row],[Date Day]],"mmm,YYYY")</f>
        <v>Jan,2011</v>
      </c>
    </row>
    <row r="398" spans="1:19" ht="15.6" x14ac:dyDescent="0.3">
      <c r="A398" s="62">
        <v>365</v>
      </c>
      <c r="B398" s="63">
        <v>40559</v>
      </c>
      <c r="C398" s="64">
        <v>16</v>
      </c>
      <c r="D398" s="64" t="b">
        <f>IF(COUNTIF(AU$36:AU$52,Table8[[#This Row],[Date Day]]) &gt; 0, TRUE, FALSE)</f>
        <v>0</v>
      </c>
      <c r="E398" s="64">
        <f t="shared" si="10"/>
        <v>7</v>
      </c>
      <c r="F398" s="64">
        <v>1</v>
      </c>
      <c r="G398" s="65" t="str">
        <f>IF(Table8[[#This Row],[Weathersit]]=1, "BAD", IF(Table8[[#This Row],[Weathersit]]=2, "MODERATE", IF(Table8[[#This Row],[Weathersit]]=3, "GOOD")))</f>
        <v>BAD</v>
      </c>
      <c r="H398" s="64">
        <v>24</v>
      </c>
      <c r="I398" s="65" t="str">
        <f>IF(Table8[[#This Row],[Temp]]&lt;11, "COLD", IF(Table8[[#This Row],[Temp]]&lt;=25, "COMFORTABLE", "WARM"))</f>
        <v>COMFORTABLE</v>
      </c>
      <c r="J398" s="64">
        <v>0.2273</v>
      </c>
      <c r="K398" s="64">
        <v>0.38</v>
      </c>
      <c r="L398" s="66">
        <v>22.39</v>
      </c>
      <c r="M398" s="75" t="s">
        <v>81</v>
      </c>
      <c r="N398" s="64">
        <v>22</v>
      </c>
      <c r="O398" s="64">
        <v>77</v>
      </c>
      <c r="P398" s="64">
        <v>99</v>
      </c>
      <c r="Q398" s="64"/>
      <c r="R398" s="65" t="str">
        <f t="shared" si="11"/>
        <v>Week 3</v>
      </c>
      <c r="S398" s="65" t="str">
        <f>TEXT(Table8[[#This Row],[Date Day]],"mmm,YYYY")</f>
        <v>Jan,2011</v>
      </c>
    </row>
    <row r="399" spans="1:19" ht="15.6" x14ac:dyDescent="0.3">
      <c r="A399" s="62">
        <v>366</v>
      </c>
      <c r="B399" s="63">
        <v>40559</v>
      </c>
      <c r="C399" s="64">
        <v>17</v>
      </c>
      <c r="D399" s="64" t="b">
        <f>IF(COUNTIF(AU$36:AU$52,Table8[[#This Row],[Date Day]]) &gt; 0, TRUE, FALSE)</f>
        <v>0</v>
      </c>
      <c r="E399" s="64">
        <f t="shared" si="10"/>
        <v>7</v>
      </c>
      <c r="F399" s="64">
        <v>1</v>
      </c>
      <c r="G399" s="65" t="str">
        <f>IF(Table8[[#This Row],[Weathersit]]=1, "BAD", IF(Table8[[#This Row],[Weathersit]]=2, "MODERATE", IF(Table8[[#This Row],[Weathersit]]=3, "GOOD")))</f>
        <v>BAD</v>
      </c>
      <c r="H399" s="64">
        <v>22</v>
      </c>
      <c r="I399" s="65" t="str">
        <f>IF(Table8[[#This Row],[Temp]]&lt;11, "COLD", IF(Table8[[#This Row],[Temp]]&lt;=25, "COMFORTABLE", "WARM"))</f>
        <v>COMFORTABLE</v>
      </c>
      <c r="J399" s="64">
        <v>0.21210000000000001</v>
      </c>
      <c r="K399" s="64">
        <v>0.37</v>
      </c>
      <c r="L399" s="66">
        <v>25.369999999999997</v>
      </c>
      <c r="M399" s="75" t="s">
        <v>81</v>
      </c>
      <c r="N399" s="64">
        <v>23</v>
      </c>
      <c r="O399" s="64">
        <v>82</v>
      </c>
      <c r="P399" s="64">
        <v>105</v>
      </c>
      <c r="Q399" s="64"/>
      <c r="R399" s="65" t="str">
        <f t="shared" si="11"/>
        <v>Week 3</v>
      </c>
      <c r="S399" s="65" t="str">
        <f>TEXT(Table8[[#This Row],[Date Day]],"mmm,YYYY")</f>
        <v>Jan,2011</v>
      </c>
    </row>
    <row r="400" spans="1:19" ht="15.6" x14ac:dyDescent="0.3">
      <c r="A400" s="62">
        <v>367</v>
      </c>
      <c r="B400" s="63">
        <v>40559</v>
      </c>
      <c r="C400" s="64">
        <v>18</v>
      </c>
      <c r="D400" s="64" t="b">
        <f>IF(COUNTIF(AU$36:AU$52,Table8[[#This Row],[Date Day]]) &gt; 0, TRUE, FALSE)</f>
        <v>0</v>
      </c>
      <c r="E400" s="64">
        <f t="shared" si="10"/>
        <v>7</v>
      </c>
      <c r="F400" s="64">
        <v>1</v>
      </c>
      <c r="G400" s="65" t="str">
        <f>IF(Table8[[#This Row],[Weathersit]]=1, "BAD", IF(Table8[[#This Row],[Weathersit]]=2, "MODERATE", IF(Table8[[#This Row],[Weathersit]]=3, "GOOD")))</f>
        <v>BAD</v>
      </c>
      <c r="H400" s="64">
        <v>20</v>
      </c>
      <c r="I400" s="65" t="str">
        <f>IF(Table8[[#This Row],[Temp]]&lt;11, "COLD", IF(Table8[[#This Row],[Temp]]&lt;=25, "COMFORTABLE", "WARM"))</f>
        <v>COMFORTABLE</v>
      </c>
      <c r="J400" s="64">
        <v>0.21210000000000001</v>
      </c>
      <c r="K400" s="64">
        <v>0.4</v>
      </c>
      <c r="L400" s="66">
        <v>16.420000000000002</v>
      </c>
      <c r="M400" s="75" t="s">
        <v>80</v>
      </c>
      <c r="N400" s="64">
        <v>11</v>
      </c>
      <c r="O400" s="64">
        <v>56</v>
      </c>
      <c r="P400" s="64">
        <v>67</v>
      </c>
      <c r="Q400" s="64"/>
      <c r="R400" s="65" t="str">
        <f t="shared" si="11"/>
        <v>Week 3</v>
      </c>
      <c r="S400" s="65" t="str">
        <f>TEXT(Table8[[#This Row],[Date Day]],"mmm,YYYY")</f>
        <v>Jan,2011</v>
      </c>
    </row>
    <row r="401" spans="1:19" ht="15.6" x14ac:dyDescent="0.3">
      <c r="A401" s="62">
        <v>368</v>
      </c>
      <c r="B401" s="63">
        <v>40559</v>
      </c>
      <c r="C401" s="64">
        <v>19</v>
      </c>
      <c r="D401" s="64" t="b">
        <f>IF(COUNTIF(AU$36:AU$52,Table8[[#This Row],[Date Day]]) &gt; 0, TRUE, FALSE)</f>
        <v>0</v>
      </c>
      <c r="E401" s="64">
        <f t="shared" si="10"/>
        <v>7</v>
      </c>
      <c r="F401" s="64">
        <v>1</v>
      </c>
      <c r="G401" s="65" t="str">
        <f>IF(Table8[[#This Row],[Weathersit]]=1, "BAD", IF(Table8[[#This Row],[Weathersit]]=2, "MODERATE", IF(Table8[[#This Row],[Weathersit]]=3, "GOOD")))</f>
        <v>BAD</v>
      </c>
      <c r="H401" s="64">
        <v>18</v>
      </c>
      <c r="I401" s="65" t="str">
        <f>IF(Table8[[#This Row],[Temp]]&lt;11, "COLD", IF(Table8[[#This Row],[Temp]]&lt;=25, "COMFORTABLE", "WARM"))</f>
        <v>COMFORTABLE</v>
      </c>
      <c r="J401" s="64">
        <v>0.19700000000000001</v>
      </c>
      <c r="K401" s="64">
        <v>0.47</v>
      </c>
      <c r="L401" s="66">
        <v>13.43</v>
      </c>
      <c r="M401" s="75" t="s">
        <v>80</v>
      </c>
      <c r="N401" s="64">
        <v>14</v>
      </c>
      <c r="O401" s="64">
        <v>47</v>
      </c>
      <c r="P401" s="64">
        <v>61</v>
      </c>
      <c r="Q401" s="64"/>
      <c r="R401" s="65" t="str">
        <f t="shared" si="11"/>
        <v>Week 3</v>
      </c>
      <c r="S401" s="65" t="str">
        <f>TEXT(Table8[[#This Row],[Date Day]],"mmm,YYYY")</f>
        <v>Jan,2011</v>
      </c>
    </row>
    <row r="402" spans="1:19" ht="15.6" x14ac:dyDescent="0.3">
      <c r="A402" s="62">
        <v>369</v>
      </c>
      <c r="B402" s="63">
        <v>40559</v>
      </c>
      <c r="C402" s="64">
        <v>20</v>
      </c>
      <c r="D402" s="64" t="b">
        <f>IF(COUNTIF(AU$36:AU$52,Table8[[#This Row],[Date Day]]) &gt; 0, TRUE, FALSE)</f>
        <v>0</v>
      </c>
      <c r="E402" s="64">
        <f t="shared" si="10"/>
        <v>7</v>
      </c>
      <c r="F402" s="64">
        <v>1</v>
      </c>
      <c r="G402" s="65" t="str">
        <f>IF(Table8[[#This Row],[Weathersit]]=1, "BAD", IF(Table8[[#This Row],[Weathersit]]=2, "MODERATE", IF(Table8[[#This Row],[Weathersit]]=3, "GOOD")))</f>
        <v>BAD</v>
      </c>
      <c r="H402" s="64">
        <v>18</v>
      </c>
      <c r="I402" s="65" t="str">
        <f>IF(Table8[[#This Row],[Temp]]&lt;11, "COLD", IF(Table8[[#This Row],[Temp]]&lt;=25, "COMFORTABLE", "WARM"))</f>
        <v>COMFORTABLE</v>
      </c>
      <c r="J402" s="64">
        <v>0.19700000000000001</v>
      </c>
      <c r="K402" s="64">
        <v>0.47</v>
      </c>
      <c r="L402" s="66">
        <v>16.420000000000002</v>
      </c>
      <c r="M402" s="75" t="s">
        <v>80</v>
      </c>
      <c r="N402" s="64">
        <v>7</v>
      </c>
      <c r="O402" s="64">
        <v>50</v>
      </c>
      <c r="P402" s="64">
        <v>57</v>
      </c>
      <c r="Q402" s="64"/>
      <c r="R402" s="65" t="str">
        <f t="shared" si="11"/>
        <v>Week 3</v>
      </c>
      <c r="S402" s="65" t="str">
        <f>TEXT(Table8[[#This Row],[Date Day]],"mmm,YYYY")</f>
        <v>Jan,2011</v>
      </c>
    </row>
    <row r="403" spans="1:19" ht="15.6" x14ac:dyDescent="0.3">
      <c r="A403" s="62">
        <v>370</v>
      </c>
      <c r="B403" s="63">
        <v>40559</v>
      </c>
      <c r="C403" s="64">
        <v>21</v>
      </c>
      <c r="D403" s="64" t="b">
        <f>IF(COUNTIF(AU$36:AU$52,Table8[[#This Row],[Date Day]]) &gt; 0, TRUE, FALSE)</f>
        <v>0</v>
      </c>
      <c r="E403" s="64">
        <f t="shared" si="10"/>
        <v>7</v>
      </c>
      <c r="F403" s="64">
        <v>1</v>
      </c>
      <c r="G403" s="65" t="str">
        <f>IF(Table8[[#This Row],[Weathersit]]=1, "BAD", IF(Table8[[#This Row],[Weathersit]]=2, "MODERATE", IF(Table8[[#This Row],[Weathersit]]=3, "GOOD")))</f>
        <v>BAD</v>
      </c>
      <c r="H403" s="64">
        <v>18</v>
      </c>
      <c r="I403" s="65" t="str">
        <f>IF(Table8[[#This Row],[Temp]]&lt;11, "COLD", IF(Table8[[#This Row],[Temp]]&lt;=25, "COMFORTABLE", "WARM"))</f>
        <v>COMFORTABLE</v>
      </c>
      <c r="J403" s="64">
        <v>0.19700000000000001</v>
      </c>
      <c r="K403" s="64">
        <v>0.51</v>
      </c>
      <c r="L403" s="66">
        <v>16.420000000000002</v>
      </c>
      <c r="M403" s="75" t="s">
        <v>80</v>
      </c>
      <c r="N403" s="64">
        <v>6</v>
      </c>
      <c r="O403" s="64">
        <v>22</v>
      </c>
      <c r="P403" s="64">
        <v>28</v>
      </c>
      <c r="Q403" s="64"/>
      <c r="R403" s="65" t="str">
        <f t="shared" si="11"/>
        <v>Week 3</v>
      </c>
      <c r="S403" s="65" t="str">
        <f>TEXT(Table8[[#This Row],[Date Day]],"mmm,YYYY")</f>
        <v>Jan,2011</v>
      </c>
    </row>
    <row r="404" spans="1:19" ht="15.6" x14ac:dyDescent="0.3">
      <c r="A404" s="62">
        <v>371</v>
      </c>
      <c r="B404" s="63">
        <v>40559</v>
      </c>
      <c r="C404" s="64">
        <v>22</v>
      </c>
      <c r="D404" s="64" t="b">
        <f>IF(COUNTIF(AU$36:AU$52,Table8[[#This Row],[Date Day]]) &gt; 0, TRUE, FALSE)</f>
        <v>0</v>
      </c>
      <c r="E404" s="64">
        <f t="shared" si="10"/>
        <v>7</v>
      </c>
      <c r="F404" s="64">
        <v>2</v>
      </c>
      <c r="G404" s="65" t="str">
        <f>IF(Table8[[#This Row],[Weathersit]]=1, "BAD", IF(Table8[[#This Row],[Weathersit]]=2, "MODERATE", IF(Table8[[#This Row],[Weathersit]]=3, "GOOD")))</f>
        <v>MODERATE</v>
      </c>
      <c r="H404" s="64">
        <v>20</v>
      </c>
      <c r="I404" s="65" t="str">
        <f>IF(Table8[[#This Row],[Temp]]&lt;11, "COLD", IF(Table8[[#This Row],[Temp]]&lt;=25, "COMFORTABLE", "WARM"))</f>
        <v>COMFORTABLE</v>
      </c>
      <c r="J404" s="64">
        <v>0.21210000000000001</v>
      </c>
      <c r="K404" s="64">
        <v>0.49</v>
      </c>
      <c r="L404" s="66">
        <v>13.43</v>
      </c>
      <c r="M404" s="75" t="s">
        <v>80</v>
      </c>
      <c r="N404" s="64">
        <v>2</v>
      </c>
      <c r="O404" s="64">
        <v>19</v>
      </c>
      <c r="P404" s="64">
        <v>21</v>
      </c>
      <c r="Q404" s="64"/>
      <c r="R404" s="65" t="str">
        <f t="shared" si="11"/>
        <v>Week 3</v>
      </c>
      <c r="S404" s="65" t="str">
        <f>TEXT(Table8[[#This Row],[Date Day]],"mmm,YYYY")</f>
        <v>Jan,2011</v>
      </c>
    </row>
    <row r="405" spans="1:19" ht="15.6" x14ac:dyDescent="0.3">
      <c r="A405" s="62">
        <v>372</v>
      </c>
      <c r="B405" s="63">
        <v>40559</v>
      </c>
      <c r="C405" s="64">
        <v>23</v>
      </c>
      <c r="D405" s="64" t="b">
        <f>IF(COUNTIF(AU$36:AU$52,Table8[[#This Row],[Date Day]]) &gt; 0, TRUE, FALSE)</f>
        <v>0</v>
      </c>
      <c r="E405" s="64">
        <f t="shared" si="10"/>
        <v>7</v>
      </c>
      <c r="F405" s="64">
        <v>2</v>
      </c>
      <c r="G405" s="65" t="str">
        <f>IF(Table8[[#This Row],[Weathersit]]=1, "BAD", IF(Table8[[#This Row],[Weathersit]]=2, "MODERATE", IF(Table8[[#This Row],[Weathersit]]=3, "GOOD")))</f>
        <v>MODERATE</v>
      </c>
      <c r="H405" s="64">
        <v>20</v>
      </c>
      <c r="I405" s="65" t="str">
        <f>IF(Table8[[#This Row],[Temp]]&lt;11, "COLD", IF(Table8[[#This Row],[Temp]]&lt;=25, "COMFORTABLE", "WARM"))</f>
        <v>COMFORTABLE</v>
      </c>
      <c r="J405" s="64">
        <v>0.2273</v>
      </c>
      <c r="K405" s="64">
        <v>0.4</v>
      </c>
      <c r="L405" s="66">
        <v>10.45</v>
      </c>
      <c r="M405" s="75" t="s">
        <v>80</v>
      </c>
      <c r="N405" s="64">
        <v>0</v>
      </c>
      <c r="O405" s="64">
        <v>18</v>
      </c>
      <c r="P405" s="64">
        <v>18</v>
      </c>
      <c r="Q405" s="64"/>
      <c r="R405" s="65" t="str">
        <f t="shared" si="11"/>
        <v>Week 3</v>
      </c>
      <c r="S405" s="65" t="str">
        <f>TEXT(Table8[[#This Row],[Date Day]],"mmm,YYYY")</f>
        <v>Jan,2011</v>
      </c>
    </row>
    <row r="406" spans="1:19" ht="15.6" x14ac:dyDescent="0.3">
      <c r="A406" s="62">
        <v>373</v>
      </c>
      <c r="B406" s="63">
        <v>40560</v>
      </c>
      <c r="C406" s="64">
        <v>0</v>
      </c>
      <c r="D406" s="64" t="b">
        <f>IF(COUNTIF(AU$36:AU$52,Table8[[#This Row],[Date Day]]) &gt; 0, TRUE, FALSE)</f>
        <v>0</v>
      </c>
      <c r="E406" s="64">
        <f t="shared" si="10"/>
        <v>1</v>
      </c>
      <c r="F406" s="64">
        <v>2</v>
      </c>
      <c r="G406" s="65" t="str">
        <f>IF(Table8[[#This Row],[Weathersit]]=1, "BAD", IF(Table8[[#This Row],[Weathersit]]=2, "MODERATE", IF(Table8[[#This Row],[Weathersit]]=3, "GOOD")))</f>
        <v>MODERATE</v>
      </c>
      <c r="H406" s="64">
        <v>20</v>
      </c>
      <c r="I406" s="65" t="str">
        <f>IF(Table8[[#This Row],[Temp]]&lt;11, "COLD", IF(Table8[[#This Row],[Temp]]&lt;=25, "COMFORTABLE", "WARM"))</f>
        <v>COMFORTABLE</v>
      </c>
      <c r="J406" s="64">
        <v>0.19700000000000001</v>
      </c>
      <c r="K406" s="64">
        <v>0.47</v>
      </c>
      <c r="L406" s="66">
        <v>22.39</v>
      </c>
      <c r="M406" s="75" t="s">
        <v>81</v>
      </c>
      <c r="N406" s="64">
        <v>1</v>
      </c>
      <c r="O406" s="64">
        <v>16</v>
      </c>
      <c r="P406" s="64">
        <v>17</v>
      </c>
      <c r="Q406" s="64"/>
      <c r="R406" s="65" t="str">
        <f t="shared" si="11"/>
        <v>Week 3</v>
      </c>
      <c r="S406" s="65" t="str">
        <f>TEXT(Table8[[#This Row],[Date Day]],"mmm,YYYY")</f>
        <v>Jan,2011</v>
      </c>
    </row>
    <row r="407" spans="1:19" ht="15.6" x14ac:dyDescent="0.3">
      <c r="A407" s="62">
        <v>374</v>
      </c>
      <c r="B407" s="63">
        <v>40560</v>
      </c>
      <c r="C407" s="64">
        <v>1</v>
      </c>
      <c r="D407" s="64" t="b">
        <f>IF(COUNTIF(AU$36:AU$52,Table8[[#This Row],[Date Day]]) &gt; 0, TRUE, FALSE)</f>
        <v>0</v>
      </c>
      <c r="E407" s="64">
        <f t="shared" si="10"/>
        <v>1</v>
      </c>
      <c r="F407" s="64">
        <v>2</v>
      </c>
      <c r="G407" s="65" t="str">
        <f>IF(Table8[[#This Row],[Weathersit]]=1, "BAD", IF(Table8[[#This Row],[Weathersit]]=2, "MODERATE", IF(Table8[[#This Row],[Weathersit]]=3, "GOOD")))</f>
        <v>MODERATE</v>
      </c>
      <c r="H407" s="64">
        <v>20</v>
      </c>
      <c r="I407" s="65" t="str">
        <f>IF(Table8[[#This Row],[Temp]]&lt;11, "COLD", IF(Table8[[#This Row],[Temp]]&lt;=25, "COMFORTABLE", "WARM"))</f>
        <v>COMFORTABLE</v>
      </c>
      <c r="J407" s="64">
        <v>0.19700000000000001</v>
      </c>
      <c r="K407" s="64">
        <v>0.44</v>
      </c>
      <c r="L407" s="66">
        <v>19.400000000000002</v>
      </c>
      <c r="M407" s="75" t="s">
        <v>80</v>
      </c>
      <c r="N407" s="64">
        <v>1</v>
      </c>
      <c r="O407" s="64">
        <v>15</v>
      </c>
      <c r="P407" s="64">
        <v>16</v>
      </c>
      <c r="Q407" s="64"/>
      <c r="R407" s="65" t="str">
        <f t="shared" si="11"/>
        <v>Week 3</v>
      </c>
      <c r="S407" s="65" t="str">
        <f>TEXT(Table8[[#This Row],[Date Day]],"mmm,YYYY")</f>
        <v>Jan,2011</v>
      </c>
    </row>
    <row r="408" spans="1:19" ht="15.6" x14ac:dyDescent="0.3">
      <c r="A408" s="62">
        <v>375</v>
      </c>
      <c r="B408" s="63">
        <v>40560</v>
      </c>
      <c r="C408" s="64">
        <v>2</v>
      </c>
      <c r="D408" s="64" t="b">
        <f>IF(COUNTIF(AU$36:AU$52,Table8[[#This Row],[Date Day]]) &gt; 0, TRUE, FALSE)</f>
        <v>0</v>
      </c>
      <c r="E408" s="64">
        <f t="shared" si="10"/>
        <v>1</v>
      </c>
      <c r="F408" s="64">
        <v>2</v>
      </c>
      <c r="G408" s="65" t="str">
        <f>IF(Table8[[#This Row],[Weathersit]]=1, "BAD", IF(Table8[[#This Row],[Weathersit]]=2, "MODERATE", IF(Table8[[#This Row],[Weathersit]]=3, "GOOD")))</f>
        <v>MODERATE</v>
      </c>
      <c r="H408" s="64">
        <v>18</v>
      </c>
      <c r="I408" s="65" t="str">
        <f>IF(Table8[[#This Row],[Temp]]&lt;11, "COLD", IF(Table8[[#This Row],[Temp]]&lt;=25, "COMFORTABLE", "WARM"))</f>
        <v>COMFORTABLE</v>
      </c>
      <c r="J408" s="64">
        <v>0.16669999999999999</v>
      </c>
      <c r="K408" s="64">
        <v>0.43</v>
      </c>
      <c r="L408" s="66">
        <v>25.369999999999997</v>
      </c>
      <c r="M408" s="75" t="s">
        <v>81</v>
      </c>
      <c r="N408" s="64">
        <v>0</v>
      </c>
      <c r="O408" s="64">
        <v>8</v>
      </c>
      <c r="P408" s="64">
        <v>8</v>
      </c>
      <c r="Q408" s="64"/>
      <c r="R408" s="65" t="str">
        <f t="shared" si="11"/>
        <v>Week 3</v>
      </c>
      <c r="S408" s="65" t="str">
        <f>TEXT(Table8[[#This Row],[Date Day]],"mmm,YYYY")</f>
        <v>Jan,2011</v>
      </c>
    </row>
    <row r="409" spans="1:19" ht="15.6" x14ac:dyDescent="0.3">
      <c r="A409" s="62">
        <v>376</v>
      </c>
      <c r="B409" s="63">
        <v>40560</v>
      </c>
      <c r="C409" s="64">
        <v>3</v>
      </c>
      <c r="D409" s="64" t="b">
        <f>IF(COUNTIF(AU$36:AU$52,Table8[[#This Row],[Date Day]]) &gt; 0, TRUE, FALSE)</f>
        <v>0</v>
      </c>
      <c r="E409" s="64">
        <f t="shared" si="10"/>
        <v>1</v>
      </c>
      <c r="F409" s="64">
        <v>2</v>
      </c>
      <c r="G409" s="65" t="str">
        <f>IF(Table8[[#This Row],[Weathersit]]=1, "BAD", IF(Table8[[#This Row],[Weathersit]]=2, "MODERATE", IF(Table8[[#This Row],[Weathersit]]=3, "GOOD")))</f>
        <v>MODERATE</v>
      </c>
      <c r="H409" s="64">
        <v>18</v>
      </c>
      <c r="I409" s="65" t="str">
        <f>IF(Table8[[#This Row],[Temp]]&lt;11, "COLD", IF(Table8[[#This Row],[Temp]]&lt;=25, "COMFORTABLE", "WARM"))</f>
        <v>COMFORTABLE</v>
      </c>
      <c r="J409" s="64">
        <v>0.18179999999999999</v>
      </c>
      <c r="K409" s="64">
        <v>0.43</v>
      </c>
      <c r="L409" s="66">
        <v>19.400000000000002</v>
      </c>
      <c r="M409" s="75" t="s">
        <v>80</v>
      </c>
      <c r="N409" s="64">
        <v>0</v>
      </c>
      <c r="O409" s="64">
        <v>2</v>
      </c>
      <c r="P409" s="64">
        <v>2</v>
      </c>
      <c r="Q409" s="64"/>
      <c r="R409" s="65" t="str">
        <f t="shared" si="11"/>
        <v>Week 3</v>
      </c>
      <c r="S409" s="65" t="str">
        <f>TEXT(Table8[[#This Row],[Date Day]],"mmm,YYYY")</f>
        <v>Jan,2011</v>
      </c>
    </row>
    <row r="410" spans="1:19" ht="15.6" x14ac:dyDescent="0.3">
      <c r="A410" s="62">
        <v>377</v>
      </c>
      <c r="B410" s="63">
        <v>40560</v>
      </c>
      <c r="C410" s="64">
        <v>4</v>
      </c>
      <c r="D410" s="64" t="b">
        <f>IF(COUNTIF(AU$36:AU$52,Table8[[#This Row],[Date Day]]) &gt; 0, TRUE, FALSE)</f>
        <v>0</v>
      </c>
      <c r="E410" s="64">
        <f t="shared" si="10"/>
        <v>1</v>
      </c>
      <c r="F410" s="64">
        <v>2</v>
      </c>
      <c r="G410" s="65" t="str">
        <f>IF(Table8[[#This Row],[Weathersit]]=1, "BAD", IF(Table8[[#This Row],[Weathersit]]=2, "MODERATE", IF(Table8[[#This Row],[Weathersit]]=3, "GOOD")))</f>
        <v>MODERATE</v>
      </c>
      <c r="H410" s="64">
        <v>18</v>
      </c>
      <c r="I410" s="65" t="str">
        <f>IF(Table8[[#This Row],[Temp]]&lt;11, "COLD", IF(Table8[[#This Row],[Temp]]&lt;=25, "COMFORTABLE", "WARM"))</f>
        <v>COMFORTABLE</v>
      </c>
      <c r="J410" s="64">
        <v>0.19700000000000001</v>
      </c>
      <c r="K410" s="64">
        <v>0.43</v>
      </c>
      <c r="L410" s="66">
        <v>13.43</v>
      </c>
      <c r="M410" s="75" t="s">
        <v>80</v>
      </c>
      <c r="N410" s="64">
        <v>1</v>
      </c>
      <c r="O410" s="64">
        <v>2</v>
      </c>
      <c r="P410" s="64">
        <v>3</v>
      </c>
      <c r="Q410" s="64"/>
      <c r="R410" s="65" t="str">
        <f t="shared" si="11"/>
        <v>Week 3</v>
      </c>
      <c r="S410" s="65" t="str">
        <f>TEXT(Table8[[#This Row],[Date Day]],"mmm,YYYY")</f>
        <v>Jan,2011</v>
      </c>
    </row>
    <row r="411" spans="1:19" ht="15.6" x14ac:dyDescent="0.3">
      <c r="A411" s="62">
        <v>378</v>
      </c>
      <c r="B411" s="63">
        <v>40560</v>
      </c>
      <c r="C411" s="64">
        <v>5</v>
      </c>
      <c r="D411" s="64" t="b">
        <f>IF(COUNTIF(AU$36:AU$52,Table8[[#This Row],[Date Day]]) &gt; 0, TRUE, FALSE)</f>
        <v>0</v>
      </c>
      <c r="E411" s="64">
        <f t="shared" si="10"/>
        <v>1</v>
      </c>
      <c r="F411" s="64">
        <v>2</v>
      </c>
      <c r="G411" s="65" t="str">
        <f>IF(Table8[[#This Row],[Weathersit]]=1, "BAD", IF(Table8[[#This Row],[Weathersit]]=2, "MODERATE", IF(Table8[[#This Row],[Weathersit]]=3, "GOOD")))</f>
        <v>MODERATE</v>
      </c>
      <c r="H411" s="64">
        <v>18</v>
      </c>
      <c r="I411" s="65" t="str">
        <f>IF(Table8[[#This Row],[Temp]]&lt;11, "COLD", IF(Table8[[#This Row],[Temp]]&lt;=25, "COMFORTABLE", "WARM"))</f>
        <v>COMFORTABLE</v>
      </c>
      <c r="J411" s="64">
        <v>0.19700000000000001</v>
      </c>
      <c r="K411" s="64">
        <v>0.43</v>
      </c>
      <c r="L411" s="66">
        <v>16.420000000000002</v>
      </c>
      <c r="M411" s="75" t="s">
        <v>80</v>
      </c>
      <c r="N411" s="64">
        <v>0</v>
      </c>
      <c r="O411" s="64">
        <v>1</v>
      </c>
      <c r="P411" s="64">
        <v>1</v>
      </c>
      <c r="Q411" s="64"/>
      <c r="R411" s="65" t="str">
        <f t="shared" si="11"/>
        <v>Week 3</v>
      </c>
      <c r="S411" s="65" t="str">
        <f>TEXT(Table8[[#This Row],[Date Day]],"mmm,YYYY")</f>
        <v>Jan,2011</v>
      </c>
    </row>
    <row r="412" spans="1:19" ht="15.6" x14ac:dyDescent="0.3">
      <c r="A412" s="62">
        <v>379</v>
      </c>
      <c r="B412" s="63">
        <v>40560</v>
      </c>
      <c r="C412" s="64">
        <v>6</v>
      </c>
      <c r="D412" s="64" t="b">
        <f>IF(COUNTIF(AU$36:AU$52,Table8[[#This Row],[Date Day]]) &gt; 0, TRUE, FALSE)</f>
        <v>0</v>
      </c>
      <c r="E412" s="64">
        <f t="shared" si="10"/>
        <v>1</v>
      </c>
      <c r="F412" s="64">
        <v>2</v>
      </c>
      <c r="G412" s="65" t="str">
        <f>IF(Table8[[#This Row],[Weathersit]]=1, "BAD", IF(Table8[[#This Row],[Weathersit]]=2, "MODERATE", IF(Table8[[#This Row],[Weathersit]]=3, "GOOD")))</f>
        <v>MODERATE</v>
      </c>
      <c r="H412" s="64">
        <v>18</v>
      </c>
      <c r="I412" s="65" t="str">
        <f>IF(Table8[[#This Row],[Temp]]&lt;11, "COLD", IF(Table8[[#This Row],[Temp]]&lt;=25, "COMFORTABLE", "WARM"))</f>
        <v>COMFORTABLE</v>
      </c>
      <c r="J412" s="64">
        <v>0.18179999999999999</v>
      </c>
      <c r="K412" s="64">
        <v>0.43</v>
      </c>
      <c r="L412" s="66">
        <v>19.400000000000002</v>
      </c>
      <c r="M412" s="75" t="s">
        <v>80</v>
      </c>
      <c r="N412" s="64">
        <v>0</v>
      </c>
      <c r="O412" s="64">
        <v>5</v>
      </c>
      <c r="P412" s="64">
        <v>5</v>
      </c>
      <c r="Q412" s="64"/>
      <c r="R412" s="65" t="str">
        <f t="shared" si="11"/>
        <v>Week 3</v>
      </c>
      <c r="S412" s="65" t="str">
        <f>TEXT(Table8[[#This Row],[Date Day]],"mmm,YYYY")</f>
        <v>Jan,2011</v>
      </c>
    </row>
    <row r="413" spans="1:19" ht="15.6" x14ac:dyDescent="0.3">
      <c r="A413" s="62">
        <v>380</v>
      </c>
      <c r="B413" s="63">
        <v>40560</v>
      </c>
      <c r="C413" s="64">
        <v>7</v>
      </c>
      <c r="D413" s="64" t="b">
        <f>IF(COUNTIF(AU$36:AU$52,Table8[[#This Row],[Date Day]]) &gt; 0, TRUE, FALSE)</f>
        <v>0</v>
      </c>
      <c r="E413" s="64">
        <f t="shared" si="10"/>
        <v>1</v>
      </c>
      <c r="F413" s="64">
        <v>2</v>
      </c>
      <c r="G413" s="65" t="str">
        <f>IF(Table8[[#This Row],[Weathersit]]=1, "BAD", IF(Table8[[#This Row],[Weathersit]]=2, "MODERATE", IF(Table8[[#This Row],[Weathersit]]=3, "GOOD")))</f>
        <v>MODERATE</v>
      </c>
      <c r="H413" s="64">
        <v>16</v>
      </c>
      <c r="I413" s="65" t="str">
        <f>IF(Table8[[#This Row],[Temp]]&lt;11, "COLD", IF(Table8[[#This Row],[Temp]]&lt;=25, "COMFORTABLE", "WARM"))</f>
        <v>COMFORTABLE</v>
      </c>
      <c r="J413" s="64">
        <v>0.18179999999999999</v>
      </c>
      <c r="K413" s="64">
        <v>0.5</v>
      </c>
      <c r="L413" s="66">
        <v>13.43</v>
      </c>
      <c r="M413" s="75" t="s">
        <v>80</v>
      </c>
      <c r="N413" s="64">
        <v>4</v>
      </c>
      <c r="O413" s="64">
        <v>9</v>
      </c>
      <c r="P413" s="64">
        <v>13</v>
      </c>
      <c r="Q413" s="64"/>
      <c r="R413" s="65" t="str">
        <f t="shared" si="11"/>
        <v>Week 3</v>
      </c>
      <c r="S413" s="65" t="str">
        <f>TEXT(Table8[[#This Row],[Date Day]],"mmm,YYYY")</f>
        <v>Jan,2011</v>
      </c>
    </row>
    <row r="414" spans="1:19" ht="15.6" x14ac:dyDescent="0.3">
      <c r="A414" s="62">
        <v>381</v>
      </c>
      <c r="B414" s="63">
        <v>40560</v>
      </c>
      <c r="C414" s="64">
        <v>8</v>
      </c>
      <c r="D414" s="64" t="b">
        <f>IF(COUNTIF(AU$36:AU$52,Table8[[#This Row],[Date Day]]) &gt; 0, TRUE, FALSE)</f>
        <v>0</v>
      </c>
      <c r="E414" s="64">
        <f t="shared" si="10"/>
        <v>1</v>
      </c>
      <c r="F414" s="64">
        <v>2</v>
      </c>
      <c r="G414" s="65" t="str">
        <f>IF(Table8[[#This Row],[Weathersit]]=1, "BAD", IF(Table8[[#This Row],[Weathersit]]=2, "MODERATE", IF(Table8[[#This Row],[Weathersit]]=3, "GOOD")))</f>
        <v>MODERATE</v>
      </c>
      <c r="H414" s="64">
        <v>16</v>
      </c>
      <c r="I414" s="65" t="str">
        <f>IF(Table8[[#This Row],[Temp]]&lt;11, "COLD", IF(Table8[[#This Row],[Temp]]&lt;=25, "COMFORTABLE", "WARM"))</f>
        <v>COMFORTABLE</v>
      </c>
      <c r="J414" s="64">
        <v>0.1515</v>
      </c>
      <c r="K414" s="64">
        <v>0.47</v>
      </c>
      <c r="L414" s="66">
        <v>22.39</v>
      </c>
      <c r="M414" s="75" t="s">
        <v>81</v>
      </c>
      <c r="N414" s="64">
        <v>3</v>
      </c>
      <c r="O414" s="64">
        <v>30</v>
      </c>
      <c r="P414" s="64">
        <v>33</v>
      </c>
      <c r="Q414" s="64"/>
      <c r="R414" s="65" t="str">
        <f t="shared" si="11"/>
        <v>Week 3</v>
      </c>
      <c r="S414" s="65" t="str">
        <f>TEXT(Table8[[#This Row],[Date Day]],"mmm,YYYY")</f>
        <v>Jan,2011</v>
      </c>
    </row>
    <row r="415" spans="1:19" ht="15.6" x14ac:dyDescent="0.3">
      <c r="A415" s="62">
        <v>382</v>
      </c>
      <c r="B415" s="63">
        <v>40560</v>
      </c>
      <c r="C415" s="64">
        <v>9</v>
      </c>
      <c r="D415" s="64" t="b">
        <f>IF(COUNTIF(AU$36:AU$52,Table8[[#This Row],[Date Day]]) &gt; 0, TRUE, FALSE)</f>
        <v>0</v>
      </c>
      <c r="E415" s="64">
        <f t="shared" si="10"/>
        <v>1</v>
      </c>
      <c r="F415" s="64">
        <v>2</v>
      </c>
      <c r="G415" s="65" t="str">
        <f>IF(Table8[[#This Row],[Weathersit]]=1, "BAD", IF(Table8[[#This Row],[Weathersit]]=2, "MODERATE", IF(Table8[[#This Row],[Weathersit]]=3, "GOOD")))</f>
        <v>MODERATE</v>
      </c>
      <c r="H415" s="64">
        <v>16</v>
      </c>
      <c r="I415" s="65" t="str">
        <f>IF(Table8[[#This Row],[Temp]]&lt;11, "COLD", IF(Table8[[#This Row],[Temp]]&lt;=25, "COMFORTABLE", "WARM"))</f>
        <v>COMFORTABLE</v>
      </c>
      <c r="J415" s="64">
        <v>0.1515</v>
      </c>
      <c r="K415" s="64">
        <v>0.47</v>
      </c>
      <c r="L415" s="66">
        <v>22.39</v>
      </c>
      <c r="M415" s="75" t="s">
        <v>81</v>
      </c>
      <c r="N415" s="64">
        <v>8</v>
      </c>
      <c r="O415" s="64">
        <v>39</v>
      </c>
      <c r="P415" s="64">
        <v>47</v>
      </c>
      <c r="Q415" s="64"/>
      <c r="R415" s="65" t="str">
        <f t="shared" si="11"/>
        <v>Week 3</v>
      </c>
      <c r="S415" s="65" t="str">
        <f>TEXT(Table8[[#This Row],[Date Day]],"mmm,YYYY")</f>
        <v>Jan,2011</v>
      </c>
    </row>
    <row r="416" spans="1:19" ht="15.6" x14ac:dyDescent="0.3">
      <c r="A416" s="62">
        <v>383</v>
      </c>
      <c r="B416" s="63">
        <v>40560</v>
      </c>
      <c r="C416" s="64">
        <v>10</v>
      </c>
      <c r="D416" s="64" t="b">
        <f>IF(COUNTIF(AU$36:AU$52,Table8[[#This Row],[Date Day]]) &gt; 0, TRUE, FALSE)</f>
        <v>0</v>
      </c>
      <c r="E416" s="64">
        <f t="shared" si="10"/>
        <v>1</v>
      </c>
      <c r="F416" s="64">
        <v>2</v>
      </c>
      <c r="G416" s="65" t="str">
        <f>IF(Table8[[#This Row],[Weathersit]]=1, "BAD", IF(Table8[[#This Row],[Weathersit]]=2, "MODERATE", IF(Table8[[#This Row],[Weathersit]]=3, "GOOD")))</f>
        <v>MODERATE</v>
      </c>
      <c r="H416" s="64">
        <v>16</v>
      </c>
      <c r="I416" s="65" t="str">
        <f>IF(Table8[[#This Row],[Temp]]&lt;11, "COLD", IF(Table8[[#This Row],[Temp]]&lt;=25, "COMFORTABLE", "WARM"))</f>
        <v>COMFORTABLE</v>
      </c>
      <c r="J416" s="64">
        <v>0.1515</v>
      </c>
      <c r="K416" s="64">
        <v>0.5</v>
      </c>
      <c r="L416" s="66">
        <v>25.369999999999997</v>
      </c>
      <c r="M416" s="75" t="s">
        <v>81</v>
      </c>
      <c r="N416" s="64">
        <v>7</v>
      </c>
      <c r="O416" s="64">
        <v>50</v>
      </c>
      <c r="P416" s="64">
        <v>57</v>
      </c>
      <c r="Q416" s="64"/>
      <c r="R416" s="65" t="str">
        <f t="shared" si="11"/>
        <v>Week 3</v>
      </c>
      <c r="S416" s="65" t="str">
        <f>TEXT(Table8[[#This Row],[Date Day]],"mmm,YYYY")</f>
        <v>Jan,2011</v>
      </c>
    </row>
    <row r="417" spans="1:19" ht="15.6" x14ac:dyDescent="0.3">
      <c r="A417" s="62">
        <v>384</v>
      </c>
      <c r="B417" s="63">
        <v>40560</v>
      </c>
      <c r="C417" s="64">
        <v>11</v>
      </c>
      <c r="D417" s="64" t="b">
        <f>IF(COUNTIF(AU$36:AU$52,Table8[[#This Row],[Date Day]]) &gt; 0, TRUE, FALSE)</f>
        <v>0</v>
      </c>
      <c r="E417" s="64">
        <f t="shared" si="10"/>
        <v>1</v>
      </c>
      <c r="F417" s="64">
        <v>2</v>
      </c>
      <c r="G417" s="65" t="str">
        <f>IF(Table8[[#This Row],[Weathersit]]=1, "BAD", IF(Table8[[#This Row],[Weathersit]]=2, "MODERATE", IF(Table8[[#This Row],[Weathersit]]=3, "GOOD")))</f>
        <v>MODERATE</v>
      </c>
      <c r="H417" s="64">
        <v>16</v>
      </c>
      <c r="I417" s="65" t="str">
        <f>IF(Table8[[#This Row],[Temp]]&lt;11, "COLD", IF(Table8[[#This Row],[Temp]]&lt;=25, "COMFORTABLE", "WARM"))</f>
        <v>COMFORTABLE</v>
      </c>
      <c r="J417" s="64">
        <v>0.1515</v>
      </c>
      <c r="K417" s="64">
        <v>0.55000000000000004</v>
      </c>
      <c r="L417" s="66">
        <v>19.400000000000002</v>
      </c>
      <c r="M417" s="75" t="s">
        <v>80</v>
      </c>
      <c r="N417" s="64">
        <v>9</v>
      </c>
      <c r="O417" s="64">
        <v>55</v>
      </c>
      <c r="P417" s="64">
        <v>64</v>
      </c>
      <c r="Q417" s="64"/>
      <c r="R417" s="65" t="str">
        <f t="shared" si="11"/>
        <v>Week 3</v>
      </c>
      <c r="S417" s="65" t="str">
        <f>TEXT(Table8[[#This Row],[Date Day]],"mmm,YYYY")</f>
        <v>Jan,2011</v>
      </c>
    </row>
    <row r="418" spans="1:19" ht="15.6" x14ac:dyDescent="0.3">
      <c r="A418" s="62">
        <v>385</v>
      </c>
      <c r="B418" s="63">
        <v>40560</v>
      </c>
      <c r="C418" s="64">
        <v>12</v>
      </c>
      <c r="D418" s="64" t="b">
        <f>IF(COUNTIF(AU$36:AU$52,Table8[[#This Row],[Date Day]]) &gt; 0, TRUE, FALSE)</f>
        <v>0</v>
      </c>
      <c r="E418" s="64">
        <f t="shared" ref="E418:E481" si="12">WEEKDAY(B:B,2)</f>
        <v>1</v>
      </c>
      <c r="F418" s="64">
        <v>2</v>
      </c>
      <c r="G418" s="65" t="str">
        <f>IF(Table8[[#This Row],[Weathersit]]=1, "BAD", IF(Table8[[#This Row],[Weathersit]]=2, "MODERATE", IF(Table8[[#This Row],[Weathersit]]=3, "GOOD")))</f>
        <v>MODERATE</v>
      </c>
      <c r="H418" s="64">
        <v>18</v>
      </c>
      <c r="I418" s="65" t="str">
        <f>IF(Table8[[#This Row],[Temp]]&lt;11, "COLD", IF(Table8[[#This Row],[Temp]]&lt;=25, "COMFORTABLE", "WARM"))</f>
        <v>COMFORTABLE</v>
      </c>
      <c r="J418" s="64">
        <v>0.19700000000000001</v>
      </c>
      <c r="K418" s="64">
        <v>0.47</v>
      </c>
      <c r="L418" s="66">
        <v>13.43</v>
      </c>
      <c r="M418" s="75" t="s">
        <v>80</v>
      </c>
      <c r="N418" s="64">
        <v>10</v>
      </c>
      <c r="O418" s="64">
        <v>70</v>
      </c>
      <c r="P418" s="64">
        <v>80</v>
      </c>
      <c r="Q418" s="64"/>
      <c r="R418" s="65" t="str">
        <f t="shared" ref="R418:R481" si="13">"Week " &amp; INT((DAY(B418)-1)/7)+1</f>
        <v>Week 3</v>
      </c>
      <c r="S418" s="65" t="str">
        <f>TEXT(Table8[[#This Row],[Date Day]],"mmm,YYYY")</f>
        <v>Jan,2011</v>
      </c>
    </row>
    <row r="419" spans="1:19" ht="15.6" x14ac:dyDescent="0.3">
      <c r="A419" s="62">
        <v>386</v>
      </c>
      <c r="B419" s="63">
        <v>40560</v>
      </c>
      <c r="C419" s="64">
        <v>13</v>
      </c>
      <c r="D419" s="64" t="b">
        <f>IF(COUNTIF(AU$36:AU$52,Table8[[#This Row],[Date Day]]) &gt; 0, TRUE, FALSE)</f>
        <v>0</v>
      </c>
      <c r="E419" s="64">
        <f t="shared" si="12"/>
        <v>1</v>
      </c>
      <c r="F419" s="64">
        <v>2</v>
      </c>
      <c r="G419" s="65" t="str">
        <f>IF(Table8[[#This Row],[Weathersit]]=1, "BAD", IF(Table8[[#This Row],[Weathersit]]=2, "MODERATE", IF(Table8[[#This Row],[Weathersit]]=3, "GOOD")))</f>
        <v>MODERATE</v>
      </c>
      <c r="H419" s="64">
        <v>18</v>
      </c>
      <c r="I419" s="65" t="str">
        <f>IF(Table8[[#This Row],[Temp]]&lt;11, "COLD", IF(Table8[[#This Row],[Temp]]&lt;=25, "COMFORTABLE", "WARM"))</f>
        <v>COMFORTABLE</v>
      </c>
      <c r="J419" s="64">
        <v>0.19700000000000001</v>
      </c>
      <c r="K419" s="64">
        <v>0.47</v>
      </c>
      <c r="L419" s="66">
        <v>13.43</v>
      </c>
      <c r="M419" s="75" t="s">
        <v>80</v>
      </c>
      <c r="N419" s="64">
        <v>13</v>
      </c>
      <c r="O419" s="64">
        <v>80</v>
      </c>
      <c r="P419" s="64">
        <v>93</v>
      </c>
      <c r="Q419" s="64"/>
      <c r="R419" s="65" t="str">
        <f t="shared" si="13"/>
        <v>Week 3</v>
      </c>
      <c r="S419" s="65" t="str">
        <f>TEXT(Table8[[#This Row],[Date Day]],"mmm,YYYY")</f>
        <v>Jan,2011</v>
      </c>
    </row>
    <row r="420" spans="1:19" ht="15.6" x14ac:dyDescent="0.3">
      <c r="A420" s="62">
        <v>387</v>
      </c>
      <c r="B420" s="63">
        <v>40560</v>
      </c>
      <c r="C420" s="64">
        <v>14</v>
      </c>
      <c r="D420" s="64" t="b">
        <f>IF(COUNTIF(AU$36:AU$52,Table8[[#This Row],[Date Day]]) &gt; 0, TRUE, FALSE)</f>
        <v>0</v>
      </c>
      <c r="E420" s="64">
        <f t="shared" si="12"/>
        <v>1</v>
      </c>
      <c r="F420" s="64">
        <v>2</v>
      </c>
      <c r="G420" s="65" t="str">
        <f>IF(Table8[[#This Row],[Weathersit]]=1, "BAD", IF(Table8[[#This Row],[Weathersit]]=2, "MODERATE", IF(Table8[[#This Row],[Weathersit]]=3, "GOOD")))</f>
        <v>MODERATE</v>
      </c>
      <c r="H420" s="64">
        <v>18</v>
      </c>
      <c r="I420" s="65" t="str">
        <f>IF(Table8[[#This Row],[Temp]]&lt;11, "COLD", IF(Table8[[#This Row],[Temp]]&lt;=25, "COMFORTABLE", "WARM"))</f>
        <v>COMFORTABLE</v>
      </c>
      <c r="J420" s="64">
        <v>0.21210000000000001</v>
      </c>
      <c r="K420" s="64">
        <v>0.43</v>
      </c>
      <c r="L420" s="66">
        <v>10.45</v>
      </c>
      <c r="M420" s="75" t="s">
        <v>80</v>
      </c>
      <c r="N420" s="64">
        <v>12</v>
      </c>
      <c r="O420" s="64">
        <v>74</v>
      </c>
      <c r="P420" s="64">
        <v>86</v>
      </c>
      <c r="Q420" s="64"/>
      <c r="R420" s="65" t="str">
        <f t="shared" si="13"/>
        <v>Week 3</v>
      </c>
      <c r="S420" s="65" t="str">
        <f>TEXT(Table8[[#This Row],[Date Day]],"mmm,YYYY")</f>
        <v>Jan,2011</v>
      </c>
    </row>
    <row r="421" spans="1:19" ht="15.6" x14ac:dyDescent="0.3">
      <c r="A421" s="62">
        <v>388</v>
      </c>
      <c r="B421" s="63">
        <v>40560</v>
      </c>
      <c r="C421" s="64">
        <v>15</v>
      </c>
      <c r="D421" s="64" t="b">
        <f>IF(COUNTIF(AU$36:AU$52,Table8[[#This Row],[Date Day]]) &gt; 0, TRUE, FALSE)</f>
        <v>0</v>
      </c>
      <c r="E421" s="64">
        <f t="shared" si="12"/>
        <v>1</v>
      </c>
      <c r="F421" s="64">
        <v>2</v>
      </c>
      <c r="G421" s="65" t="str">
        <f>IF(Table8[[#This Row],[Weathersit]]=1, "BAD", IF(Table8[[#This Row],[Weathersit]]=2, "MODERATE", IF(Table8[[#This Row],[Weathersit]]=3, "GOOD")))</f>
        <v>MODERATE</v>
      </c>
      <c r="H421" s="64">
        <v>20</v>
      </c>
      <c r="I421" s="65" t="str">
        <f>IF(Table8[[#This Row],[Temp]]&lt;11, "COLD", IF(Table8[[#This Row],[Temp]]&lt;=25, "COMFORTABLE", "WARM"))</f>
        <v>COMFORTABLE</v>
      </c>
      <c r="J421" s="64">
        <v>0.21210000000000001</v>
      </c>
      <c r="K421" s="64">
        <v>0.47</v>
      </c>
      <c r="L421" s="66">
        <v>16.420000000000002</v>
      </c>
      <c r="M421" s="75" t="s">
        <v>80</v>
      </c>
      <c r="N421" s="64">
        <v>21</v>
      </c>
      <c r="O421" s="64">
        <v>72</v>
      </c>
      <c r="P421" s="64">
        <v>93</v>
      </c>
      <c r="Q421" s="64"/>
      <c r="R421" s="65" t="str">
        <f t="shared" si="13"/>
        <v>Week 3</v>
      </c>
      <c r="S421" s="65" t="str">
        <f>TEXT(Table8[[#This Row],[Date Day]],"mmm,YYYY")</f>
        <v>Jan,2011</v>
      </c>
    </row>
    <row r="422" spans="1:19" ht="15.6" x14ac:dyDescent="0.3">
      <c r="A422" s="62">
        <v>389</v>
      </c>
      <c r="B422" s="63">
        <v>40560</v>
      </c>
      <c r="C422" s="64">
        <v>16</v>
      </c>
      <c r="D422" s="64" t="b">
        <f>IF(COUNTIF(AU$36:AU$52,Table8[[#This Row],[Date Day]]) &gt; 0, TRUE, FALSE)</f>
        <v>0</v>
      </c>
      <c r="E422" s="64">
        <f t="shared" si="12"/>
        <v>1</v>
      </c>
      <c r="F422" s="64">
        <v>2</v>
      </c>
      <c r="G422" s="65" t="str">
        <f>IF(Table8[[#This Row],[Weathersit]]=1, "BAD", IF(Table8[[#This Row],[Weathersit]]=2, "MODERATE", IF(Table8[[#This Row],[Weathersit]]=3, "GOOD")))</f>
        <v>MODERATE</v>
      </c>
      <c r="H422" s="64">
        <v>20</v>
      </c>
      <c r="I422" s="65" t="str">
        <f>IF(Table8[[#This Row],[Temp]]&lt;11, "COLD", IF(Table8[[#This Row],[Temp]]&lt;=25, "COMFORTABLE", "WARM"))</f>
        <v>COMFORTABLE</v>
      </c>
      <c r="J422" s="64">
        <v>0.21210000000000001</v>
      </c>
      <c r="K422" s="64">
        <v>0.47</v>
      </c>
      <c r="L422" s="66">
        <v>16.420000000000002</v>
      </c>
      <c r="M422" s="75" t="s">
        <v>80</v>
      </c>
      <c r="N422" s="64">
        <v>6</v>
      </c>
      <c r="O422" s="64">
        <v>76</v>
      </c>
      <c r="P422" s="64">
        <v>82</v>
      </c>
      <c r="Q422" s="64"/>
      <c r="R422" s="65" t="str">
        <f t="shared" si="13"/>
        <v>Week 3</v>
      </c>
      <c r="S422" s="65" t="str">
        <f>TEXT(Table8[[#This Row],[Date Day]],"mmm,YYYY")</f>
        <v>Jan,2011</v>
      </c>
    </row>
    <row r="423" spans="1:19" ht="15.6" x14ac:dyDescent="0.3">
      <c r="A423" s="62">
        <v>390</v>
      </c>
      <c r="B423" s="63">
        <v>40560</v>
      </c>
      <c r="C423" s="64">
        <v>17</v>
      </c>
      <c r="D423" s="64" t="b">
        <f>IF(COUNTIF(AU$36:AU$52,Table8[[#This Row],[Date Day]]) &gt; 0, TRUE, FALSE)</f>
        <v>0</v>
      </c>
      <c r="E423" s="64">
        <f t="shared" si="12"/>
        <v>1</v>
      </c>
      <c r="F423" s="64">
        <v>1</v>
      </c>
      <c r="G423" s="65" t="str">
        <f>IF(Table8[[#This Row],[Weathersit]]=1, "BAD", IF(Table8[[#This Row],[Weathersit]]=2, "MODERATE", IF(Table8[[#This Row],[Weathersit]]=3, "GOOD")))</f>
        <v>BAD</v>
      </c>
      <c r="H423" s="64">
        <v>20</v>
      </c>
      <c r="I423" s="65" t="str">
        <f>IF(Table8[[#This Row],[Temp]]&lt;11, "COLD", IF(Table8[[#This Row],[Temp]]&lt;=25, "COMFORTABLE", "WARM"))</f>
        <v>COMFORTABLE</v>
      </c>
      <c r="J423" s="64">
        <v>0.19700000000000001</v>
      </c>
      <c r="K423" s="64">
        <v>0.51</v>
      </c>
      <c r="L423" s="66">
        <v>19.400000000000002</v>
      </c>
      <c r="M423" s="75" t="s">
        <v>80</v>
      </c>
      <c r="N423" s="64">
        <v>4</v>
      </c>
      <c r="O423" s="64">
        <v>67</v>
      </c>
      <c r="P423" s="64">
        <v>71</v>
      </c>
      <c r="Q423" s="64"/>
      <c r="R423" s="65" t="str">
        <f t="shared" si="13"/>
        <v>Week 3</v>
      </c>
      <c r="S423" s="65" t="str">
        <f>TEXT(Table8[[#This Row],[Date Day]],"mmm,YYYY")</f>
        <v>Jan,2011</v>
      </c>
    </row>
    <row r="424" spans="1:19" ht="15.6" x14ac:dyDescent="0.3">
      <c r="A424" s="62">
        <v>391</v>
      </c>
      <c r="B424" s="63">
        <v>40560</v>
      </c>
      <c r="C424" s="64">
        <v>18</v>
      </c>
      <c r="D424" s="64" t="b">
        <f>IF(COUNTIF(AU$36:AU$52,Table8[[#This Row],[Date Day]]) &gt; 0, TRUE, FALSE)</f>
        <v>0</v>
      </c>
      <c r="E424" s="64">
        <f t="shared" si="12"/>
        <v>1</v>
      </c>
      <c r="F424" s="64">
        <v>2</v>
      </c>
      <c r="G424" s="65" t="str">
        <f>IF(Table8[[#This Row],[Weathersit]]=1, "BAD", IF(Table8[[#This Row],[Weathersit]]=2, "MODERATE", IF(Table8[[#This Row],[Weathersit]]=3, "GOOD")))</f>
        <v>MODERATE</v>
      </c>
      <c r="H424" s="64">
        <v>18</v>
      </c>
      <c r="I424" s="65" t="str">
        <f>IF(Table8[[#This Row],[Temp]]&lt;11, "COLD", IF(Table8[[#This Row],[Temp]]&lt;=25, "COMFORTABLE", "WARM"))</f>
        <v>COMFORTABLE</v>
      </c>
      <c r="J424" s="64">
        <v>0.16669999999999999</v>
      </c>
      <c r="K424" s="64">
        <v>0.55000000000000004</v>
      </c>
      <c r="L424" s="66">
        <v>25.369999999999997</v>
      </c>
      <c r="M424" s="75" t="s">
        <v>81</v>
      </c>
      <c r="N424" s="64">
        <v>7</v>
      </c>
      <c r="O424" s="64">
        <v>85</v>
      </c>
      <c r="P424" s="64">
        <v>92</v>
      </c>
      <c r="Q424" s="64"/>
      <c r="R424" s="65" t="str">
        <f t="shared" si="13"/>
        <v>Week 3</v>
      </c>
      <c r="S424" s="65" t="str">
        <f>TEXT(Table8[[#This Row],[Date Day]],"mmm,YYYY")</f>
        <v>Jan,2011</v>
      </c>
    </row>
    <row r="425" spans="1:19" ht="15.6" x14ac:dyDescent="0.3">
      <c r="A425" s="62">
        <v>392</v>
      </c>
      <c r="B425" s="63">
        <v>40560</v>
      </c>
      <c r="C425" s="64">
        <v>19</v>
      </c>
      <c r="D425" s="64" t="b">
        <f>IF(COUNTIF(AU$36:AU$52,Table8[[#This Row],[Date Day]]) &gt; 0, TRUE, FALSE)</f>
        <v>0</v>
      </c>
      <c r="E425" s="64">
        <f t="shared" si="12"/>
        <v>1</v>
      </c>
      <c r="F425" s="64">
        <v>3</v>
      </c>
      <c r="G425" s="65" t="str">
        <f>IF(Table8[[#This Row],[Weathersit]]=1, "BAD", IF(Table8[[#This Row],[Weathersit]]=2, "MODERATE", IF(Table8[[#This Row],[Weathersit]]=3, "GOOD")))</f>
        <v>GOOD</v>
      </c>
      <c r="H425" s="64">
        <v>18</v>
      </c>
      <c r="I425" s="65" t="str">
        <f>IF(Table8[[#This Row],[Temp]]&lt;11, "COLD", IF(Table8[[#This Row],[Temp]]&lt;=25, "COMFORTABLE", "WARM"))</f>
        <v>COMFORTABLE</v>
      </c>
      <c r="J425" s="64">
        <v>0.18179999999999999</v>
      </c>
      <c r="K425" s="64">
        <v>0.59</v>
      </c>
      <c r="L425" s="66">
        <v>19.400000000000002</v>
      </c>
      <c r="M425" s="75" t="s">
        <v>80</v>
      </c>
      <c r="N425" s="64">
        <v>2</v>
      </c>
      <c r="O425" s="64">
        <v>58</v>
      </c>
      <c r="P425" s="64">
        <v>60</v>
      </c>
      <c r="Q425" s="64"/>
      <c r="R425" s="65" t="str">
        <f t="shared" si="13"/>
        <v>Week 3</v>
      </c>
      <c r="S425" s="65" t="str">
        <f>TEXT(Table8[[#This Row],[Date Day]],"mmm,YYYY")</f>
        <v>Jan,2011</v>
      </c>
    </row>
    <row r="426" spans="1:19" ht="15.6" x14ac:dyDescent="0.3">
      <c r="A426" s="62">
        <v>393</v>
      </c>
      <c r="B426" s="63">
        <v>40560</v>
      </c>
      <c r="C426" s="64">
        <v>20</v>
      </c>
      <c r="D426" s="64" t="b">
        <f>IF(COUNTIF(AU$36:AU$52,Table8[[#This Row],[Date Day]]) &gt; 0, TRUE, FALSE)</f>
        <v>0</v>
      </c>
      <c r="E426" s="64">
        <f t="shared" si="12"/>
        <v>1</v>
      </c>
      <c r="F426" s="64">
        <v>3</v>
      </c>
      <c r="G426" s="65" t="str">
        <f>IF(Table8[[#This Row],[Weathersit]]=1, "BAD", IF(Table8[[#This Row],[Weathersit]]=2, "MODERATE", IF(Table8[[#This Row],[Weathersit]]=3, "GOOD")))</f>
        <v>GOOD</v>
      </c>
      <c r="H426" s="64">
        <v>16</v>
      </c>
      <c r="I426" s="65" t="str">
        <f>IF(Table8[[#This Row],[Temp]]&lt;11, "COLD", IF(Table8[[#This Row],[Temp]]&lt;=25, "COMFORTABLE", "WARM"))</f>
        <v>COMFORTABLE</v>
      </c>
      <c r="J426" s="64">
        <v>0.1515</v>
      </c>
      <c r="K426" s="64">
        <v>0.8</v>
      </c>
      <c r="L426" s="66">
        <v>19.400000000000002</v>
      </c>
      <c r="M426" s="75" t="s">
        <v>80</v>
      </c>
      <c r="N426" s="64">
        <v>4</v>
      </c>
      <c r="O426" s="64">
        <v>29</v>
      </c>
      <c r="P426" s="64">
        <v>33</v>
      </c>
      <c r="Q426" s="64"/>
      <c r="R426" s="65" t="str">
        <f t="shared" si="13"/>
        <v>Week 3</v>
      </c>
      <c r="S426" s="65" t="str">
        <f>TEXT(Table8[[#This Row],[Date Day]],"mmm,YYYY")</f>
        <v>Jan,2011</v>
      </c>
    </row>
    <row r="427" spans="1:19" ht="15.6" x14ac:dyDescent="0.3">
      <c r="A427" s="62">
        <v>394</v>
      </c>
      <c r="B427" s="63">
        <v>40560</v>
      </c>
      <c r="C427" s="64">
        <v>21</v>
      </c>
      <c r="D427" s="64" t="b">
        <f>IF(COUNTIF(AU$36:AU$52,Table8[[#This Row],[Date Day]]) &gt; 0, TRUE, FALSE)</f>
        <v>0</v>
      </c>
      <c r="E427" s="64">
        <f t="shared" si="12"/>
        <v>1</v>
      </c>
      <c r="F427" s="64">
        <v>3</v>
      </c>
      <c r="G427" s="65" t="str">
        <f>IF(Table8[[#This Row],[Weathersit]]=1, "BAD", IF(Table8[[#This Row],[Weathersit]]=2, "MODERATE", IF(Table8[[#This Row],[Weathersit]]=3, "GOOD")))</f>
        <v>GOOD</v>
      </c>
      <c r="H427" s="64">
        <v>16</v>
      </c>
      <c r="I427" s="65" t="str">
        <f>IF(Table8[[#This Row],[Temp]]&lt;11, "COLD", IF(Table8[[#This Row],[Temp]]&lt;=25, "COMFORTABLE", "WARM"))</f>
        <v>COMFORTABLE</v>
      </c>
      <c r="J427" s="64">
        <v>0.1515</v>
      </c>
      <c r="K427" s="64">
        <v>0.8</v>
      </c>
      <c r="L427" s="66">
        <v>19.400000000000002</v>
      </c>
      <c r="M427" s="75" t="s">
        <v>80</v>
      </c>
      <c r="N427" s="64">
        <v>3</v>
      </c>
      <c r="O427" s="64">
        <v>24</v>
      </c>
      <c r="P427" s="64">
        <v>27</v>
      </c>
      <c r="Q427" s="64"/>
      <c r="R427" s="65" t="str">
        <f t="shared" si="13"/>
        <v>Week 3</v>
      </c>
      <c r="S427" s="65" t="str">
        <f>TEXT(Table8[[#This Row],[Date Day]],"mmm,YYYY")</f>
        <v>Jan,2011</v>
      </c>
    </row>
    <row r="428" spans="1:19" ht="15.6" x14ac:dyDescent="0.3">
      <c r="A428" s="62">
        <v>395</v>
      </c>
      <c r="B428" s="63">
        <v>40560</v>
      </c>
      <c r="C428" s="64">
        <v>22</v>
      </c>
      <c r="D428" s="64" t="b">
        <f>IF(COUNTIF(AU$36:AU$52,Table8[[#This Row],[Date Day]]) &gt; 0, TRUE, FALSE)</f>
        <v>0</v>
      </c>
      <c r="E428" s="64">
        <f t="shared" si="12"/>
        <v>1</v>
      </c>
      <c r="F428" s="64">
        <v>3</v>
      </c>
      <c r="G428" s="65" t="str">
        <f>IF(Table8[[#This Row],[Weathersit]]=1, "BAD", IF(Table8[[#This Row],[Weathersit]]=2, "MODERATE", IF(Table8[[#This Row],[Weathersit]]=3, "GOOD")))</f>
        <v>GOOD</v>
      </c>
      <c r="H428" s="64">
        <v>14.000000000000002</v>
      </c>
      <c r="I428" s="65" t="str">
        <f>IF(Table8[[#This Row],[Temp]]&lt;11, "COLD", IF(Table8[[#This Row],[Temp]]&lt;=25, "COMFORTABLE", "WARM"))</f>
        <v>COMFORTABLE</v>
      </c>
      <c r="J428" s="64">
        <v>0.1212</v>
      </c>
      <c r="K428" s="64">
        <v>0.93</v>
      </c>
      <c r="L428" s="66">
        <v>25.369999999999997</v>
      </c>
      <c r="M428" s="75" t="s">
        <v>81</v>
      </c>
      <c r="N428" s="64">
        <v>0</v>
      </c>
      <c r="O428" s="64">
        <v>13</v>
      </c>
      <c r="P428" s="64">
        <v>13</v>
      </c>
      <c r="Q428" s="64"/>
      <c r="R428" s="65" t="str">
        <f t="shared" si="13"/>
        <v>Week 3</v>
      </c>
      <c r="S428" s="65" t="str">
        <f>TEXT(Table8[[#This Row],[Date Day]],"mmm,YYYY")</f>
        <v>Jan,2011</v>
      </c>
    </row>
    <row r="429" spans="1:19" ht="15.6" x14ac:dyDescent="0.3">
      <c r="A429" s="62">
        <v>396</v>
      </c>
      <c r="B429" s="63">
        <v>40560</v>
      </c>
      <c r="C429" s="64">
        <v>23</v>
      </c>
      <c r="D429" s="64" t="b">
        <f>IF(COUNTIF(AU$36:AU$52,Table8[[#This Row],[Date Day]]) &gt; 0, TRUE, FALSE)</f>
        <v>0</v>
      </c>
      <c r="E429" s="64">
        <f t="shared" si="12"/>
        <v>1</v>
      </c>
      <c r="F429" s="64">
        <v>3</v>
      </c>
      <c r="G429" s="65" t="str">
        <f>IF(Table8[[#This Row],[Weathersit]]=1, "BAD", IF(Table8[[#This Row],[Weathersit]]=2, "MODERATE", IF(Table8[[#This Row],[Weathersit]]=3, "GOOD")))</f>
        <v>GOOD</v>
      </c>
      <c r="H429" s="64">
        <v>16</v>
      </c>
      <c r="I429" s="65" t="str">
        <f>IF(Table8[[#This Row],[Temp]]&lt;11, "COLD", IF(Table8[[#This Row],[Temp]]&lt;=25, "COMFORTABLE", "WARM"))</f>
        <v>COMFORTABLE</v>
      </c>
      <c r="J429" s="64">
        <v>0.13639999999999999</v>
      </c>
      <c r="K429" s="64">
        <v>0.86</v>
      </c>
      <c r="L429" s="66">
        <v>28.360000000000003</v>
      </c>
      <c r="M429" s="75" t="s">
        <v>81</v>
      </c>
      <c r="N429" s="64">
        <v>1</v>
      </c>
      <c r="O429" s="64">
        <v>3</v>
      </c>
      <c r="P429" s="64">
        <v>4</v>
      </c>
      <c r="Q429" s="64"/>
      <c r="R429" s="65" t="str">
        <f t="shared" si="13"/>
        <v>Week 3</v>
      </c>
      <c r="S429" s="65" t="str">
        <f>TEXT(Table8[[#This Row],[Date Day]],"mmm,YYYY")</f>
        <v>Jan,2011</v>
      </c>
    </row>
    <row r="430" spans="1:19" ht="15.6" x14ac:dyDescent="0.3">
      <c r="A430" s="62">
        <v>397</v>
      </c>
      <c r="B430" s="63">
        <v>40561</v>
      </c>
      <c r="C430" s="64">
        <v>12</v>
      </c>
      <c r="D430" s="64" t="b">
        <f>IF(COUNTIF(AU$36:AU$52,Table8[[#This Row],[Date Day]]) &gt; 0, TRUE, FALSE)</f>
        <v>0</v>
      </c>
      <c r="E430" s="64">
        <f t="shared" si="12"/>
        <v>2</v>
      </c>
      <c r="F430" s="64">
        <v>2</v>
      </c>
      <c r="G430" s="65" t="str">
        <f>IF(Table8[[#This Row],[Weathersit]]=1, "BAD", IF(Table8[[#This Row],[Weathersit]]=2, "MODERATE", IF(Table8[[#This Row],[Weathersit]]=3, "GOOD")))</f>
        <v>MODERATE</v>
      </c>
      <c r="H430" s="64">
        <v>20</v>
      </c>
      <c r="I430" s="65" t="str">
        <f>IF(Table8[[#This Row],[Temp]]&lt;11, "COLD", IF(Table8[[#This Row],[Temp]]&lt;=25, "COMFORTABLE", "WARM"))</f>
        <v>COMFORTABLE</v>
      </c>
      <c r="J430" s="64">
        <v>0.18179999999999999</v>
      </c>
      <c r="K430" s="64">
        <v>0.86</v>
      </c>
      <c r="L430" s="66">
        <v>32.840000000000003</v>
      </c>
      <c r="M430" s="75" t="s">
        <v>84</v>
      </c>
      <c r="N430" s="64">
        <v>0</v>
      </c>
      <c r="O430" s="64">
        <v>3</v>
      </c>
      <c r="P430" s="64">
        <v>3</v>
      </c>
      <c r="Q430" s="64"/>
      <c r="R430" s="65" t="str">
        <f t="shared" si="13"/>
        <v>Week 3</v>
      </c>
      <c r="S430" s="65" t="str">
        <f>TEXT(Table8[[#This Row],[Date Day]],"mmm,YYYY")</f>
        <v>Jan,2011</v>
      </c>
    </row>
    <row r="431" spans="1:19" ht="15.6" x14ac:dyDescent="0.3">
      <c r="A431" s="62">
        <v>398</v>
      </c>
      <c r="B431" s="63">
        <v>40561</v>
      </c>
      <c r="C431" s="64">
        <v>13</v>
      </c>
      <c r="D431" s="64" t="b">
        <f>IF(COUNTIF(AU$36:AU$52,Table8[[#This Row],[Date Day]]) &gt; 0, TRUE, FALSE)</f>
        <v>0</v>
      </c>
      <c r="E431" s="64">
        <f t="shared" si="12"/>
        <v>2</v>
      </c>
      <c r="F431" s="64">
        <v>2</v>
      </c>
      <c r="G431" s="65" t="str">
        <f>IF(Table8[[#This Row],[Weathersit]]=1, "BAD", IF(Table8[[#This Row],[Weathersit]]=2, "MODERATE", IF(Table8[[#This Row],[Weathersit]]=3, "GOOD")))</f>
        <v>MODERATE</v>
      </c>
      <c r="H431" s="64">
        <v>20</v>
      </c>
      <c r="I431" s="65" t="str">
        <f>IF(Table8[[#This Row],[Temp]]&lt;11, "COLD", IF(Table8[[#This Row],[Temp]]&lt;=25, "COMFORTABLE", "WARM"))</f>
        <v>COMFORTABLE</v>
      </c>
      <c r="J431" s="64">
        <v>0.19700000000000001</v>
      </c>
      <c r="K431" s="64">
        <v>0.86</v>
      </c>
      <c r="L431" s="66">
        <v>22.39</v>
      </c>
      <c r="M431" s="75" t="s">
        <v>81</v>
      </c>
      <c r="N431" s="64">
        <v>0</v>
      </c>
      <c r="O431" s="64">
        <v>22</v>
      </c>
      <c r="P431" s="64">
        <v>22</v>
      </c>
      <c r="Q431" s="64"/>
      <c r="R431" s="65" t="str">
        <f t="shared" si="13"/>
        <v>Week 3</v>
      </c>
      <c r="S431" s="65" t="str">
        <f>TEXT(Table8[[#This Row],[Date Day]],"mmm,YYYY")</f>
        <v>Jan,2011</v>
      </c>
    </row>
    <row r="432" spans="1:19" ht="15.6" x14ac:dyDescent="0.3">
      <c r="A432" s="62">
        <v>399</v>
      </c>
      <c r="B432" s="63">
        <v>40561</v>
      </c>
      <c r="C432" s="64">
        <v>14</v>
      </c>
      <c r="D432" s="64" t="b">
        <f>IF(COUNTIF(AU$36:AU$52,Table8[[#This Row],[Date Day]]) &gt; 0, TRUE, FALSE)</f>
        <v>0</v>
      </c>
      <c r="E432" s="64">
        <f t="shared" si="12"/>
        <v>2</v>
      </c>
      <c r="F432" s="64">
        <v>2</v>
      </c>
      <c r="G432" s="65" t="str">
        <f>IF(Table8[[#This Row],[Weathersit]]=1, "BAD", IF(Table8[[#This Row],[Weathersit]]=2, "MODERATE", IF(Table8[[#This Row],[Weathersit]]=3, "GOOD")))</f>
        <v>MODERATE</v>
      </c>
      <c r="H432" s="64">
        <v>22</v>
      </c>
      <c r="I432" s="65" t="str">
        <f>IF(Table8[[#This Row],[Temp]]&lt;11, "COLD", IF(Table8[[#This Row],[Temp]]&lt;=25, "COMFORTABLE", "WARM"))</f>
        <v>COMFORTABLE</v>
      </c>
      <c r="J432" s="64">
        <v>0.2273</v>
      </c>
      <c r="K432" s="64">
        <v>0.8</v>
      </c>
      <c r="L432" s="66">
        <v>16.420000000000002</v>
      </c>
      <c r="M432" s="75" t="s">
        <v>80</v>
      </c>
      <c r="N432" s="64">
        <v>2</v>
      </c>
      <c r="O432" s="64">
        <v>26</v>
      </c>
      <c r="P432" s="64">
        <v>28</v>
      </c>
      <c r="Q432" s="64"/>
      <c r="R432" s="65" t="str">
        <f t="shared" si="13"/>
        <v>Week 3</v>
      </c>
      <c r="S432" s="65" t="str">
        <f>TEXT(Table8[[#This Row],[Date Day]],"mmm,YYYY")</f>
        <v>Jan,2011</v>
      </c>
    </row>
    <row r="433" spans="1:19" ht="15.6" x14ac:dyDescent="0.3">
      <c r="A433" s="62">
        <v>400</v>
      </c>
      <c r="B433" s="63">
        <v>40561</v>
      </c>
      <c r="C433" s="64">
        <v>15</v>
      </c>
      <c r="D433" s="64" t="b">
        <f>IF(COUNTIF(AU$36:AU$52,Table8[[#This Row],[Date Day]]) &gt; 0, TRUE, FALSE)</f>
        <v>0</v>
      </c>
      <c r="E433" s="64">
        <f t="shared" si="12"/>
        <v>2</v>
      </c>
      <c r="F433" s="64">
        <v>2</v>
      </c>
      <c r="G433" s="65" t="str">
        <f>IF(Table8[[#This Row],[Weathersit]]=1, "BAD", IF(Table8[[#This Row],[Weathersit]]=2, "MODERATE", IF(Table8[[#This Row],[Weathersit]]=3, "GOOD")))</f>
        <v>MODERATE</v>
      </c>
      <c r="H433" s="64">
        <v>22</v>
      </c>
      <c r="I433" s="65" t="str">
        <f>IF(Table8[[#This Row],[Temp]]&lt;11, "COLD", IF(Table8[[#This Row],[Temp]]&lt;=25, "COMFORTABLE", "WARM"))</f>
        <v>COMFORTABLE</v>
      </c>
      <c r="J433" s="64">
        <v>0.2273</v>
      </c>
      <c r="K433" s="64">
        <v>0.87</v>
      </c>
      <c r="L433" s="66">
        <v>16.420000000000002</v>
      </c>
      <c r="M433" s="75" t="s">
        <v>80</v>
      </c>
      <c r="N433" s="64">
        <v>3</v>
      </c>
      <c r="O433" s="64">
        <v>32</v>
      </c>
      <c r="P433" s="64">
        <v>35</v>
      </c>
      <c r="Q433" s="64"/>
      <c r="R433" s="65" t="str">
        <f t="shared" si="13"/>
        <v>Week 3</v>
      </c>
      <c r="S433" s="65" t="str">
        <f>TEXT(Table8[[#This Row],[Date Day]],"mmm,YYYY")</f>
        <v>Jan,2011</v>
      </c>
    </row>
    <row r="434" spans="1:19" ht="15.6" x14ac:dyDescent="0.3">
      <c r="A434" s="62">
        <v>401</v>
      </c>
      <c r="B434" s="63">
        <v>40561</v>
      </c>
      <c r="C434" s="64">
        <v>16</v>
      </c>
      <c r="D434" s="64" t="b">
        <f>IF(COUNTIF(AU$36:AU$52,Table8[[#This Row],[Date Day]]) &gt; 0, TRUE, FALSE)</f>
        <v>0</v>
      </c>
      <c r="E434" s="64">
        <f t="shared" si="12"/>
        <v>2</v>
      </c>
      <c r="F434" s="64">
        <v>2</v>
      </c>
      <c r="G434" s="65" t="str">
        <f>IF(Table8[[#This Row],[Weathersit]]=1, "BAD", IF(Table8[[#This Row],[Weathersit]]=2, "MODERATE", IF(Table8[[#This Row],[Weathersit]]=3, "GOOD")))</f>
        <v>MODERATE</v>
      </c>
      <c r="H434" s="64">
        <v>22</v>
      </c>
      <c r="I434" s="65" t="str">
        <f>IF(Table8[[#This Row],[Temp]]&lt;11, "COLD", IF(Table8[[#This Row],[Temp]]&lt;=25, "COMFORTABLE", "WARM"))</f>
        <v>COMFORTABLE</v>
      </c>
      <c r="J434" s="64">
        <v>0.2273</v>
      </c>
      <c r="K434" s="64">
        <v>0.87</v>
      </c>
      <c r="L434" s="66">
        <v>19.400000000000002</v>
      </c>
      <c r="M434" s="75" t="s">
        <v>80</v>
      </c>
      <c r="N434" s="64">
        <v>0</v>
      </c>
      <c r="O434" s="64">
        <v>61</v>
      </c>
      <c r="P434" s="64">
        <v>61</v>
      </c>
      <c r="Q434" s="64"/>
      <c r="R434" s="65" t="str">
        <f t="shared" si="13"/>
        <v>Week 3</v>
      </c>
      <c r="S434" s="65" t="str">
        <f>TEXT(Table8[[#This Row],[Date Day]],"mmm,YYYY")</f>
        <v>Jan,2011</v>
      </c>
    </row>
    <row r="435" spans="1:19" ht="15.6" x14ac:dyDescent="0.3">
      <c r="A435" s="62">
        <v>402</v>
      </c>
      <c r="B435" s="63">
        <v>40561</v>
      </c>
      <c r="C435" s="64">
        <v>17</v>
      </c>
      <c r="D435" s="64" t="b">
        <f>IF(COUNTIF(AU$36:AU$52,Table8[[#This Row],[Date Day]]) &gt; 0, TRUE, FALSE)</f>
        <v>0</v>
      </c>
      <c r="E435" s="64">
        <f t="shared" si="12"/>
        <v>2</v>
      </c>
      <c r="F435" s="64">
        <v>2</v>
      </c>
      <c r="G435" s="65" t="str">
        <f>IF(Table8[[#This Row],[Weathersit]]=1, "BAD", IF(Table8[[#This Row],[Weathersit]]=2, "MODERATE", IF(Table8[[#This Row],[Weathersit]]=3, "GOOD")))</f>
        <v>MODERATE</v>
      </c>
      <c r="H435" s="64">
        <v>22</v>
      </c>
      <c r="I435" s="65" t="str">
        <f>IF(Table8[[#This Row],[Temp]]&lt;11, "COLD", IF(Table8[[#This Row],[Temp]]&lt;=25, "COMFORTABLE", "WARM"))</f>
        <v>COMFORTABLE</v>
      </c>
      <c r="J435" s="64">
        <v>0.2273</v>
      </c>
      <c r="K435" s="64">
        <v>0.82</v>
      </c>
      <c r="L435" s="66">
        <v>19.400000000000002</v>
      </c>
      <c r="M435" s="75" t="s">
        <v>80</v>
      </c>
      <c r="N435" s="64">
        <v>1</v>
      </c>
      <c r="O435" s="64">
        <v>124</v>
      </c>
      <c r="P435" s="64">
        <v>125</v>
      </c>
      <c r="Q435" s="64"/>
      <c r="R435" s="65" t="str">
        <f t="shared" si="13"/>
        <v>Week 3</v>
      </c>
      <c r="S435" s="65" t="str">
        <f>TEXT(Table8[[#This Row],[Date Day]],"mmm,YYYY")</f>
        <v>Jan,2011</v>
      </c>
    </row>
    <row r="436" spans="1:19" ht="15.6" x14ac:dyDescent="0.3">
      <c r="A436" s="62">
        <v>403</v>
      </c>
      <c r="B436" s="63">
        <v>40561</v>
      </c>
      <c r="C436" s="64">
        <v>18</v>
      </c>
      <c r="D436" s="64" t="b">
        <f>IF(COUNTIF(AU$36:AU$52,Table8[[#This Row],[Date Day]]) &gt; 0, TRUE, FALSE)</f>
        <v>0</v>
      </c>
      <c r="E436" s="64">
        <f t="shared" si="12"/>
        <v>2</v>
      </c>
      <c r="F436" s="64">
        <v>2</v>
      </c>
      <c r="G436" s="65" t="str">
        <f>IF(Table8[[#This Row],[Weathersit]]=1, "BAD", IF(Table8[[#This Row],[Weathersit]]=2, "MODERATE", IF(Table8[[#This Row],[Weathersit]]=3, "GOOD")))</f>
        <v>MODERATE</v>
      </c>
      <c r="H436" s="64">
        <v>22</v>
      </c>
      <c r="I436" s="65" t="str">
        <f>IF(Table8[[#This Row],[Temp]]&lt;11, "COLD", IF(Table8[[#This Row],[Temp]]&lt;=25, "COMFORTABLE", "WARM"))</f>
        <v>COMFORTABLE</v>
      </c>
      <c r="J436" s="64">
        <v>0.2273</v>
      </c>
      <c r="K436" s="64">
        <v>0.8</v>
      </c>
      <c r="L436" s="66">
        <v>16.420000000000002</v>
      </c>
      <c r="M436" s="75" t="s">
        <v>80</v>
      </c>
      <c r="N436" s="64">
        <v>1</v>
      </c>
      <c r="O436" s="64">
        <v>132</v>
      </c>
      <c r="P436" s="64">
        <v>133</v>
      </c>
      <c r="Q436" s="64"/>
      <c r="R436" s="65" t="str">
        <f t="shared" si="13"/>
        <v>Week 3</v>
      </c>
      <c r="S436" s="65" t="str">
        <f>TEXT(Table8[[#This Row],[Date Day]],"mmm,YYYY")</f>
        <v>Jan,2011</v>
      </c>
    </row>
    <row r="437" spans="1:19" ht="15.6" x14ac:dyDescent="0.3">
      <c r="A437" s="62">
        <v>404</v>
      </c>
      <c r="B437" s="63">
        <v>40561</v>
      </c>
      <c r="C437" s="64">
        <v>19</v>
      </c>
      <c r="D437" s="64" t="b">
        <f>IF(COUNTIF(AU$36:AU$52,Table8[[#This Row],[Date Day]]) &gt; 0, TRUE, FALSE)</f>
        <v>0</v>
      </c>
      <c r="E437" s="64">
        <f t="shared" si="12"/>
        <v>2</v>
      </c>
      <c r="F437" s="64">
        <v>2</v>
      </c>
      <c r="G437" s="65" t="str">
        <f>IF(Table8[[#This Row],[Weathersit]]=1, "BAD", IF(Table8[[#This Row],[Weathersit]]=2, "MODERATE", IF(Table8[[#This Row],[Weathersit]]=3, "GOOD")))</f>
        <v>MODERATE</v>
      </c>
      <c r="H437" s="64">
        <v>22</v>
      </c>
      <c r="I437" s="65" t="str">
        <f>IF(Table8[[#This Row],[Temp]]&lt;11, "COLD", IF(Table8[[#This Row],[Temp]]&lt;=25, "COMFORTABLE", "WARM"))</f>
        <v>COMFORTABLE</v>
      </c>
      <c r="J437" s="64">
        <v>0.2273</v>
      </c>
      <c r="K437" s="64">
        <v>0.8</v>
      </c>
      <c r="L437" s="66">
        <v>13.43</v>
      </c>
      <c r="M437" s="75" t="s">
        <v>80</v>
      </c>
      <c r="N437" s="64">
        <v>1</v>
      </c>
      <c r="O437" s="64">
        <v>98</v>
      </c>
      <c r="P437" s="64">
        <v>99</v>
      </c>
      <c r="Q437" s="64"/>
      <c r="R437" s="65" t="str">
        <f t="shared" si="13"/>
        <v>Week 3</v>
      </c>
      <c r="S437" s="65" t="str">
        <f>TEXT(Table8[[#This Row],[Date Day]],"mmm,YYYY")</f>
        <v>Jan,2011</v>
      </c>
    </row>
    <row r="438" spans="1:19" ht="15.6" x14ac:dyDescent="0.3">
      <c r="A438" s="62">
        <v>405</v>
      </c>
      <c r="B438" s="63">
        <v>40561</v>
      </c>
      <c r="C438" s="64">
        <v>20</v>
      </c>
      <c r="D438" s="64" t="b">
        <f>IF(COUNTIF(AU$36:AU$52,Table8[[#This Row],[Date Day]]) &gt; 0, TRUE, FALSE)</f>
        <v>0</v>
      </c>
      <c r="E438" s="64">
        <f t="shared" si="12"/>
        <v>2</v>
      </c>
      <c r="F438" s="64">
        <v>2</v>
      </c>
      <c r="G438" s="65" t="str">
        <f>IF(Table8[[#This Row],[Weathersit]]=1, "BAD", IF(Table8[[#This Row],[Weathersit]]=2, "MODERATE", IF(Table8[[#This Row],[Weathersit]]=3, "GOOD")))</f>
        <v>MODERATE</v>
      </c>
      <c r="H438" s="64">
        <v>22</v>
      </c>
      <c r="I438" s="65" t="str">
        <f>IF(Table8[[#This Row],[Temp]]&lt;11, "COLD", IF(Table8[[#This Row],[Temp]]&lt;=25, "COMFORTABLE", "WARM"))</f>
        <v>COMFORTABLE</v>
      </c>
      <c r="J438" s="64">
        <v>0.2727</v>
      </c>
      <c r="K438" s="64">
        <v>0.87</v>
      </c>
      <c r="L438" s="66">
        <v>20.485098360655737</v>
      </c>
      <c r="M438" s="75" t="s">
        <v>81</v>
      </c>
      <c r="N438" s="64">
        <v>0</v>
      </c>
      <c r="O438" s="64">
        <v>83</v>
      </c>
      <c r="P438" s="64">
        <v>83</v>
      </c>
      <c r="Q438" s="64"/>
      <c r="R438" s="65" t="str">
        <f t="shared" si="13"/>
        <v>Week 3</v>
      </c>
      <c r="S438" s="65" t="str">
        <f>TEXT(Table8[[#This Row],[Date Day]],"mmm,YYYY")</f>
        <v>Jan,2011</v>
      </c>
    </row>
    <row r="439" spans="1:19" ht="15.6" x14ac:dyDescent="0.3">
      <c r="A439" s="62">
        <v>406</v>
      </c>
      <c r="B439" s="63">
        <v>40561</v>
      </c>
      <c r="C439" s="64">
        <v>21</v>
      </c>
      <c r="D439" s="64" t="b">
        <f>IF(COUNTIF(AU$36:AU$52,Table8[[#This Row],[Date Day]]) &gt; 0, TRUE, FALSE)</f>
        <v>0</v>
      </c>
      <c r="E439" s="64">
        <f t="shared" si="12"/>
        <v>2</v>
      </c>
      <c r="F439" s="64">
        <v>2</v>
      </c>
      <c r="G439" s="65" t="str">
        <f>IF(Table8[[#This Row],[Weathersit]]=1, "BAD", IF(Table8[[#This Row],[Weathersit]]=2, "MODERATE", IF(Table8[[#This Row],[Weathersit]]=3, "GOOD")))</f>
        <v>MODERATE</v>
      </c>
      <c r="H439" s="64">
        <v>22</v>
      </c>
      <c r="I439" s="65" t="str">
        <f>IF(Table8[[#This Row],[Temp]]&lt;11, "COLD", IF(Table8[[#This Row],[Temp]]&lt;=25, "COMFORTABLE", "WARM"))</f>
        <v>COMFORTABLE</v>
      </c>
      <c r="J439" s="64">
        <v>0.2424</v>
      </c>
      <c r="K439" s="64">
        <v>0.93</v>
      </c>
      <c r="L439" s="66">
        <v>10.45</v>
      </c>
      <c r="M439" s="75" t="s">
        <v>80</v>
      </c>
      <c r="N439" s="64">
        <v>0</v>
      </c>
      <c r="O439" s="64">
        <v>41</v>
      </c>
      <c r="P439" s="64">
        <v>41</v>
      </c>
      <c r="Q439" s="64"/>
      <c r="R439" s="65" t="str">
        <f t="shared" si="13"/>
        <v>Week 3</v>
      </c>
      <c r="S439" s="65" t="str">
        <f>TEXT(Table8[[#This Row],[Date Day]],"mmm,YYYY")</f>
        <v>Jan,2011</v>
      </c>
    </row>
    <row r="440" spans="1:19" ht="15.6" x14ac:dyDescent="0.3">
      <c r="A440" s="62">
        <v>407</v>
      </c>
      <c r="B440" s="63">
        <v>40561</v>
      </c>
      <c r="C440" s="64">
        <v>22</v>
      </c>
      <c r="D440" s="64" t="b">
        <f>IF(COUNTIF(AU$36:AU$52,Table8[[#This Row],[Date Day]]) &gt; 0, TRUE, FALSE)</f>
        <v>0</v>
      </c>
      <c r="E440" s="64">
        <f t="shared" si="12"/>
        <v>2</v>
      </c>
      <c r="F440" s="64">
        <v>2</v>
      </c>
      <c r="G440" s="65" t="str">
        <f>IF(Table8[[#This Row],[Weathersit]]=1, "BAD", IF(Table8[[#This Row],[Weathersit]]=2, "MODERATE", IF(Table8[[#This Row],[Weathersit]]=3, "GOOD")))</f>
        <v>MODERATE</v>
      </c>
      <c r="H440" s="64">
        <v>22</v>
      </c>
      <c r="I440" s="65" t="str">
        <f>IF(Table8[[#This Row],[Temp]]&lt;11, "COLD", IF(Table8[[#This Row],[Temp]]&lt;=25, "COMFORTABLE", "WARM"))</f>
        <v>COMFORTABLE</v>
      </c>
      <c r="J440" s="64">
        <v>0.2576</v>
      </c>
      <c r="K440" s="64">
        <v>0.93</v>
      </c>
      <c r="L440" s="66">
        <v>8.9599999999999991</v>
      </c>
      <c r="M440" s="75" t="s">
        <v>80</v>
      </c>
      <c r="N440" s="64">
        <v>0</v>
      </c>
      <c r="O440" s="64">
        <v>33</v>
      </c>
      <c r="P440" s="64">
        <v>33</v>
      </c>
      <c r="Q440" s="64"/>
      <c r="R440" s="65" t="str">
        <f t="shared" si="13"/>
        <v>Week 3</v>
      </c>
      <c r="S440" s="65" t="str">
        <f>TEXT(Table8[[#This Row],[Date Day]],"mmm,YYYY")</f>
        <v>Jan,2011</v>
      </c>
    </row>
    <row r="441" spans="1:19" ht="15.6" x14ac:dyDescent="0.3">
      <c r="A441" s="62">
        <v>408</v>
      </c>
      <c r="B441" s="63">
        <v>40561</v>
      </c>
      <c r="C441" s="64">
        <v>23</v>
      </c>
      <c r="D441" s="64" t="b">
        <f>IF(COUNTIF(AU$36:AU$52,Table8[[#This Row],[Date Day]]) &gt; 0, TRUE, FALSE)</f>
        <v>0</v>
      </c>
      <c r="E441" s="64">
        <f t="shared" si="12"/>
        <v>2</v>
      </c>
      <c r="F441" s="64">
        <v>2</v>
      </c>
      <c r="G441" s="65" t="str">
        <f>IF(Table8[[#This Row],[Weathersit]]=1, "BAD", IF(Table8[[#This Row],[Weathersit]]=2, "MODERATE", IF(Table8[[#This Row],[Weathersit]]=3, "GOOD")))</f>
        <v>MODERATE</v>
      </c>
      <c r="H441" s="64">
        <v>22</v>
      </c>
      <c r="I441" s="65" t="str">
        <f>IF(Table8[[#This Row],[Temp]]&lt;11, "COLD", IF(Table8[[#This Row],[Temp]]&lt;=25, "COMFORTABLE", "WARM"))</f>
        <v>COMFORTABLE</v>
      </c>
      <c r="J441" s="64">
        <v>0.2727</v>
      </c>
      <c r="K441" s="64">
        <v>0.93</v>
      </c>
      <c r="L441" s="66">
        <v>20.485098360655737</v>
      </c>
      <c r="M441" s="75" t="s">
        <v>81</v>
      </c>
      <c r="N441" s="64">
        <v>1</v>
      </c>
      <c r="O441" s="64">
        <v>19</v>
      </c>
      <c r="P441" s="64">
        <v>20</v>
      </c>
      <c r="Q441" s="64"/>
      <c r="R441" s="65" t="str">
        <f t="shared" si="13"/>
        <v>Week 3</v>
      </c>
      <c r="S441" s="65" t="str">
        <f>TEXT(Table8[[#This Row],[Date Day]],"mmm,YYYY")</f>
        <v>Jan,2011</v>
      </c>
    </row>
    <row r="442" spans="1:19" ht="15.6" x14ac:dyDescent="0.3">
      <c r="A442" s="62">
        <v>409</v>
      </c>
      <c r="B442" s="63">
        <v>40562</v>
      </c>
      <c r="C442" s="64">
        <v>0</v>
      </c>
      <c r="D442" s="64" t="b">
        <f>IF(COUNTIF(AU$36:AU$52,Table8[[#This Row],[Date Day]]) &gt; 0, TRUE, FALSE)</f>
        <v>0</v>
      </c>
      <c r="E442" s="64">
        <f t="shared" si="12"/>
        <v>3</v>
      </c>
      <c r="F442" s="64">
        <v>2</v>
      </c>
      <c r="G442" s="65" t="str">
        <f>IF(Table8[[#This Row],[Weathersit]]=1, "BAD", IF(Table8[[#This Row],[Weathersit]]=2, "MODERATE", IF(Table8[[#This Row],[Weathersit]]=3, "GOOD")))</f>
        <v>MODERATE</v>
      </c>
      <c r="H442" s="64">
        <v>22</v>
      </c>
      <c r="I442" s="65" t="str">
        <f>IF(Table8[[#This Row],[Temp]]&lt;11, "COLD", IF(Table8[[#This Row],[Temp]]&lt;=25, "COMFORTABLE", "WARM"))</f>
        <v>COMFORTABLE</v>
      </c>
      <c r="J442" s="64">
        <v>0.2727</v>
      </c>
      <c r="K442" s="64">
        <v>0.93</v>
      </c>
      <c r="L442" s="66">
        <v>20.485098360655737</v>
      </c>
      <c r="M442" s="75" t="s">
        <v>81</v>
      </c>
      <c r="N442" s="64">
        <v>0</v>
      </c>
      <c r="O442" s="64">
        <v>3</v>
      </c>
      <c r="P442" s="64">
        <v>3</v>
      </c>
      <c r="Q442" s="64"/>
      <c r="R442" s="65" t="str">
        <f t="shared" si="13"/>
        <v>Week 3</v>
      </c>
      <c r="S442" s="65" t="str">
        <f>TEXT(Table8[[#This Row],[Date Day]],"mmm,YYYY")</f>
        <v>Jan,2011</v>
      </c>
    </row>
    <row r="443" spans="1:19" ht="15.6" x14ac:dyDescent="0.3">
      <c r="A443" s="62">
        <v>410</v>
      </c>
      <c r="B443" s="63">
        <v>40562</v>
      </c>
      <c r="C443" s="64">
        <v>1</v>
      </c>
      <c r="D443" s="64" t="b">
        <f>IF(COUNTIF(AU$36:AU$52,Table8[[#This Row],[Date Day]]) &gt; 0, TRUE, FALSE)</f>
        <v>0</v>
      </c>
      <c r="E443" s="64">
        <f t="shared" si="12"/>
        <v>3</v>
      </c>
      <c r="F443" s="64">
        <v>3</v>
      </c>
      <c r="G443" s="65" t="str">
        <f>IF(Table8[[#This Row],[Weathersit]]=1, "BAD", IF(Table8[[#This Row],[Weathersit]]=2, "MODERATE", IF(Table8[[#This Row],[Weathersit]]=3, "GOOD")))</f>
        <v>GOOD</v>
      </c>
      <c r="H443" s="64">
        <v>22</v>
      </c>
      <c r="I443" s="65" t="str">
        <f>IF(Table8[[#This Row],[Temp]]&lt;11, "COLD", IF(Table8[[#This Row],[Temp]]&lt;=25, "COMFORTABLE", "WARM"))</f>
        <v>COMFORTABLE</v>
      </c>
      <c r="J443" s="64">
        <v>0.2273</v>
      </c>
      <c r="K443" s="64">
        <v>0.93</v>
      </c>
      <c r="L443" s="66">
        <v>13.43</v>
      </c>
      <c r="M443" s="75" t="s">
        <v>80</v>
      </c>
      <c r="N443" s="64">
        <v>1</v>
      </c>
      <c r="O443" s="64">
        <v>6</v>
      </c>
      <c r="P443" s="64">
        <v>7</v>
      </c>
      <c r="Q443" s="64"/>
      <c r="R443" s="65" t="str">
        <f t="shared" si="13"/>
        <v>Week 3</v>
      </c>
      <c r="S443" s="65" t="str">
        <f>TEXT(Table8[[#This Row],[Date Day]],"mmm,YYYY")</f>
        <v>Jan,2011</v>
      </c>
    </row>
    <row r="444" spans="1:19" ht="15.6" x14ac:dyDescent="0.3">
      <c r="A444" s="62">
        <v>411</v>
      </c>
      <c r="B444" s="63">
        <v>40562</v>
      </c>
      <c r="C444" s="64">
        <v>2</v>
      </c>
      <c r="D444" s="64" t="b">
        <f>IF(COUNTIF(AU$36:AU$52,Table8[[#This Row],[Date Day]]) &gt; 0, TRUE, FALSE)</f>
        <v>0</v>
      </c>
      <c r="E444" s="64">
        <f t="shared" si="12"/>
        <v>3</v>
      </c>
      <c r="F444" s="64">
        <v>3</v>
      </c>
      <c r="G444" s="65" t="str">
        <f>IF(Table8[[#This Row],[Weathersit]]=1, "BAD", IF(Table8[[#This Row],[Weathersit]]=2, "MODERATE", IF(Table8[[#This Row],[Weathersit]]=3, "GOOD")))</f>
        <v>GOOD</v>
      </c>
      <c r="H444" s="64">
        <v>22</v>
      </c>
      <c r="I444" s="65" t="str">
        <f>IF(Table8[[#This Row],[Temp]]&lt;11, "COLD", IF(Table8[[#This Row],[Temp]]&lt;=25, "COMFORTABLE", "WARM"))</f>
        <v>COMFORTABLE</v>
      </c>
      <c r="J444" s="64">
        <v>0.2273</v>
      </c>
      <c r="K444" s="64">
        <v>0.93</v>
      </c>
      <c r="L444" s="66">
        <v>13.43</v>
      </c>
      <c r="M444" s="75" t="s">
        <v>80</v>
      </c>
      <c r="N444" s="64">
        <v>0</v>
      </c>
      <c r="O444" s="64">
        <v>3</v>
      </c>
      <c r="P444" s="64">
        <v>3</v>
      </c>
      <c r="Q444" s="64"/>
      <c r="R444" s="65" t="str">
        <f t="shared" si="13"/>
        <v>Week 3</v>
      </c>
      <c r="S444" s="65" t="str">
        <f>TEXT(Table8[[#This Row],[Date Day]],"mmm,YYYY")</f>
        <v>Jan,2011</v>
      </c>
    </row>
    <row r="445" spans="1:19" ht="15.6" x14ac:dyDescent="0.3">
      <c r="A445" s="62">
        <v>412</v>
      </c>
      <c r="B445" s="63">
        <v>40562</v>
      </c>
      <c r="C445" s="64">
        <v>4</v>
      </c>
      <c r="D445" s="64" t="b">
        <f>IF(COUNTIF(AU$36:AU$52,Table8[[#This Row],[Date Day]]) &gt; 0, TRUE, FALSE)</f>
        <v>0</v>
      </c>
      <c r="E445" s="64">
        <f t="shared" si="12"/>
        <v>3</v>
      </c>
      <c r="F445" s="64">
        <v>3</v>
      </c>
      <c r="G445" s="65" t="str">
        <f>IF(Table8[[#This Row],[Weathersit]]=1, "BAD", IF(Table8[[#This Row],[Weathersit]]=2, "MODERATE", IF(Table8[[#This Row],[Weathersit]]=3, "GOOD")))</f>
        <v>GOOD</v>
      </c>
      <c r="H445" s="64">
        <v>22</v>
      </c>
      <c r="I445" s="65" t="str">
        <f>IF(Table8[[#This Row],[Temp]]&lt;11, "COLD", IF(Table8[[#This Row],[Temp]]&lt;=25, "COMFORTABLE", "WARM"))</f>
        <v>COMFORTABLE</v>
      </c>
      <c r="J445" s="64">
        <v>0.2273</v>
      </c>
      <c r="K445" s="64">
        <v>0.93</v>
      </c>
      <c r="L445" s="66">
        <v>13.43</v>
      </c>
      <c r="M445" s="75" t="s">
        <v>80</v>
      </c>
      <c r="N445" s="64">
        <v>1</v>
      </c>
      <c r="O445" s="64">
        <v>1</v>
      </c>
      <c r="P445" s="64">
        <v>2</v>
      </c>
      <c r="Q445" s="64"/>
      <c r="R445" s="65" t="str">
        <f t="shared" si="13"/>
        <v>Week 3</v>
      </c>
      <c r="S445" s="65" t="str">
        <f>TEXT(Table8[[#This Row],[Date Day]],"mmm,YYYY")</f>
        <v>Jan,2011</v>
      </c>
    </row>
    <row r="446" spans="1:19" ht="15.6" x14ac:dyDescent="0.3">
      <c r="A446" s="62">
        <v>413</v>
      </c>
      <c r="B446" s="63">
        <v>40562</v>
      </c>
      <c r="C446" s="64">
        <v>5</v>
      </c>
      <c r="D446" s="64" t="b">
        <f>IF(COUNTIF(AU$36:AU$52,Table8[[#This Row],[Date Day]]) &gt; 0, TRUE, FALSE)</f>
        <v>0</v>
      </c>
      <c r="E446" s="64">
        <f t="shared" si="12"/>
        <v>3</v>
      </c>
      <c r="F446" s="64">
        <v>2</v>
      </c>
      <c r="G446" s="65" t="str">
        <f>IF(Table8[[#This Row],[Weathersit]]=1, "BAD", IF(Table8[[#This Row],[Weathersit]]=2, "MODERATE", IF(Table8[[#This Row],[Weathersit]]=3, "GOOD")))</f>
        <v>MODERATE</v>
      </c>
      <c r="H446" s="64">
        <v>22</v>
      </c>
      <c r="I446" s="65" t="str">
        <f>IF(Table8[[#This Row],[Temp]]&lt;11, "COLD", IF(Table8[[#This Row],[Temp]]&lt;=25, "COMFORTABLE", "WARM"))</f>
        <v>COMFORTABLE</v>
      </c>
      <c r="J446" s="64">
        <v>0.2576</v>
      </c>
      <c r="K446" s="64">
        <v>0.93</v>
      </c>
      <c r="L446" s="66">
        <v>8.9599999999999991</v>
      </c>
      <c r="M446" s="75" t="s">
        <v>80</v>
      </c>
      <c r="N446" s="64">
        <v>0</v>
      </c>
      <c r="O446" s="64">
        <v>7</v>
      </c>
      <c r="P446" s="64">
        <v>7</v>
      </c>
      <c r="Q446" s="64"/>
      <c r="R446" s="65" t="str">
        <f t="shared" si="13"/>
        <v>Week 3</v>
      </c>
      <c r="S446" s="65" t="str">
        <f>TEXT(Table8[[#This Row],[Date Day]],"mmm,YYYY")</f>
        <v>Jan,2011</v>
      </c>
    </row>
    <row r="447" spans="1:19" ht="15.6" x14ac:dyDescent="0.3">
      <c r="A447" s="62">
        <v>414</v>
      </c>
      <c r="B447" s="63">
        <v>40562</v>
      </c>
      <c r="C447" s="64">
        <v>6</v>
      </c>
      <c r="D447" s="64" t="b">
        <f>IF(COUNTIF(AU$36:AU$52,Table8[[#This Row],[Date Day]]) &gt; 0, TRUE, FALSE)</f>
        <v>0</v>
      </c>
      <c r="E447" s="64">
        <f t="shared" si="12"/>
        <v>3</v>
      </c>
      <c r="F447" s="64">
        <v>2</v>
      </c>
      <c r="G447" s="65" t="str">
        <f>IF(Table8[[#This Row],[Weathersit]]=1, "BAD", IF(Table8[[#This Row],[Weathersit]]=2, "MODERATE", IF(Table8[[#This Row],[Weathersit]]=3, "GOOD")))</f>
        <v>MODERATE</v>
      </c>
      <c r="H447" s="64">
        <v>22</v>
      </c>
      <c r="I447" s="65" t="str">
        <f>IF(Table8[[#This Row],[Temp]]&lt;11, "COLD", IF(Table8[[#This Row],[Temp]]&lt;=25, "COMFORTABLE", "WARM"))</f>
        <v>COMFORTABLE</v>
      </c>
      <c r="J447" s="64">
        <v>0.2576</v>
      </c>
      <c r="K447" s="64">
        <v>0.93</v>
      </c>
      <c r="L447" s="66">
        <v>8.9599999999999991</v>
      </c>
      <c r="M447" s="75" t="s">
        <v>80</v>
      </c>
      <c r="N447" s="64">
        <v>0</v>
      </c>
      <c r="O447" s="64">
        <v>32</v>
      </c>
      <c r="P447" s="64">
        <v>32</v>
      </c>
      <c r="Q447" s="64"/>
      <c r="R447" s="65" t="str">
        <f t="shared" si="13"/>
        <v>Week 3</v>
      </c>
      <c r="S447" s="65" t="str">
        <f>TEXT(Table8[[#This Row],[Date Day]],"mmm,YYYY")</f>
        <v>Jan,2011</v>
      </c>
    </row>
    <row r="448" spans="1:19" ht="15.6" x14ac:dyDescent="0.3">
      <c r="A448" s="62">
        <v>415</v>
      </c>
      <c r="B448" s="63">
        <v>40562</v>
      </c>
      <c r="C448" s="64">
        <v>7</v>
      </c>
      <c r="D448" s="64" t="b">
        <f>IF(COUNTIF(AU$36:AU$52,Table8[[#This Row],[Date Day]]) &gt; 0, TRUE, FALSE)</f>
        <v>0</v>
      </c>
      <c r="E448" s="64">
        <f t="shared" si="12"/>
        <v>3</v>
      </c>
      <c r="F448" s="64">
        <v>2</v>
      </c>
      <c r="G448" s="65" t="str">
        <f>IF(Table8[[#This Row],[Weathersit]]=1, "BAD", IF(Table8[[#This Row],[Weathersit]]=2, "MODERATE", IF(Table8[[#This Row],[Weathersit]]=3, "GOOD")))</f>
        <v>MODERATE</v>
      </c>
      <c r="H448" s="64">
        <v>24</v>
      </c>
      <c r="I448" s="65" t="str">
        <f>IF(Table8[[#This Row],[Temp]]&lt;11, "COLD", IF(Table8[[#This Row],[Temp]]&lt;=25, "COMFORTABLE", "WARM"))</f>
        <v>COMFORTABLE</v>
      </c>
      <c r="J448" s="64">
        <v>0.2576</v>
      </c>
      <c r="K448" s="64">
        <v>0.92</v>
      </c>
      <c r="L448" s="66">
        <v>10.45</v>
      </c>
      <c r="M448" s="75" t="s">
        <v>80</v>
      </c>
      <c r="N448" s="64">
        <v>1</v>
      </c>
      <c r="O448" s="64">
        <v>89</v>
      </c>
      <c r="P448" s="64">
        <v>90</v>
      </c>
      <c r="Q448" s="64"/>
      <c r="R448" s="65" t="str">
        <f t="shared" si="13"/>
        <v>Week 3</v>
      </c>
      <c r="S448" s="65" t="str">
        <f>TEXT(Table8[[#This Row],[Date Day]],"mmm,YYYY")</f>
        <v>Jan,2011</v>
      </c>
    </row>
    <row r="449" spans="1:19" ht="15.6" x14ac:dyDescent="0.3">
      <c r="A449" s="62">
        <v>416</v>
      </c>
      <c r="B449" s="63">
        <v>40562</v>
      </c>
      <c r="C449" s="64">
        <v>8</v>
      </c>
      <c r="D449" s="64" t="b">
        <f>IF(COUNTIF(AU$36:AU$52,Table8[[#This Row],[Date Day]]) &gt; 0, TRUE, FALSE)</f>
        <v>0</v>
      </c>
      <c r="E449" s="64">
        <f t="shared" si="12"/>
        <v>3</v>
      </c>
      <c r="F449" s="64">
        <v>2</v>
      </c>
      <c r="G449" s="65" t="str">
        <f>IF(Table8[[#This Row],[Weathersit]]=1, "BAD", IF(Table8[[#This Row],[Weathersit]]=2, "MODERATE", IF(Table8[[#This Row],[Weathersit]]=3, "GOOD")))</f>
        <v>MODERATE</v>
      </c>
      <c r="H449" s="64">
        <v>24</v>
      </c>
      <c r="I449" s="65" t="str">
        <f>IF(Table8[[#This Row],[Temp]]&lt;11, "COLD", IF(Table8[[#This Row],[Temp]]&lt;=25, "COMFORTABLE", "WARM"))</f>
        <v>COMFORTABLE</v>
      </c>
      <c r="J449" s="64">
        <v>0.2576</v>
      </c>
      <c r="K449" s="64">
        <v>0.93</v>
      </c>
      <c r="L449" s="66">
        <v>10.45</v>
      </c>
      <c r="M449" s="75" t="s">
        <v>80</v>
      </c>
      <c r="N449" s="64">
        <v>1</v>
      </c>
      <c r="O449" s="64">
        <v>196</v>
      </c>
      <c r="P449" s="64">
        <v>197</v>
      </c>
      <c r="Q449" s="64"/>
      <c r="R449" s="65" t="str">
        <f t="shared" si="13"/>
        <v>Week 3</v>
      </c>
      <c r="S449" s="65" t="str">
        <f>TEXT(Table8[[#This Row],[Date Day]],"mmm,YYYY")</f>
        <v>Jan,2011</v>
      </c>
    </row>
    <row r="450" spans="1:19" ht="15.6" x14ac:dyDescent="0.3">
      <c r="A450" s="62">
        <v>417</v>
      </c>
      <c r="B450" s="63">
        <v>40562</v>
      </c>
      <c r="C450" s="64">
        <v>9</v>
      </c>
      <c r="D450" s="64" t="b">
        <f>IF(COUNTIF(AU$36:AU$52,Table8[[#This Row],[Date Day]]) &gt; 0, TRUE, FALSE)</f>
        <v>0</v>
      </c>
      <c r="E450" s="64">
        <f t="shared" si="12"/>
        <v>3</v>
      </c>
      <c r="F450" s="64">
        <v>2</v>
      </c>
      <c r="G450" s="65" t="str">
        <f>IF(Table8[[#This Row],[Weathersit]]=1, "BAD", IF(Table8[[#This Row],[Weathersit]]=2, "MODERATE", IF(Table8[[#This Row],[Weathersit]]=3, "GOOD")))</f>
        <v>MODERATE</v>
      </c>
      <c r="H450" s="64">
        <v>24</v>
      </c>
      <c r="I450" s="65" t="str">
        <f>IF(Table8[[#This Row],[Temp]]&lt;11, "COLD", IF(Table8[[#This Row],[Temp]]&lt;=25, "COMFORTABLE", "WARM"))</f>
        <v>COMFORTABLE</v>
      </c>
      <c r="J450" s="64">
        <v>0.2576</v>
      </c>
      <c r="K450" s="64">
        <v>0.93</v>
      </c>
      <c r="L450" s="66">
        <v>10.45</v>
      </c>
      <c r="M450" s="75" t="s">
        <v>80</v>
      </c>
      <c r="N450" s="64">
        <v>2</v>
      </c>
      <c r="O450" s="64">
        <v>107</v>
      </c>
      <c r="P450" s="64">
        <v>109</v>
      </c>
      <c r="Q450" s="64"/>
      <c r="R450" s="65" t="str">
        <f t="shared" si="13"/>
        <v>Week 3</v>
      </c>
      <c r="S450" s="65" t="str">
        <f>TEXT(Table8[[#This Row],[Date Day]],"mmm,YYYY")</f>
        <v>Jan,2011</v>
      </c>
    </row>
    <row r="451" spans="1:19" ht="15.6" x14ac:dyDescent="0.3">
      <c r="A451" s="62">
        <v>418</v>
      </c>
      <c r="B451" s="63">
        <v>40562</v>
      </c>
      <c r="C451" s="64">
        <v>10</v>
      </c>
      <c r="D451" s="64" t="b">
        <f>IF(COUNTIF(AU$36:AU$52,Table8[[#This Row],[Date Day]]) &gt; 0, TRUE, FALSE)</f>
        <v>0</v>
      </c>
      <c r="E451" s="64">
        <f t="shared" si="12"/>
        <v>3</v>
      </c>
      <c r="F451" s="64">
        <v>2</v>
      </c>
      <c r="G451" s="65" t="str">
        <f>IF(Table8[[#This Row],[Weathersit]]=1, "BAD", IF(Table8[[#This Row],[Weathersit]]=2, "MODERATE", IF(Table8[[#This Row],[Weathersit]]=3, "GOOD")))</f>
        <v>MODERATE</v>
      </c>
      <c r="H451" s="64">
        <v>26</v>
      </c>
      <c r="I451" s="65" t="str">
        <f>IF(Table8[[#This Row],[Temp]]&lt;11, "COLD", IF(Table8[[#This Row],[Temp]]&lt;=25, "COMFORTABLE", "WARM"))</f>
        <v>WARM</v>
      </c>
      <c r="J451" s="64">
        <v>0.2727</v>
      </c>
      <c r="K451" s="64">
        <v>0.93</v>
      </c>
      <c r="L451" s="66">
        <v>13.43</v>
      </c>
      <c r="M451" s="75" t="s">
        <v>80</v>
      </c>
      <c r="N451" s="64">
        <v>1</v>
      </c>
      <c r="O451" s="64">
        <v>46</v>
      </c>
      <c r="P451" s="64">
        <v>47</v>
      </c>
      <c r="Q451" s="64"/>
      <c r="R451" s="65" t="str">
        <f t="shared" si="13"/>
        <v>Week 3</v>
      </c>
      <c r="S451" s="65" t="str">
        <f>TEXT(Table8[[#This Row],[Date Day]],"mmm,YYYY")</f>
        <v>Jan,2011</v>
      </c>
    </row>
    <row r="452" spans="1:19" ht="15.6" x14ac:dyDescent="0.3">
      <c r="A452" s="62">
        <v>419</v>
      </c>
      <c r="B452" s="63">
        <v>40562</v>
      </c>
      <c r="C452" s="64">
        <v>11</v>
      </c>
      <c r="D452" s="64" t="b">
        <f>IF(COUNTIF(AU$36:AU$52,Table8[[#This Row],[Date Day]]) &gt; 0, TRUE, FALSE)</f>
        <v>0</v>
      </c>
      <c r="E452" s="64">
        <f t="shared" si="12"/>
        <v>3</v>
      </c>
      <c r="F452" s="64">
        <v>2</v>
      </c>
      <c r="G452" s="65" t="str">
        <f>IF(Table8[[#This Row],[Weathersit]]=1, "BAD", IF(Table8[[#This Row],[Weathersit]]=2, "MODERATE", IF(Table8[[#This Row],[Weathersit]]=3, "GOOD")))</f>
        <v>MODERATE</v>
      </c>
      <c r="H452" s="64">
        <v>28.000000000000004</v>
      </c>
      <c r="I452" s="65" t="str">
        <f>IF(Table8[[#This Row],[Temp]]&lt;11, "COLD", IF(Table8[[#This Row],[Temp]]&lt;=25, "COMFORTABLE", "WARM"))</f>
        <v>WARM</v>
      </c>
      <c r="J452" s="64">
        <v>0.30299999999999999</v>
      </c>
      <c r="K452" s="64">
        <v>0.87</v>
      </c>
      <c r="L452" s="66">
        <v>8.9599999999999991</v>
      </c>
      <c r="M452" s="75" t="s">
        <v>80</v>
      </c>
      <c r="N452" s="64">
        <v>5</v>
      </c>
      <c r="O452" s="64">
        <v>47</v>
      </c>
      <c r="P452" s="64">
        <v>52</v>
      </c>
      <c r="Q452" s="64"/>
      <c r="R452" s="65" t="str">
        <f t="shared" si="13"/>
        <v>Week 3</v>
      </c>
      <c r="S452" s="65" t="str">
        <f>TEXT(Table8[[#This Row],[Date Day]],"mmm,YYYY")</f>
        <v>Jan,2011</v>
      </c>
    </row>
    <row r="453" spans="1:19" ht="15.6" x14ac:dyDescent="0.3">
      <c r="A453" s="62">
        <v>420</v>
      </c>
      <c r="B453" s="63">
        <v>40562</v>
      </c>
      <c r="C453" s="64">
        <v>12</v>
      </c>
      <c r="D453" s="64" t="b">
        <f>IF(COUNTIF(AU$36:AU$52,Table8[[#This Row],[Date Day]]) &gt; 0, TRUE, FALSE)</f>
        <v>0</v>
      </c>
      <c r="E453" s="64">
        <f t="shared" si="12"/>
        <v>3</v>
      </c>
      <c r="F453" s="64">
        <v>2</v>
      </c>
      <c r="G453" s="65" t="str">
        <f>IF(Table8[[#This Row],[Weathersit]]=1, "BAD", IF(Table8[[#This Row],[Weathersit]]=2, "MODERATE", IF(Table8[[#This Row],[Weathersit]]=3, "GOOD")))</f>
        <v>MODERATE</v>
      </c>
      <c r="H453" s="64">
        <v>30</v>
      </c>
      <c r="I453" s="65" t="str">
        <f>IF(Table8[[#This Row],[Temp]]&lt;11, "COLD", IF(Table8[[#This Row],[Temp]]&lt;=25, "COMFORTABLE", "WARM"))</f>
        <v>WARM</v>
      </c>
      <c r="J453" s="64">
        <v>0.31819999999999998</v>
      </c>
      <c r="K453" s="64">
        <v>0.81</v>
      </c>
      <c r="L453" s="66">
        <v>8.9599999999999991</v>
      </c>
      <c r="M453" s="75" t="s">
        <v>80</v>
      </c>
      <c r="N453" s="64">
        <v>5</v>
      </c>
      <c r="O453" s="64">
        <v>65</v>
      </c>
      <c r="P453" s="64">
        <v>70</v>
      </c>
      <c r="Q453" s="64"/>
      <c r="R453" s="65" t="str">
        <f t="shared" si="13"/>
        <v>Week 3</v>
      </c>
      <c r="S453" s="65" t="str">
        <f>TEXT(Table8[[#This Row],[Date Day]],"mmm,YYYY")</f>
        <v>Jan,2011</v>
      </c>
    </row>
    <row r="454" spans="1:19" ht="15.6" x14ac:dyDescent="0.3">
      <c r="A454" s="62">
        <v>421</v>
      </c>
      <c r="B454" s="63">
        <v>40562</v>
      </c>
      <c r="C454" s="64">
        <v>13</v>
      </c>
      <c r="D454" s="64" t="b">
        <f>IF(COUNTIF(AU$36:AU$52,Table8[[#This Row],[Date Day]]) &gt; 0, TRUE, FALSE)</f>
        <v>0</v>
      </c>
      <c r="E454" s="64">
        <f t="shared" si="12"/>
        <v>3</v>
      </c>
      <c r="F454" s="64">
        <v>1</v>
      </c>
      <c r="G454" s="65" t="str">
        <f>IF(Table8[[#This Row],[Weathersit]]=1, "BAD", IF(Table8[[#This Row],[Weathersit]]=2, "MODERATE", IF(Table8[[#This Row],[Weathersit]]=3, "GOOD")))</f>
        <v>BAD</v>
      </c>
      <c r="H454" s="64">
        <v>40</v>
      </c>
      <c r="I454" s="65" t="str">
        <f>IF(Table8[[#This Row],[Temp]]&lt;11, "COLD", IF(Table8[[#This Row],[Temp]]&lt;=25, "COMFORTABLE", "WARM"))</f>
        <v>WARM</v>
      </c>
      <c r="J454" s="64">
        <v>0.40910000000000002</v>
      </c>
      <c r="K454" s="64">
        <v>0.62</v>
      </c>
      <c r="L454" s="66">
        <v>28.360000000000003</v>
      </c>
      <c r="M454" s="75" t="s">
        <v>81</v>
      </c>
      <c r="N454" s="64">
        <v>11</v>
      </c>
      <c r="O454" s="64">
        <v>67</v>
      </c>
      <c r="P454" s="64">
        <v>78</v>
      </c>
      <c r="Q454" s="64"/>
      <c r="R454" s="65" t="str">
        <f t="shared" si="13"/>
        <v>Week 3</v>
      </c>
      <c r="S454" s="65" t="str">
        <f>TEXT(Table8[[#This Row],[Date Day]],"mmm,YYYY")</f>
        <v>Jan,2011</v>
      </c>
    </row>
    <row r="455" spans="1:19" ht="15.6" x14ac:dyDescent="0.3">
      <c r="A455" s="62">
        <v>422</v>
      </c>
      <c r="B455" s="63">
        <v>40562</v>
      </c>
      <c r="C455" s="64">
        <v>14</v>
      </c>
      <c r="D455" s="64" t="b">
        <f>IF(COUNTIF(AU$36:AU$52,Table8[[#This Row],[Date Day]]) &gt; 0, TRUE, FALSE)</f>
        <v>0</v>
      </c>
      <c r="E455" s="64">
        <f t="shared" si="12"/>
        <v>3</v>
      </c>
      <c r="F455" s="64">
        <v>1</v>
      </c>
      <c r="G455" s="65" t="str">
        <f>IF(Table8[[#This Row],[Weathersit]]=1, "BAD", IF(Table8[[#This Row],[Weathersit]]=2, "MODERATE", IF(Table8[[#This Row],[Weathersit]]=3, "GOOD")))</f>
        <v>BAD</v>
      </c>
      <c r="H455" s="64">
        <v>40</v>
      </c>
      <c r="I455" s="65" t="str">
        <f>IF(Table8[[#This Row],[Temp]]&lt;11, "COLD", IF(Table8[[#This Row],[Temp]]&lt;=25, "COMFORTABLE", "WARM"))</f>
        <v>WARM</v>
      </c>
      <c r="J455" s="64">
        <v>0.40910000000000002</v>
      </c>
      <c r="K455" s="64">
        <v>0.57999999999999996</v>
      </c>
      <c r="L455" s="66">
        <v>25.369999999999997</v>
      </c>
      <c r="M455" s="75" t="s">
        <v>81</v>
      </c>
      <c r="N455" s="64">
        <v>7</v>
      </c>
      <c r="O455" s="64">
        <v>68</v>
      </c>
      <c r="P455" s="64">
        <v>75</v>
      </c>
      <c r="Q455" s="64"/>
      <c r="R455" s="65" t="str">
        <f t="shared" si="13"/>
        <v>Week 3</v>
      </c>
      <c r="S455" s="65" t="str">
        <f>TEXT(Table8[[#This Row],[Date Day]],"mmm,YYYY")</f>
        <v>Jan,2011</v>
      </c>
    </row>
    <row r="456" spans="1:19" ht="15.6" x14ac:dyDescent="0.3">
      <c r="A456" s="62">
        <v>423</v>
      </c>
      <c r="B456" s="63">
        <v>40562</v>
      </c>
      <c r="C456" s="64">
        <v>15</v>
      </c>
      <c r="D456" s="64" t="b">
        <f>IF(COUNTIF(AU$36:AU$52,Table8[[#This Row],[Date Day]]) &gt; 0, TRUE, FALSE)</f>
        <v>0</v>
      </c>
      <c r="E456" s="64">
        <f t="shared" si="12"/>
        <v>3</v>
      </c>
      <c r="F456" s="64">
        <v>1</v>
      </c>
      <c r="G456" s="65" t="str">
        <f>IF(Table8[[#This Row],[Weathersit]]=1, "BAD", IF(Table8[[#This Row],[Weathersit]]=2, "MODERATE", IF(Table8[[#This Row],[Weathersit]]=3, "GOOD")))</f>
        <v>BAD</v>
      </c>
      <c r="H456" s="64">
        <v>40</v>
      </c>
      <c r="I456" s="65" t="str">
        <f>IF(Table8[[#This Row],[Temp]]&lt;11, "COLD", IF(Table8[[#This Row],[Temp]]&lt;=25, "COMFORTABLE", "WARM"))</f>
        <v>WARM</v>
      </c>
      <c r="J456" s="64">
        <v>0.40910000000000002</v>
      </c>
      <c r="K456" s="64">
        <v>0.54</v>
      </c>
      <c r="L456" s="66">
        <v>28.360000000000003</v>
      </c>
      <c r="M456" s="75" t="s">
        <v>81</v>
      </c>
      <c r="N456" s="64">
        <v>4</v>
      </c>
      <c r="O456" s="64">
        <v>78</v>
      </c>
      <c r="P456" s="64">
        <v>82</v>
      </c>
      <c r="Q456" s="64"/>
      <c r="R456" s="65" t="str">
        <f t="shared" si="13"/>
        <v>Week 3</v>
      </c>
      <c r="S456" s="65" t="str">
        <f>TEXT(Table8[[#This Row],[Date Day]],"mmm,YYYY")</f>
        <v>Jan,2011</v>
      </c>
    </row>
    <row r="457" spans="1:19" ht="15.6" x14ac:dyDescent="0.3">
      <c r="A457" s="62">
        <v>424</v>
      </c>
      <c r="B457" s="63">
        <v>40562</v>
      </c>
      <c r="C457" s="64">
        <v>16</v>
      </c>
      <c r="D457" s="64" t="b">
        <f>IF(COUNTIF(AU$36:AU$52,Table8[[#This Row],[Date Day]]) &gt; 0, TRUE, FALSE)</f>
        <v>0</v>
      </c>
      <c r="E457" s="64">
        <f t="shared" si="12"/>
        <v>3</v>
      </c>
      <c r="F457" s="64">
        <v>1</v>
      </c>
      <c r="G457" s="65" t="str">
        <f>IF(Table8[[#This Row],[Weathersit]]=1, "BAD", IF(Table8[[#This Row],[Weathersit]]=2, "MODERATE", IF(Table8[[#This Row],[Weathersit]]=3, "GOOD")))</f>
        <v>BAD</v>
      </c>
      <c r="H457" s="64">
        <v>38</v>
      </c>
      <c r="I457" s="65" t="str">
        <f>IF(Table8[[#This Row],[Temp]]&lt;11, "COLD", IF(Table8[[#This Row],[Temp]]&lt;=25, "COMFORTABLE", "WARM"))</f>
        <v>WARM</v>
      </c>
      <c r="J457" s="64">
        <v>0.39389999999999997</v>
      </c>
      <c r="K457" s="64">
        <v>0.57999999999999996</v>
      </c>
      <c r="L457" s="66">
        <v>38.81</v>
      </c>
      <c r="M457" s="75" t="s">
        <v>84</v>
      </c>
      <c r="N457" s="64">
        <v>10</v>
      </c>
      <c r="O457" s="64">
        <v>94</v>
      </c>
      <c r="P457" s="64">
        <v>104</v>
      </c>
      <c r="Q457" s="64"/>
      <c r="R457" s="65" t="str">
        <f t="shared" si="13"/>
        <v>Week 3</v>
      </c>
      <c r="S457" s="65" t="str">
        <f>TEXT(Table8[[#This Row],[Date Day]],"mmm,YYYY")</f>
        <v>Jan,2011</v>
      </c>
    </row>
    <row r="458" spans="1:19" ht="15.6" x14ac:dyDescent="0.3">
      <c r="A458" s="62">
        <v>425</v>
      </c>
      <c r="B458" s="63">
        <v>40562</v>
      </c>
      <c r="C458" s="64">
        <v>17</v>
      </c>
      <c r="D458" s="64" t="b">
        <f>IF(COUNTIF(AU$36:AU$52,Table8[[#This Row],[Date Day]]) &gt; 0, TRUE, FALSE)</f>
        <v>0</v>
      </c>
      <c r="E458" s="64">
        <f t="shared" si="12"/>
        <v>3</v>
      </c>
      <c r="F458" s="64">
        <v>1</v>
      </c>
      <c r="G458" s="65" t="str">
        <f>IF(Table8[[#This Row],[Weathersit]]=1, "BAD", IF(Table8[[#This Row],[Weathersit]]=2, "MODERATE", IF(Table8[[#This Row],[Weathersit]]=3, "GOOD")))</f>
        <v>BAD</v>
      </c>
      <c r="H458" s="64">
        <v>36</v>
      </c>
      <c r="I458" s="65" t="str">
        <f>IF(Table8[[#This Row],[Temp]]&lt;11, "COLD", IF(Table8[[#This Row],[Temp]]&lt;=25, "COMFORTABLE", "WARM"))</f>
        <v>WARM</v>
      </c>
      <c r="J458" s="64">
        <v>0.33329999999999999</v>
      </c>
      <c r="K458" s="64">
        <v>0.56999999999999995</v>
      </c>
      <c r="L458" s="66">
        <v>32.840000000000003</v>
      </c>
      <c r="M458" s="75" t="s">
        <v>84</v>
      </c>
      <c r="N458" s="64">
        <v>7</v>
      </c>
      <c r="O458" s="64">
        <v>190</v>
      </c>
      <c r="P458" s="64">
        <v>197</v>
      </c>
      <c r="Q458" s="64"/>
      <c r="R458" s="65" t="str">
        <f t="shared" si="13"/>
        <v>Week 3</v>
      </c>
      <c r="S458" s="65" t="str">
        <f>TEXT(Table8[[#This Row],[Date Day]],"mmm,YYYY")</f>
        <v>Jan,2011</v>
      </c>
    </row>
    <row r="459" spans="1:19" ht="15.6" x14ac:dyDescent="0.3">
      <c r="A459" s="62">
        <v>426</v>
      </c>
      <c r="B459" s="63">
        <v>40562</v>
      </c>
      <c r="C459" s="64">
        <v>18</v>
      </c>
      <c r="D459" s="64" t="b">
        <f>IF(COUNTIF(AU$36:AU$52,Table8[[#This Row],[Date Day]]) &gt; 0, TRUE, FALSE)</f>
        <v>0</v>
      </c>
      <c r="E459" s="64">
        <f t="shared" si="12"/>
        <v>3</v>
      </c>
      <c r="F459" s="64">
        <v>1</v>
      </c>
      <c r="G459" s="65" t="str">
        <f>IF(Table8[[#This Row],[Weathersit]]=1, "BAD", IF(Table8[[#This Row],[Weathersit]]=2, "MODERATE", IF(Table8[[#This Row],[Weathersit]]=3, "GOOD")))</f>
        <v>BAD</v>
      </c>
      <c r="H459" s="64">
        <v>34</v>
      </c>
      <c r="I459" s="65" t="str">
        <f>IF(Table8[[#This Row],[Temp]]&lt;11, "COLD", IF(Table8[[#This Row],[Temp]]&lt;=25, "COMFORTABLE", "WARM"))</f>
        <v>WARM</v>
      </c>
      <c r="J459" s="64">
        <v>0.31819999999999998</v>
      </c>
      <c r="K459" s="64">
        <v>0.61</v>
      </c>
      <c r="L459" s="66">
        <v>28.360000000000003</v>
      </c>
      <c r="M459" s="75" t="s">
        <v>81</v>
      </c>
      <c r="N459" s="64">
        <v>5</v>
      </c>
      <c r="O459" s="64">
        <v>156</v>
      </c>
      <c r="P459" s="64">
        <v>161</v>
      </c>
      <c r="Q459" s="64"/>
      <c r="R459" s="65" t="str">
        <f t="shared" si="13"/>
        <v>Week 3</v>
      </c>
      <c r="S459" s="65" t="str">
        <f>TEXT(Table8[[#This Row],[Date Day]],"mmm,YYYY")</f>
        <v>Jan,2011</v>
      </c>
    </row>
    <row r="460" spans="1:19" ht="15.6" x14ac:dyDescent="0.3">
      <c r="A460" s="62">
        <v>427</v>
      </c>
      <c r="B460" s="63">
        <v>40562</v>
      </c>
      <c r="C460" s="64">
        <v>19</v>
      </c>
      <c r="D460" s="64" t="b">
        <f>IF(COUNTIF(AU$36:AU$52,Table8[[#This Row],[Date Day]]) &gt; 0, TRUE, FALSE)</f>
        <v>0</v>
      </c>
      <c r="E460" s="64">
        <f t="shared" si="12"/>
        <v>3</v>
      </c>
      <c r="F460" s="64">
        <v>1</v>
      </c>
      <c r="G460" s="65" t="str">
        <f>IF(Table8[[#This Row],[Weathersit]]=1, "BAD", IF(Table8[[#This Row],[Weathersit]]=2, "MODERATE", IF(Table8[[#This Row],[Weathersit]]=3, "GOOD")))</f>
        <v>BAD</v>
      </c>
      <c r="H460" s="64">
        <v>32</v>
      </c>
      <c r="I460" s="65" t="str">
        <f>IF(Table8[[#This Row],[Temp]]&lt;11, "COLD", IF(Table8[[#This Row],[Temp]]&lt;=25, "COMFORTABLE", "WARM"))</f>
        <v>WARM</v>
      </c>
      <c r="J460" s="64">
        <v>0.28789999999999999</v>
      </c>
      <c r="K460" s="64">
        <v>0.56999999999999995</v>
      </c>
      <c r="L460" s="66">
        <v>41.79</v>
      </c>
      <c r="M460" s="75" t="s">
        <v>84</v>
      </c>
      <c r="N460" s="64">
        <v>4</v>
      </c>
      <c r="O460" s="64">
        <v>108</v>
      </c>
      <c r="P460" s="64">
        <v>112</v>
      </c>
      <c r="Q460" s="64"/>
      <c r="R460" s="65" t="str">
        <f t="shared" si="13"/>
        <v>Week 3</v>
      </c>
      <c r="S460" s="65" t="str">
        <f>TEXT(Table8[[#This Row],[Date Day]],"mmm,YYYY")</f>
        <v>Jan,2011</v>
      </c>
    </row>
    <row r="461" spans="1:19" ht="15.6" x14ac:dyDescent="0.3">
      <c r="A461" s="62">
        <v>428</v>
      </c>
      <c r="B461" s="63">
        <v>40562</v>
      </c>
      <c r="C461" s="64">
        <v>20</v>
      </c>
      <c r="D461" s="64" t="b">
        <f>IF(COUNTIF(AU$36:AU$52,Table8[[#This Row],[Date Day]]) &gt; 0, TRUE, FALSE)</f>
        <v>0</v>
      </c>
      <c r="E461" s="64">
        <f t="shared" si="12"/>
        <v>3</v>
      </c>
      <c r="F461" s="64">
        <v>1</v>
      </c>
      <c r="G461" s="65" t="str">
        <f>IF(Table8[[#This Row],[Weathersit]]=1, "BAD", IF(Table8[[#This Row],[Weathersit]]=2, "MODERATE", IF(Table8[[#This Row],[Weathersit]]=3, "GOOD")))</f>
        <v>BAD</v>
      </c>
      <c r="H461" s="64">
        <v>32</v>
      </c>
      <c r="I461" s="65" t="str">
        <f>IF(Table8[[#This Row],[Temp]]&lt;11, "COLD", IF(Table8[[#This Row],[Temp]]&lt;=25, "COMFORTABLE", "WARM"))</f>
        <v>WARM</v>
      </c>
      <c r="J461" s="64">
        <v>0.30299999999999999</v>
      </c>
      <c r="K461" s="64">
        <v>0.49</v>
      </c>
      <c r="L461" s="66">
        <v>29.849999999999998</v>
      </c>
      <c r="M461" s="75" t="s">
        <v>81</v>
      </c>
      <c r="N461" s="64">
        <v>2</v>
      </c>
      <c r="O461" s="64">
        <v>74</v>
      </c>
      <c r="P461" s="64">
        <v>76</v>
      </c>
      <c r="Q461" s="64"/>
      <c r="R461" s="65" t="str">
        <f t="shared" si="13"/>
        <v>Week 3</v>
      </c>
      <c r="S461" s="65" t="str">
        <f>TEXT(Table8[[#This Row],[Date Day]],"mmm,YYYY")</f>
        <v>Jan,2011</v>
      </c>
    </row>
    <row r="462" spans="1:19" ht="15.6" x14ac:dyDescent="0.3">
      <c r="A462" s="62">
        <v>429</v>
      </c>
      <c r="B462" s="63">
        <v>40562</v>
      </c>
      <c r="C462" s="64">
        <v>21</v>
      </c>
      <c r="D462" s="64" t="b">
        <f>IF(COUNTIF(AU$36:AU$52,Table8[[#This Row],[Date Day]]) &gt; 0, TRUE, FALSE)</f>
        <v>0</v>
      </c>
      <c r="E462" s="64">
        <f t="shared" si="12"/>
        <v>3</v>
      </c>
      <c r="F462" s="64">
        <v>1</v>
      </c>
      <c r="G462" s="65" t="str">
        <f>IF(Table8[[#This Row],[Weathersit]]=1, "BAD", IF(Table8[[#This Row],[Weathersit]]=2, "MODERATE", IF(Table8[[#This Row],[Weathersit]]=3, "GOOD")))</f>
        <v>BAD</v>
      </c>
      <c r="H462" s="64">
        <v>32</v>
      </c>
      <c r="I462" s="65" t="str">
        <f>IF(Table8[[#This Row],[Temp]]&lt;11, "COLD", IF(Table8[[#This Row],[Temp]]&lt;=25, "COMFORTABLE", "WARM"))</f>
        <v>WARM</v>
      </c>
      <c r="J462" s="64">
        <v>0.28789999999999999</v>
      </c>
      <c r="K462" s="64">
        <v>0.49</v>
      </c>
      <c r="L462" s="66">
        <v>41.79</v>
      </c>
      <c r="M462" s="75" t="s">
        <v>84</v>
      </c>
      <c r="N462" s="64">
        <v>4</v>
      </c>
      <c r="O462" s="64">
        <v>55</v>
      </c>
      <c r="P462" s="64">
        <v>59</v>
      </c>
      <c r="Q462" s="64"/>
      <c r="R462" s="65" t="str">
        <f t="shared" si="13"/>
        <v>Week 3</v>
      </c>
      <c r="S462" s="65" t="str">
        <f>TEXT(Table8[[#This Row],[Date Day]],"mmm,YYYY")</f>
        <v>Jan,2011</v>
      </c>
    </row>
    <row r="463" spans="1:19" ht="15.6" x14ac:dyDescent="0.3">
      <c r="A463" s="62">
        <v>430</v>
      </c>
      <c r="B463" s="63">
        <v>40562</v>
      </c>
      <c r="C463" s="64">
        <v>22</v>
      </c>
      <c r="D463" s="64" t="b">
        <f>IF(COUNTIF(AU$36:AU$52,Table8[[#This Row],[Date Day]]) &gt; 0, TRUE, FALSE)</f>
        <v>0</v>
      </c>
      <c r="E463" s="64">
        <f t="shared" si="12"/>
        <v>3</v>
      </c>
      <c r="F463" s="64">
        <v>1</v>
      </c>
      <c r="G463" s="65" t="str">
        <f>IF(Table8[[#This Row],[Weathersit]]=1, "BAD", IF(Table8[[#This Row],[Weathersit]]=2, "MODERATE", IF(Table8[[#This Row],[Weathersit]]=3, "GOOD")))</f>
        <v>BAD</v>
      </c>
      <c r="H463" s="64">
        <v>30</v>
      </c>
      <c r="I463" s="65" t="str">
        <f>IF(Table8[[#This Row],[Temp]]&lt;11, "COLD", IF(Table8[[#This Row],[Temp]]&lt;=25, "COMFORTABLE", "WARM"))</f>
        <v>WARM</v>
      </c>
      <c r="J463" s="64">
        <v>0.30299999999999999</v>
      </c>
      <c r="K463" s="64">
        <v>0.52</v>
      </c>
      <c r="L463" s="66">
        <v>16.420000000000002</v>
      </c>
      <c r="M463" s="75" t="s">
        <v>80</v>
      </c>
      <c r="N463" s="64">
        <v>6</v>
      </c>
      <c r="O463" s="64">
        <v>53</v>
      </c>
      <c r="P463" s="64">
        <v>59</v>
      </c>
      <c r="Q463" s="64"/>
      <c r="R463" s="65" t="str">
        <f t="shared" si="13"/>
        <v>Week 3</v>
      </c>
      <c r="S463" s="65" t="str">
        <f>TEXT(Table8[[#This Row],[Date Day]],"mmm,YYYY")</f>
        <v>Jan,2011</v>
      </c>
    </row>
    <row r="464" spans="1:19" ht="15.6" x14ac:dyDescent="0.3">
      <c r="A464" s="62">
        <v>431</v>
      </c>
      <c r="B464" s="63">
        <v>40562</v>
      </c>
      <c r="C464" s="64">
        <v>23</v>
      </c>
      <c r="D464" s="64" t="b">
        <f>IF(COUNTIF(AU$36:AU$52,Table8[[#This Row],[Date Day]]) &gt; 0, TRUE, FALSE)</f>
        <v>0</v>
      </c>
      <c r="E464" s="64">
        <f t="shared" si="12"/>
        <v>3</v>
      </c>
      <c r="F464" s="64">
        <v>1</v>
      </c>
      <c r="G464" s="65" t="str">
        <f>IF(Table8[[#This Row],[Weathersit]]=1, "BAD", IF(Table8[[#This Row],[Weathersit]]=2, "MODERATE", IF(Table8[[#This Row],[Weathersit]]=3, "GOOD")))</f>
        <v>BAD</v>
      </c>
      <c r="H464" s="64">
        <v>30</v>
      </c>
      <c r="I464" s="65" t="str">
        <f>IF(Table8[[#This Row],[Temp]]&lt;11, "COLD", IF(Table8[[#This Row],[Temp]]&lt;=25, "COMFORTABLE", "WARM"))</f>
        <v>WARM</v>
      </c>
      <c r="J464" s="64">
        <v>0.2727</v>
      </c>
      <c r="K464" s="64">
        <v>0.52</v>
      </c>
      <c r="L464" s="66">
        <v>46.27</v>
      </c>
      <c r="M464" s="75" t="s">
        <v>84</v>
      </c>
      <c r="N464" s="64">
        <v>1</v>
      </c>
      <c r="O464" s="64">
        <v>27</v>
      </c>
      <c r="P464" s="64">
        <v>28</v>
      </c>
      <c r="Q464" s="64"/>
      <c r="R464" s="65" t="str">
        <f t="shared" si="13"/>
        <v>Week 3</v>
      </c>
      <c r="S464" s="65" t="str">
        <f>TEXT(Table8[[#This Row],[Date Day]],"mmm,YYYY")</f>
        <v>Jan,2011</v>
      </c>
    </row>
    <row r="465" spans="1:19" ht="15.6" x14ac:dyDescent="0.3">
      <c r="A465" s="62">
        <v>432</v>
      </c>
      <c r="B465" s="63">
        <v>40563</v>
      </c>
      <c r="C465" s="64">
        <v>0</v>
      </c>
      <c r="D465" s="64" t="b">
        <f>IF(COUNTIF(AU$36:AU$52,Table8[[#This Row],[Date Day]]) &gt; 0, TRUE, FALSE)</f>
        <v>0</v>
      </c>
      <c r="E465" s="64">
        <f t="shared" si="12"/>
        <v>4</v>
      </c>
      <c r="F465" s="64">
        <v>1</v>
      </c>
      <c r="G465" s="65" t="str">
        <f>IF(Table8[[#This Row],[Weathersit]]=1, "BAD", IF(Table8[[#This Row],[Weathersit]]=2, "MODERATE", IF(Table8[[#This Row],[Weathersit]]=3, "GOOD")))</f>
        <v>BAD</v>
      </c>
      <c r="H465" s="64">
        <v>26</v>
      </c>
      <c r="I465" s="65" t="str">
        <f>IF(Table8[[#This Row],[Temp]]&lt;11, "COLD", IF(Table8[[#This Row],[Temp]]&lt;=25, "COMFORTABLE", "WARM"))</f>
        <v>WARM</v>
      </c>
      <c r="J465" s="64">
        <v>0.2273</v>
      </c>
      <c r="K465" s="64">
        <v>0.56000000000000005</v>
      </c>
      <c r="L465" s="66">
        <v>38.81</v>
      </c>
      <c r="M465" s="75" t="s">
        <v>84</v>
      </c>
      <c r="N465" s="64">
        <v>5</v>
      </c>
      <c r="O465" s="64">
        <v>8</v>
      </c>
      <c r="P465" s="64">
        <v>13</v>
      </c>
      <c r="Q465" s="64"/>
      <c r="R465" s="65" t="str">
        <f t="shared" si="13"/>
        <v>Week 3</v>
      </c>
      <c r="S465" s="65" t="str">
        <f>TEXT(Table8[[#This Row],[Date Day]],"mmm,YYYY")</f>
        <v>Jan,2011</v>
      </c>
    </row>
    <row r="466" spans="1:19" ht="15.6" x14ac:dyDescent="0.3">
      <c r="A466" s="62">
        <v>433</v>
      </c>
      <c r="B466" s="63">
        <v>40563</v>
      </c>
      <c r="C466" s="64">
        <v>1</v>
      </c>
      <c r="D466" s="64" t="b">
        <f>IF(COUNTIF(AU$36:AU$52,Table8[[#This Row],[Date Day]]) &gt; 0, TRUE, FALSE)</f>
        <v>0</v>
      </c>
      <c r="E466" s="64">
        <f t="shared" si="12"/>
        <v>4</v>
      </c>
      <c r="F466" s="64">
        <v>1</v>
      </c>
      <c r="G466" s="65" t="str">
        <f>IF(Table8[[#This Row],[Weathersit]]=1, "BAD", IF(Table8[[#This Row],[Weathersit]]=2, "MODERATE", IF(Table8[[#This Row],[Weathersit]]=3, "GOOD")))</f>
        <v>BAD</v>
      </c>
      <c r="H466" s="64">
        <v>26</v>
      </c>
      <c r="I466" s="65" t="str">
        <f>IF(Table8[[#This Row],[Temp]]&lt;11, "COLD", IF(Table8[[#This Row],[Temp]]&lt;=25, "COMFORTABLE", "WARM"))</f>
        <v>WARM</v>
      </c>
      <c r="J466" s="64">
        <v>0.2727</v>
      </c>
      <c r="K466" s="64">
        <v>0.56000000000000005</v>
      </c>
      <c r="L466" s="66">
        <v>20.485098360655737</v>
      </c>
      <c r="M466" s="75" t="s">
        <v>81</v>
      </c>
      <c r="N466" s="64">
        <v>2</v>
      </c>
      <c r="O466" s="64">
        <v>3</v>
      </c>
      <c r="P466" s="64">
        <v>5</v>
      </c>
      <c r="Q466" s="64"/>
      <c r="R466" s="65" t="str">
        <f t="shared" si="13"/>
        <v>Week 3</v>
      </c>
      <c r="S466" s="65" t="str">
        <f>TEXT(Table8[[#This Row],[Date Day]],"mmm,YYYY")</f>
        <v>Jan,2011</v>
      </c>
    </row>
    <row r="467" spans="1:19" ht="15.6" x14ac:dyDescent="0.3">
      <c r="A467" s="62">
        <v>434</v>
      </c>
      <c r="B467" s="63">
        <v>40563</v>
      </c>
      <c r="C467" s="64">
        <v>2</v>
      </c>
      <c r="D467" s="64" t="b">
        <f>IF(COUNTIF(AU$36:AU$52,Table8[[#This Row],[Date Day]]) &gt; 0, TRUE, FALSE)</f>
        <v>0</v>
      </c>
      <c r="E467" s="64">
        <f t="shared" si="12"/>
        <v>4</v>
      </c>
      <c r="F467" s="64">
        <v>1</v>
      </c>
      <c r="G467" s="65" t="str">
        <f>IF(Table8[[#This Row],[Weathersit]]=1, "BAD", IF(Table8[[#This Row],[Weathersit]]=2, "MODERATE", IF(Table8[[#This Row],[Weathersit]]=3, "GOOD")))</f>
        <v>BAD</v>
      </c>
      <c r="H467" s="64">
        <v>26</v>
      </c>
      <c r="I467" s="65" t="str">
        <f>IF(Table8[[#This Row],[Temp]]&lt;11, "COLD", IF(Table8[[#This Row],[Temp]]&lt;=25, "COMFORTABLE", "WARM"))</f>
        <v>WARM</v>
      </c>
      <c r="J467" s="64">
        <v>0.2727</v>
      </c>
      <c r="K467" s="64">
        <v>0.56000000000000005</v>
      </c>
      <c r="L467" s="66">
        <v>20.485098360655737</v>
      </c>
      <c r="M467" s="75" t="s">
        <v>81</v>
      </c>
      <c r="N467" s="64">
        <v>0</v>
      </c>
      <c r="O467" s="64">
        <v>2</v>
      </c>
      <c r="P467" s="64">
        <v>2</v>
      </c>
      <c r="Q467" s="64"/>
      <c r="R467" s="65" t="str">
        <f t="shared" si="13"/>
        <v>Week 3</v>
      </c>
      <c r="S467" s="65" t="str">
        <f>TEXT(Table8[[#This Row],[Date Day]],"mmm,YYYY")</f>
        <v>Jan,2011</v>
      </c>
    </row>
    <row r="468" spans="1:19" ht="15.6" x14ac:dyDescent="0.3">
      <c r="A468" s="62">
        <v>435</v>
      </c>
      <c r="B468" s="63">
        <v>40563</v>
      </c>
      <c r="C468" s="64">
        <v>3</v>
      </c>
      <c r="D468" s="64" t="b">
        <f>IF(COUNTIF(AU$36:AU$52,Table8[[#This Row],[Date Day]]) &gt; 0, TRUE, FALSE)</f>
        <v>0</v>
      </c>
      <c r="E468" s="64">
        <f t="shared" si="12"/>
        <v>4</v>
      </c>
      <c r="F468" s="64">
        <v>1</v>
      </c>
      <c r="G468" s="65" t="str">
        <f>IF(Table8[[#This Row],[Weathersit]]=1, "BAD", IF(Table8[[#This Row],[Weathersit]]=2, "MODERATE", IF(Table8[[#This Row],[Weathersit]]=3, "GOOD")))</f>
        <v>BAD</v>
      </c>
      <c r="H468" s="64">
        <v>26</v>
      </c>
      <c r="I468" s="65" t="str">
        <f>IF(Table8[[#This Row],[Temp]]&lt;11, "COLD", IF(Table8[[#This Row],[Temp]]&lt;=25, "COMFORTABLE", "WARM"))</f>
        <v>WARM</v>
      </c>
      <c r="J468" s="64">
        <v>0.2576</v>
      </c>
      <c r="K468" s="64">
        <v>0.56000000000000005</v>
      </c>
      <c r="L468" s="66">
        <v>16.420000000000002</v>
      </c>
      <c r="M468" s="75" t="s">
        <v>80</v>
      </c>
      <c r="N468" s="64">
        <v>0</v>
      </c>
      <c r="O468" s="64">
        <v>1</v>
      </c>
      <c r="P468" s="64">
        <v>1</v>
      </c>
      <c r="Q468" s="64"/>
      <c r="R468" s="65" t="str">
        <f t="shared" si="13"/>
        <v>Week 3</v>
      </c>
      <c r="S468" s="65" t="str">
        <f>TEXT(Table8[[#This Row],[Date Day]],"mmm,YYYY")</f>
        <v>Jan,2011</v>
      </c>
    </row>
    <row r="469" spans="1:19" ht="15.6" x14ac:dyDescent="0.3">
      <c r="A469" s="62">
        <v>436</v>
      </c>
      <c r="B469" s="63">
        <v>40563</v>
      </c>
      <c r="C469" s="64">
        <v>4</v>
      </c>
      <c r="D469" s="64" t="b">
        <f>IF(COUNTIF(AU$36:AU$52,Table8[[#This Row],[Date Day]]) &gt; 0, TRUE, FALSE)</f>
        <v>0</v>
      </c>
      <c r="E469" s="64">
        <f t="shared" si="12"/>
        <v>4</v>
      </c>
      <c r="F469" s="64">
        <v>1</v>
      </c>
      <c r="G469" s="65" t="str">
        <f>IF(Table8[[#This Row],[Weathersit]]=1, "BAD", IF(Table8[[#This Row],[Weathersit]]=2, "MODERATE", IF(Table8[[#This Row],[Weathersit]]=3, "GOOD")))</f>
        <v>BAD</v>
      </c>
      <c r="H469" s="64">
        <v>26</v>
      </c>
      <c r="I469" s="65" t="str">
        <f>IF(Table8[[#This Row],[Temp]]&lt;11, "COLD", IF(Table8[[#This Row],[Temp]]&lt;=25, "COMFORTABLE", "WARM"))</f>
        <v>WARM</v>
      </c>
      <c r="J469" s="64">
        <v>0.2576</v>
      </c>
      <c r="K469" s="64">
        <v>0.56000000000000005</v>
      </c>
      <c r="L469" s="66">
        <v>16.420000000000002</v>
      </c>
      <c r="M469" s="75" t="s">
        <v>80</v>
      </c>
      <c r="N469" s="64">
        <v>0</v>
      </c>
      <c r="O469" s="64">
        <v>1</v>
      </c>
      <c r="P469" s="64">
        <v>1</v>
      </c>
      <c r="Q469" s="64"/>
      <c r="R469" s="65" t="str">
        <f t="shared" si="13"/>
        <v>Week 3</v>
      </c>
      <c r="S469" s="65" t="str">
        <f>TEXT(Table8[[#This Row],[Date Day]],"mmm,YYYY")</f>
        <v>Jan,2011</v>
      </c>
    </row>
    <row r="470" spans="1:19" ht="15.6" x14ac:dyDescent="0.3">
      <c r="A470" s="62">
        <v>437</v>
      </c>
      <c r="B470" s="63">
        <v>40563</v>
      </c>
      <c r="C470" s="64">
        <v>5</v>
      </c>
      <c r="D470" s="64" t="b">
        <f>IF(COUNTIF(AU$36:AU$52,Table8[[#This Row],[Date Day]]) &gt; 0, TRUE, FALSE)</f>
        <v>0</v>
      </c>
      <c r="E470" s="64">
        <f t="shared" si="12"/>
        <v>4</v>
      </c>
      <c r="F470" s="64">
        <v>1</v>
      </c>
      <c r="G470" s="65" t="str">
        <f>IF(Table8[[#This Row],[Weathersit]]=1, "BAD", IF(Table8[[#This Row],[Weathersit]]=2, "MODERATE", IF(Table8[[#This Row],[Weathersit]]=3, "GOOD")))</f>
        <v>BAD</v>
      </c>
      <c r="H470" s="64">
        <v>24</v>
      </c>
      <c r="I470" s="65" t="str">
        <f>IF(Table8[[#This Row],[Temp]]&lt;11, "COLD", IF(Table8[[#This Row],[Temp]]&lt;=25, "COMFORTABLE", "WARM"))</f>
        <v>COMFORTABLE</v>
      </c>
      <c r="J470" s="64">
        <v>0.2273</v>
      </c>
      <c r="K470" s="64">
        <v>0.6</v>
      </c>
      <c r="L470" s="66">
        <v>22.39</v>
      </c>
      <c r="M470" s="75" t="s">
        <v>81</v>
      </c>
      <c r="N470" s="64">
        <v>0</v>
      </c>
      <c r="O470" s="64">
        <v>6</v>
      </c>
      <c r="P470" s="64">
        <v>6</v>
      </c>
      <c r="Q470" s="64"/>
      <c r="R470" s="65" t="str">
        <f t="shared" si="13"/>
        <v>Week 3</v>
      </c>
      <c r="S470" s="65" t="str">
        <f>TEXT(Table8[[#This Row],[Date Day]],"mmm,YYYY")</f>
        <v>Jan,2011</v>
      </c>
    </row>
    <row r="471" spans="1:19" ht="15.6" x14ac:dyDescent="0.3">
      <c r="A471" s="62">
        <v>438</v>
      </c>
      <c r="B471" s="63">
        <v>40563</v>
      </c>
      <c r="C471" s="64">
        <v>6</v>
      </c>
      <c r="D471" s="64" t="b">
        <f>IF(COUNTIF(AU$36:AU$52,Table8[[#This Row],[Date Day]]) &gt; 0, TRUE, FALSE)</f>
        <v>0</v>
      </c>
      <c r="E471" s="64">
        <f t="shared" si="12"/>
        <v>4</v>
      </c>
      <c r="F471" s="64">
        <v>1</v>
      </c>
      <c r="G471" s="65" t="str">
        <f>IF(Table8[[#This Row],[Weathersit]]=1, "BAD", IF(Table8[[#This Row],[Weathersit]]=2, "MODERATE", IF(Table8[[#This Row],[Weathersit]]=3, "GOOD")))</f>
        <v>BAD</v>
      </c>
      <c r="H471" s="64">
        <v>22</v>
      </c>
      <c r="I471" s="65" t="str">
        <f>IF(Table8[[#This Row],[Temp]]&lt;11, "COLD", IF(Table8[[#This Row],[Temp]]&lt;=25, "COMFORTABLE", "WARM"))</f>
        <v>COMFORTABLE</v>
      </c>
      <c r="J471" s="64">
        <v>0.21210000000000001</v>
      </c>
      <c r="K471" s="64">
        <v>0.6</v>
      </c>
      <c r="L471" s="66">
        <v>22.39</v>
      </c>
      <c r="M471" s="75" t="s">
        <v>81</v>
      </c>
      <c r="N471" s="64">
        <v>0</v>
      </c>
      <c r="O471" s="64">
        <v>35</v>
      </c>
      <c r="P471" s="64">
        <v>35</v>
      </c>
      <c r="Q471" s="64"/>
      <c r="R471" s="65" t="str">
        <f t="shared" si="13"/>
        <v>Week 3</v>
      </c>
      <c r="S471" s="65" t="str">
        <f>TEXT(Table8[[#This Row],[Date Day]],"mmm,YYYY")</f>
        <v>Jan,2011</v>
      </c>
    </row>
    <row r="472" spans="1:19" ht="15.6" x14ac:dyDescent="0.3">
      <c r="A472" s="62">
        <v>439</v>
      </c>
      <c r="B472" s="63">
        <v>40563</v>
      </c>
      <c r="C472" s="64">
        <v>7</v>
      </c>
      <c r="D472" s="64" t="b">
        <f>IF(COUNTIF(AU$36:AU$52,Table8[[#This Row],[Date Day]]) &gt; 0, TRUE, FALSE)</f>
        <v>0</v>
      </c>
      <c r="E472" s="64">
        <f t="shared" si="12"/>
        <v>4</v>
      </c>
      <c r="F472" s="64">
        <v>1</v>
      </c>
      <c r="G472" s="65" t="str">
        <f>IF(Table8[[#This Row],[Weathersit]]=1, "BAD", IF(Table8[[#This Row],[Weathersit]]=2, "MODERATE", IF(Table8[[#This Row],[Weathersit]]=3, "GOOD")))</f>
        <v>BAD</v>
      </c>
      <c r="H472" s="64">
        <v>22</v>
      </c>
      <c r="I472" s="65" t="str">
        <f>IF(Table8[[#This Row],[Temp]]&lt;11, "COLD", IF(Table8[[#This Row],[Temp]]&lt;=25, "COMFORTABLE", "WARM"))</f>
        <v>COMFORTABLE</v>
      </c>
      <c r="J472" s="64">
        <v>0.21210000000000001</v>
      </c>
      <c r="K472" s="64">
        <v>0.55000000000000004</v>
      </c>
      <c r="L472" s="66">
        <v>22.39</v>
      </c>
      <c r="M472" s="75" t="s">
        <v>81</v>
      </c>
      <c r="N472" s="64">
        <v>1</v>
      </c>
      <c r="O472" s="64">
        <v>100</v>
      </c>
      <c r="P472" s="64">
        <v>101</v>
      </c>
      <c r="Q472" s="64"/>
      <c r="R472" s="65" t="str">
        <f t="shared" si="13"/>
        <v>Week 3</v>
      </c>
      <c r="S472" s="65" t="str">
        <f>TEXT(Table8[[#This Row],[Date Day]],"mmm,YYYY")</f>
        <v>Jan,2011</v>
      </c>
    </row>
    <row r="473" spans="1:19" ht="15.6" x14ac:dyDescent="0.3">
      <c r="A473" s="62">
        <v>440</v>
      </c>
      <c r="B473" s="63">
        <v>40563</v>
      </c>
      <c r="C473" s="64">
        <v>8</v>
      </c>
      <c r="D473" s="64" t="b">
        <f>IF(COUNTIF(AU$36:AU$52,Table8[[#This Row],[Date Day]]) &gt; 0, TRUE, FALSE)</f>
        <v>0</v>
      </c>
      <c r="E473" s="64">
        <f t="shared" si="12"/>
        <v>4</v>
      </c>
      <c r="F473" s="64">
        <v>1</v>
      </c>
      <c r="G473" s="65" t="str">
        <f>IF(Table8[[#This Row],[Weathersit]]=1, "BAD", IF(Table8[[#This Row],[Weathersit]]=2, "MODERATE", IF(Table8[[#This Row],[Weathersit]]=3, "GOOD")))</f>
        <v>BAD</v>
      </c>
      <c r="H473" s="64">
        <v>22</v>
      </c>
      <c r="I473" s="65" t="str">
        <f>IF(Table8[[#This Row],[Temp]]&lt;11, "COLD", IF(Table8[[#This Row],[Temp]]&lt;=25, "COMFORTABLE", "WARM"))</f>
        <v>COMFORTABLE</v>
      </c>
      <c r="J473" s="64">
        <v>0.21210000000000001</v>
      </c>
      <c r="K473" s="64">
        <v>0.55000000000000004</v>
      </c>
      <c r="L473" s="66">
        <v>28.360000000000003</v>
      </c>
      <c r="M473" s="75" t="s">
        <v>81</v>
      </c>
      <c r="N473" s="64">
        <v>2</v>
      </c>
      <c r="O473" s="64">
        <v>247</v>
      </c>
      <c r="P473" s="64">
        <v>249</v>
      </c>
      <c r="Q473" s="64"/>
      <c r="R473" s="65" t="str">
        <f t="shared" si="13"/>
        <v>Week 3</v>
      </c>
      <c r="S473" s="65" t="str">
        <f>TEXT(Table8[[#This Row],[Date Day]],"mmm,YYYY")</f>
        <v>Jan,2011</v>
      </c>
    </row>
    <row r="474" spans="1:19" ht="15.6" x14ac:dyDescent="0.3">
      <c r="A474" s="62">
        <v>441</v>
      </c>
      <c r="B474" s="63">
        <v>40563</v>
      </c>
      <c r="C474" s="64">
        <v>9</v>
      </c>
      <c r="D474" s="64" t="b">
        <f>IF(COUNTIF(AU$36:AU$52,Table8[[#This Row],[Date Day]]) &gt; 0, TRUE, FALSE)</f>
        <v>0</v>
      </c>
      <c r="E474" s="64">
        <f t="shared" si="12"/>
        <v>4</v>
      </c>
      <c r="F474" s="64">
        <v>2</v>
      </c>
      <c r="G474" s="65" t="str">
        <f>IF(Table8[[#This Row],[Weathersit]]=1, "BAD", IF(Table8[[#This Row],[Weathersit]]=2, "MODERATE", IF(Table8[[#This Row],[Weathersit]]=3, "GOOD")))</f>
        <v>MODERATE</v>
      </c>
      <c r="H474" s="64">
        <v>24</v>
      </c>
      <c r="I474" s="65" t="str">
        <f>IF(Table8[[#This Row],[Temp]]&lt;11, "COLD", IF(Table8[[#This Row],[Temp]]&lt;=25, "COMFORTABLE", "WARM"))</f>
        <v>COMFORTABLE</v>
      </c>
      <c r="J474" s="64">
        <v>0.2273</v>
      </c>
      <c r="K474" s="64">
        <v>0.52</v>
      </c>
      <c r="L474" s="66">
        <v>22.39</v>
      </c>
      <c r="M474" s="75" t="s">
        <v>81</v>
      </c>
      <c r="N474" s="64">
        <v>3</v>
      </c>
      <c r="O474" s="64">
        <v>140</v>
      </c>
      <c r="P474" s="64">
        <v>143</v>
      </c>
      <c r="Q474" s="64"/>
      <c r="R474" s="65" t="str">
        <f t="shared" si="13"/>
        <v>Week 3</v>
      </c>
      <c r="S474" s="65" t="str">
        <f>TEXT(Table8[[#This Row],[Date Day]],"mmm,YYYY")</f>
        <v>Jan,2011</v>
      </c>
    </row>
    <row r="475" spans="1:19" ht="15.6" x14ac:dyDescent="0.3">
      <c r="A475" s="62">
        <v>442</v>
      </c>
      <c r="B475" s="63">
        <v>40563</v>
      </c>
      <c r="C475" s="64">
        <v>10</v>
      </c>
      <c r="D475" s="64" t="b">
        <f>IF(COUNTIF(AU$36:AU$52,Table8[[#This Row],[Date Day]]) &gt; 0, TRUE, FALSE)</f>
        <v>0</v>
      </c>
      <c r="E475" s="64">
        <f t="shared" si="12"/>
        <v>4</v>
      </c>
      <c r="F475" s="64">
        <v>1</v>
      </c>
      <c r="G475" s="65" t="str">
        <f>IF(Table8[[#This Row],[Weathersit]]=1, "BAD", IF(Table8[[#This Row],[Weathersit]]=2, "MODERATE", IF(Table8[[#This Row],[Weathersit]]=3, "GOOD")))</f>
        <v>BAD</v>
      </c>
      <c r="H475" s="64">
        <v>26</v>
      </c>
      <c r="I475" s="65" t="str">
        <f>IF(Table8[[#This Row],[Temp]]&lt;11, "COLD", IF(Table8[[#This Row],[Temp]]&lt;=25, "COMFORTABLE", "WARM"))</f>
        <v>WARM</v>
      </c>
      <c r="J475" s="64">
        <v>0.2273</v>
      </c>
      <c r="K475" s="64">
        <v>0.48</v>
      </c>
      <c r="L475" s="66">
        <v>29.849999999999998</v>
      </c>
      <c r="M475" s="75" t="s">
        <v>81</v>
      </c>
      <c r="N475" s="64">
        <v>1</v>
      </c>
      <c r="O475" s="64">
        <v>56</v>
      </c>
      <c r="P475" s="64">
        <v>57</v>
      </c>
      <c r="Q475" s="64"/>
      <c r="R475" s="65" t="str">
        <f t="shared" si="13"/>
        <v>Week 3</v>
      </c>
      <c r="S475" s="65" t="str">
        <f>TEXT(Table8[[#This Row],[Date Day]],"mmm,YYYY")</f>
        <v>Jan,2011</v>
      </c>
    </row>
    <row r="476" spans="1:19" ht="15.6" x14ac:dyDescent="0.3">
      <c r="A476" s="62">
        <v>443</v>
      </c>
      <c r="B476" s="63">
        <v>40563</v>
      </c>
      <c r="C476" s="64">
        <v>11</v>
      </c>
      <c r="D476" s="64" t="b">
        <f>IF(COUNTIF(AU$36:AU$52,Table8[[#This Row],[Date Day]]) &gt; 0, TRUE, FALSE)</f>
        <v>0</v>
      </c>
      <c r="E476" s="64">
        <f t="shared" si="12"/>
        <v>4</v>
      </c>
      <c r="F476" s="64">
        <v>2</v>
      </c>
      <c r="G476" s="65" t="str">
        <f>IF(Table8[[#This Row],[Weathersit]]=1, "BAD", IF(Table8[[#This Row],[Weathersit]]=2, "MODERATE", IF(Table8[[#This Row],[Weathersit]]=3, "GOOD")))</f>
        <v>MODERATE</v>
      </c>
      <c r="H476" s="64">
        <v>28.000000000000004</v>
      </c>
      <c r="I476" s="65" t="str">
        <f>IF(Table8[[#This Row],[Temp]]&lt;11, "COLD", IF(Table8[[#This Row],[Temp]]&lt;=25, "COMFORTABLE", "WARM"))</f>
        <v>WARM</v>
      </c>
      <c r="J476" s="64">
        <v>0.2727</v>
      </c>
      <c r="K476" s="64">
        <v>0.45</v>
      </c>
      <c r="L476" s="66">
        <v>16.420000000000002</v>
      </c>
      <c r="M476" s="75" t="s">
        <v>80</v>
      </c>
      <c r="N476" s="64">
        <v>5</v>
      </c>
      <c r="O476" s="64">
        <v>63</v>
      </c>
      <c r="P476" s="64">
        <v>68</v>
      </c>
      <c r="Q476" s="64"/>
      <c r="R476" s="65" t="str">
        <f t="shared" si="13"/>
        <v>Week 3</v>
      </c>
      <c r="S476" s="65" t="str">
        <f>TEXT(Table8[[#This Row],[Date Day]],"mmm,YYYY")</f>
        <v>Jan,2011</v>
      </c>
    </row>
    <row r="477" spans="1:19" ht="15.6" x14ac:dyDescent="0.3">
      <c r="A477" s="62">
        <v>444</v>
      </c>
      <c r="B477" s="63">
        <v>40563</v>
      </c>
      <c r="C477" s="64">
        <v>12</v>
      </c>
      <c r="D477" s="64" t="b">
        <f>IF(COUNTIF(AU$36:AU$52,Table8[[#This Row],[Date Day]]) &gt; 0, TRUE, FALSE)</f>
        <v>0</v>
      </c>
      <c r="E477" s="64">
        <f t="shared" si="12"/>
        <v>4</v>
      </c>
      <c r="F477" s="64">
        <v>2</v>
      </c>
      <c r="G477" s="65" t="str">
        <f>IF(Table8[[#This Row],[Weathersit]]=1, "BAD", IF(Table8[[#This Row],[Weathersit]]=2, "MODERATE", IF(Table8[[#This Row],[Weathersit]]=3, "GOOD")))</f>
        <v>MODERATE</v>
      </c>
      <c r="H477" s="64">
        <v>30</v>
      </c>
      <c r="I477" s="65" t="str">
        <f>IF(Table8[[#This Row],[Temp]]&lt;11, "COLD", IF(Table8[[#This Row],[Temp]]&lt;=25, "COMFORTABLE", "WARM"))</f>
        <v>WARM</v>
      </c>
      <c r="J477" s="64">
        <v>0.33329999999999999</v>
      </c>
      <c r="K477" s="64">
        <v>0.42</v>
      </c>
      <c r="L477" s="66">
        <v>20.485098360655737</v>
      </c>
      <c r="M477" s="75" t="s">
        <v>81</v>
      </c>
      <c r="N477" s="64">
        <v>7</v>
      </c>
      <c r="O477" s="64">
        <v>77</v>
      </c>
      <c r="P477" s="64">
        <v>84</v>
      </c>
      <c r="Q477" s="64"/>
      <c r="R477" s="65" t="str">
        <f t="shared" si="13"/>
        <v>Week 3</v>
      </c>
      <c r="S477" s="65" t="str">
        <f>TEXT(Table8[[#This Row],[Date Day]],"mmm,YYYY")</f>
        <v>Jan,2011</v>
      </c>
    </row>
    <row r="478" spans="1:19" ht="15.6" x14ac:dyDescent="0.3">
      <c r="A478" s="62">
        <v>445</v>
      </c>
      <c r="B478" s="63">
        <v>40563</v>
      </c>
      <c r="C478" s="64">
        <v>13</v>
      </c>
      <c r="D478" s="64" t="b">
        <f>IF(COUNTIF(AU$36:AU$52,Table8[[#This Row],[Date Day]]) &gt; 0, TRUE, FALSE)</f>
        <v>0</v>
      </c>
      <c r="E478" s="64">
        <f t="shared" si="12"/>
        <v>4</v>
      </c>
      <c r="F478" s="64">
        <v>2</v>
      </c>
      <c r="G478" s="65" t="str">
        <f>IF(Table8[[#This Row],[Weathersit]]=1, "BAD", IF(Table8[[#This Row],[Weathersit]]=2, "MODERATE", IF(Table8[[#This Row],[Weathersit]]=3, "GOOD")))</f>
        <v>MODERATE</v>
      </c>
      <c r="H478" s="64">
        <v>28.000000000000004</v>
      </c>
      <c r="I478" s="65" t="str">
        <f>IF(Table8[[#This Row],[Temp]]&lt;11, "COLD", IF(Table8[[#This Row],[Temp]]&lt;=25, "COMFORTABLE", "WARM"))</f>
        <v>WARM</v>
      </c>
      <c r="J478" s="64">
        <v>0.28789999999999999</v>
      </c>
      <c r="K478" s="64">
        <v>0.45</v>
      </c>
      <c r="L478" s="66">
        <v>10.45</v>
      </c>
      <c r="M478" s="75" t="s">
        <v>80</v>
      </c>
      <c r="N478" s="64">
        <v>12</v>
      </c>
      <c r="O478" s="64">
        <v>86</v>
      </c>
      <c r="P478" s="64">
        <v>98</v>
      </c>
      <c r="Q478" s="64"/>
      <c r="R478" s="65" t="str">
        <f t="shared" si="13"/>
        <v>Week 3</v>
      </c>
      <c r="S478" s="65" t="str">
        <f>TEXT(Table8[[#This Row],[Date Day]],"mmm,YYYY")</f>
        <v>Jan,2011</v>
      </c>
    </row>
    <row r="479" spans="1:19" ht="15.6" x14ac:dyDescent="0.3">
      <c r="A479" s="62">
        <v>446</v>
      </c>
      <c r="B479" s="63">
        <v>40563</v>
      </c>
      <c r="C479" s="64">
        <v>14</v>
      </c>
      <c r="D479" s="64" t="b">
        <f>IF(COUNTIF(AU$36:AU$52,Table8[[#This Row],[Date Day]]) &gt; 0, TRUE, FALSE)</f>
        <v>0</v>
      </c>
      <c r="E479" s="64">
        <f t="shared" si="12"/>
        <v>4</v>
      </c>
      <c r="F479" s="64">
        <v>2</v>
      </c>
      <c r="G479" s="65" t="str">
        <f>IF(Table8[[#This Row],[Weathersit]]=1, "BAD", IF(Table8[[#This Row],[Weathersit]]=2, "MODERATE", IF(Table8[[#This Row],[Weathersit]]=3, "GOOD")))</f>
        <v>MODERATE</v>
      </c>
      <c r="H479" s="64">
        <v>30</v>
      </c>
      <c r="I479" s="65" t="str">
        <f>IF(Table8[[#This Row],[Temp]]&lt;11, "COLD", IF(Table8[[#This Row],[Temp]]&lt;=25, "COMFORTABLE", "WARM"))</f>
        <v>WARM</v>
      </c>
      <c r="J479" s="64">
        <v>0.30299999999999999</v>
      </c>
      <c r="K479" s="64">
        <v>0.45</v>
      </c>
      <c r="L479" s="66">
        <v>13.43</v>
      </c>
      <c r="M479" s="75" t="s">
        <v>80</v>
      </c>
      <c r="N479" s="64">
        <v>6</v>
      </c>
      <c r="O479" s="64">
        <v>75</v>
      </c>
      <c r="P479" s="64">
        <v>81</v>
      </c>
      <c r="Q479" s="64"/>
      <c r="R479" s="65" t="str">
        <f t="shared" si="13"/>
        <v>Week 3</v>
      </c>
      <c r="S479" s="65" t="str">
        <f>TEXT(Table8[[#This Row],[Date Day]],"mmm,YYYY")</f>
        <v>Jan,2011</v>
      </c>
    </row>
    <row r="480" spans="1:19" ht="15.6" x14ac:dyDescent="0.3">
      <c r="A480" s="62">
        <v>447</v>
      </c>
      <c r="B480" s="63">
        <v>40563</v>
      </c>
      <c r="C480" s="64">
        <v>15</v>
      </c>
      <c r="D480" s="64" t="b">
        <f>IF(COUNTIF(AU$36:AU$52,Table8[[#This Row],[Date Day]]) &gt; 0, TRUE, FALSE)</f>
        <v>0</v>
      </c>
      <c r="E480" s="64">
        <f t="shared" si="12"/>
        <v>4</v>
      </c>
      <c r="F480" s="64">
        <v>2</v>
      </c>
      <c r="G480" s="65" t="str">
        <f>IF(Table8[[#This Row],[Weathersit]]=1, "BAD", IF(Table8[[#This Row],[Weathersit]]=2, "MODERATE", IF(Table8[[#This Row],[Weathersit]]=3, "GOOD")))</f>
        <v>MODERATE</v>
      </c>
      <c r="H480" s="64">
        <v>32</v>
      </c>
      <c r="I480" s="65" t="str">
        <f>IF(Table8[[#This Row],[Temp]]&lt;11, "COLD", IF(Table8[[#This Row],[Temp]]&lt;=25, "COMFORTABLE", "WARM"))</f>
        <v>WARM</v>
      </c>
      <c r="J480" s="64">
        <v>0.31819999999999998</v>
      </c>
      <c r="K480" s="64">
        <v>0.45</v>
      </c>
      <c r="L480" s="66">
        <v>19.400000000000002</v>
      </c>
      <c r="M480" s="75" t="s">
        <v>80</v>
      </c>
      <c r="N480" s="64">
        <v>8</v>
      </c>
      <c r="O480" s="64">
        <v>62</v>
      </c>
      <c r="P480" s="64">
        <v>70</v>
      </c>
      <c r="Q480" s="64"/>
      <c r="R480" s="65" t="str">
        <f t="shared" si="13"/>
        <v>Week 3</v>
      </c>
      <c r="S480" s="65" t="str">
        <f>TEXT(Table8[[#This Row],[Date Day]],"mmm,YYYY")</f>
        <v>Jan,2011</v>
      </c>
    </row>
    <row r="481" spans="1:19" ht="15.6" x14ac:dyDescent="0.3">
      <c r="A481" s="62">
        <v>448</v>
      </c>
      <c r="B481" s="63">
        <v>40563</v>
      </c>
      <c r="C481" s="64">
        <v>16</v>
      </c>
      <c r="D481" s="64" t="b">
        <f>IF(COUNTIF(AU$36:AU$52,Table8[[#This Row],[Date Day]]) &gt; 0, TRUE, FALSE)</f>
        <v>0</v>
      </c>
      <c r="E481" s="64">
        <f t="shared" si="12"/>
        <v>4</v>
      </c>
      <c r="F481" s="64">
        <v>2</v>
      </c>
      <c r="G481" s="65" t="str">
        <f>IF(Table8[[#This Row],[Weathersit]]=1, "BAD", IF(Table8[[#This Row],[Weathersit]]=2, "MODERATE", IF(Table8[[#This Row],[Weathersit]]=3, "GOOD")))</f>
        <v>MODERATE</v>
      </c>
      <c r="H481" s="64">
        <v>30</v>
      </c>
      <c r="I481" s="65" t="str">
        <f>IF(Table8[[#This Row],[Temp]]&lt;11, "COLD", IF(Table8[[#This Row],[Temp]]&lt;=25, "COMFORTABLE", "WARM"))</f>
        <v>WARM</v>
      </c>
      <c r="J481" s="64">
        <v>0.30299999999999999</v>
      </c>
      <c r="K481" s="64">
        <v>0.49</v>
      </c>
      <c r="L481" s="66">
        <v>13.43</v>
      </c>
      <c r="M481" s="75" t="s">
        <v>80</v>
      </c>
      <c r="N481" s="64">
        <v>8</v>
      </c>
      <c r="O481" s="64">
        <v>83</v>
      </c>
      <c r="P481" s="64">
        <v>91</v>
      </c>
      <c r="Q481" s="64"/>
      <c r="R481" s="65" t="str">
        <f t="shared" si="13"/>
        <v>Week 3</v>
      </c>
      <c r="S481" s="65" t="str">
        <f>TEXT(Table8[[#This Row],[Date Day]],"mmm,YYYY")</f>
        <v>Jan,2011</v>
      </c>
    </row>
    <row r="482" spans="1:19" ht="15.6" x14ac:dyDescent="0.3">
      <c r="A482" s="62">
        <v>449</v>
      </c>
      <c r="B482" s="63">
        <v>40563</v>
      </c>
      <c r="C482" s="64">
        <v>17</v>
      </c>
      <c r="D482" s="64" t="b">
        <f>IF(COUNTIF(AU$36:AU$52,Table8[[#This Row],[Date Day]]) &gt; 0, TRUE, FALSE)</f>
        <v>0</v>
      </c>
      <c r="E482" s="64">
        <f t="shared" ref="E482:E545" si="14">WEEKDAY(B:B,2)</f>
        <v>4</v>
      </c>
      <c r="F482" s="64">
        <v>2</v>
      </c>
      <c r="G482" s="65" t="str">
        <f>IF(Table8[[#This Row],[Weathersit]]=1, "BAD", IF(Table8[[#This Row],[Weathersit]]=2, "MODERATE", IF(Table8[[#This Row],[Weathersit]]=3, "GOOD")))</f>
        <v>MODERATE</v>
      </c>
      <c r="H482" s="64">
        <v>30</v>
      </c>
      <c r="I482" s="65" t="str">
        <f>IF(Table8[[#This Row],[Temp]]&lt;11, "COLD", IF(Table8[[#This Row],[Temp]]&lt;=25, "COMFORTABLE", "WARM"))</f>
        <v>WARM</v>
      </c>
      <c r="J482" s="64">
        <v>0.31819999999999998</v>
      </c>
      <c r="K482" s="64">
        <v>0.49</v>
      </c>
      <c r="L482" s="66">
        <v>10.45</v>
      </c>
      <c r="M482" s="75" t="s">
        <v>80</v>
      </c>
      <c r="N482" s="64">
        <v>8</v>
      </c>
      <c r="O482" s="64">
        <v>207</v>
      </c>
      <c r="P482" s="64">
        <v>215</v>
      </c>
      <c r="Q482" s="64"/>
      <c r="R482" s="65" t="str">
        <f t="shared" ref="R482:R545" si="15">"Week " &amp; INT((DAY(B482)-1)/7)+1</f>
        <v>Week 3</v>
      </c>
      <c r="S482" s="65" t="str">
        <f>TEXT(Table8[[#This Row],[Date Day]],"mmm,YYYY")</f>
        <v>Jan,2011</v>
      </c>
    </row>
    <row r="483" spans="1:19" ht="15.6" x14ac:dyDescent="0.3">
      <c r="A483" s="62">
        <v>450</v>
      </c>
      <c r="B483" s="63">
        <v>40563</v>
      </c>
      <c r="C483" s="64">
        <v>18</v>
      </c>
      <c r="D483" s="64" t="b">
        <f>IF(COUNTIF(AU$36:AU$52,Table8[[#This Row],[Date Day]]) &gt; 0, TRUE, FALSE)</f>
        <v>0</v>
      </c>
      <c r="E483" s="64">
        <f t="shared" si="14"/>
        <v>4</v>
      </c>
      <c r="F483" s="64">
        <v>2</v>
      </c>
      <c r="G483" s="65" t="str">
        <f>IF(Table8[[#This Row],[Weathersit]]=1, "BAD", IF(Table8[[#This Row],[Weathersit]]=2, "MODERATE", IF(Table8[[#This Row],[Weathersit]]=3, "GOOD")))</f>
        <v>MODERATE</v>
      </c>
      <c r="H483" s="64">
        <v>26</v>
      </c>
      <c r="I483" s="65" t="str">
        <f>IF(Table8[[#This Row],[Temp]]&lt;11, "COLD", IF(Table8[[#This Row],[Temp]]&lt;=25, "COMFORTABLE", "WARM"))</f>
        <v>WARM</v>
      </c>
      <c r="J483" s="64">
        <v>0.2576</v>
      </c>
      <c r="K483" s="64">
        <v>0.56000000000000005</v>
      </c>
      <c r="L483" s="66">
        <v>19.400000000000002</v>
      </c>
      <c r="M483" s="75" t="s">
        <v>80</v>
      </c>
      <c r="N483" s="64">
        <v>1</v>
      </c>
      <c r="O483" s="64">
        <v>184</v>
      </c>
      <c r="P483" s="64">
        <v>185</v>
      </c>
      <c r="Q483" s="64"/>
      <c r="R483" s="65" t="str">
        <f t="shared" si="15"/>
        <v>Week 3</v>
      </c>
      <c r="S483" s="65" t="str">
        <f>TEXT(Table8[[#This Row],[Date Day]],"mmm,YYYY")</f>
        <v>Jan,2011</v>
      </c>
    </row>
    <row r="484" spans="1:19" ht="15.6" x14ac:dyDescent="0.3">
      <c r="A484" s="62">
        <v>451</v>
      </c>
      <c r="B484" s="63">
        <v>40563</v>
      </c>
      <c r="C484" s="64">
        <v>19</v>
      </c>
      <c r="D484" s="64" t="b">
        <f>IF(COUNTIF(AU$36:AU$52,Table8[[#This Row],[Date Day]]) &gt; 0, TRUE, FALSE)</f>
        <v>0</v>
      </c>
      <c r="E484" s="64">
        <f t="shared" si="14"/>
        <v>4</v>
      </c>
      <c r="F484" s="64">
        <v>1</v>
      </c>
      <c r="G484" s="65" t="str">
        <f>IF(Table8[[#This Row],[Weathersit]]=1, "BAD", IF(Table8[[#This Row],[Weathersit]]=2, "MODERATE", IF(Table8[[#This Row],[Weathersit]]=3, "GOOD")))</f>
        <v>BAD</v>
      </c>
      <c r="H484" s="64">
        <v>26</v>
      </c>
      <c r="I484" s="65" t="str">
        <f>IF(Table8[[#This Row],[Temp]]&lt;11, "COLD", IF(Table8[[#This Row],[Temp]]&lt;=25, "COMFORTABLE", "WARM"))</f>
        <v>WARM</v>
      </c>
      <c r="J484" s="64">
        <v>0.2273</v>
      </c>
      <c r="K484" s="64">
        <v>0.56000000000000005</v>
      </c>
      <c r="L484" s="66">
        <v>32.840000000000003</v>
      </c>
      <c r="M484" s="75" t="s">
        <v>84</v>
      </c>
      <c r="N484" s="64">
        <v>6</v>
      </c>
      <c r="O484" s="64">
        <v>146</v>
      </c>
      <c r="P484" s="64">
        <v>152</v>
      </c>
      <c r="Q484" s="64"/>
      <c r="R484" s="65" t="str">
        <f t="shared" si="15"/>
        <v>Week 3</v>
      </c>
      <c r="S484" s="65" t="str">
        <f>TEXT(Table8[[#This Row],[Date Day]],"mmm,YYYY")</f>
        <v>Jan,2011</v>
      </c>
    </row>
    <row r="485" spans="1:19" ht="15.6" x14ac:dyDescent="0.3">
      <c r="A485" s="62">
        <v>452</v>
      </c>
      <c r="B485" s="63">
        <v>40563</v>
      </c>
      <c r="C485" s="64">
        <v>20</v>
      </c>
      <c r="D485" s="64" t="b">
        <f>IF(COUNTIF(AU$36:AU$52,Table8[[#This Row],[Date Day]]) &gt; 0, TRUE, FALSE)</f>
        <v>0</v>
      </c>
      <c r="E485" s="64">
        <f t="shared" si="14"/>
        <v>4</v>
      </c>
      <c r="F485" s="64">
        <v>2</v>
      </c>
      <c r="G485" s="65" t="str">
        <f>IF(Table8[[#This Row],[Weathersit]]=1, "BAD", IF(Table8[[#This Row],[Weathersit]]=2, "MODERATE", IF(Table8[[#This Row],[Weathersit]]=3, "GOOD")))</f>
        <v>MODERATE</v>
      </c>
      <c r="H485" s="64">
        <v>26</v>
      </c>
      <c r="I485" s="65" t="str">
        <f>IF(Table8[[#This Row],[Temp]]&lt;11, "COLD", IF(Table8[[#This Row],[Temp]]&lt;=25, "COMFORTABLE", "WARM"))</f>
        <v>WARM</v>
      </c>
      <c r="J485" s="64">
        <v>0.2424</v>
      </c>
      <c r="K485" s="64">
        <v>0.6</v>
      </c>
      <c r="L485" s="66">
        <v>28.360000000000003</v>
      </c>
      <c r="M485" s="75" t="s">
        <v>81</v>
      </c>
      <c r="N485" s="64">
        <v>2</v>
      </c>
      <c r="O485" s="64">
        <v>124</v>
      </c>
      <c r="P485" s="64">
        <v>126</v>
      </c>
      <c r="Q485" s="64"/>
      <c r="R485" s="65" t="str">
        <f t="shared" si="15"/>
        <v>Week 3</v>
      </c>
      <c r="S485" s="65" t="str">
        <f>TEXT(Table8[[#This Row],[Date Day]],"mmm,YYYY")</f>
        <v>Jan,2011</v>
      </c>
    </row>
    <row r="486" spans="1:19" ht="15.6" x14ac:dyDescent="0.3">
      <c r="A486" s="62">
        <v>453</v>
      </c>
      <c r="B486" s="63">
        <v>40563</v>
      </c>
      <c r="C486" s="64">
        <v>21</v>
      </c>
      <c r="D486" s="64" t="b">
        <f>IF(COUNTIF(AU$36:AU$52,Table8[[#This Row],[Date Day]]) &gt; 0, TRUE, FALSE)</f>
        <v>0</v>
      </c>
      <c r="E486" s="64">
        <f t="shared" si="14"/>
        <v>4</v>
      </c>
      <c r="F486" s="64">
        <v>2</v>
      </c>
      <c r="G486" s="65" t="str">
        <f>IF(Table8[[#This Row],[Weathersit]]=1, "BAD", IF(Table8[[#This Row],[Weathersit]]=2, "MODERATE", IF(Table8[[#This Row],[Weathersit]]=3, "GOOD")))</f>
        <v>MODERATE</v>
      </c>
      <c r="H486" s="64">
        <v>24</v>
      </c>
      <c r="I486" s="65" t="str">
        <f>IF(Table8[[#This Row],[Temp]]&lt;11, "COLD", IF(Table8[[#This Row],[Temp]]&lt;=25, "COMFORTABLE", "WARM"))</f>
        <v>COMFORTABLE</v>
      </c>
      <c r="J486" s="64">
        <v>0.2273</v>
      </c>
      <c r="K486" s="64">
        <v>0.6</v>
      </c>
      <c r="L486" s="66">
        <v>25.369999999999997</v>
      </c>
      <c r="M486" s="75" t="s">
        <v>81</v>
      </c>
      <c r="N486" s="64">
        <v>3</v>
      </c>
      <c r="O486" s="64">
        <v>54</v>
      </c>
      <c r="P486" s="64">
        <v>57</v>
      </c>
      <c r="Q486" s="64"/>
      <c r="R486" s="65" t="str">
        <f t="shared" si="15"/>
        <v>Week 3</v>
      </c>
      <c r="S486" s="65" t="str">
        <f>TEXT(Table8[[#This Row],[Date Day]],"mmm,YYYY")</f>
        <v>Jan,2011</v>
      </c>
    </row>
    <row r="487" spans="1:19" ht="15.6" x14ac:dyDescent="0.3">
      <c r="A487" s="62">
        <v>454</v>
      </c>
      <c r="B487" s="63">
        <v>40563</v>
      </c>
      <c r="C487" s="64">
        <v>22</v>
      </c>
      <c r="D487" s="64" t="b">
        <f>IF(COUNTIF(AU$36:AU$52,Table8[[#This Row],[Date Day]]) &gt; 0, TRUE, FALSE)</f>
        <v>0</v>
      </c>
      <c r="E487" s="64">
        <f t="shared" si="14"/>
        <v>4</v>
      </c>
      <c r="F487" s="64">
        <v>2</v>
      </c>
      <c r="G487" s="65" t="str">
        <f>IF(Table8[[#This Row],[Weathersit]]=1, "BAD", IF(Table8[[#This Row],[Weathersit]]=2, "MODERATE", IF(Table8[[#This Row],[Weathersit]]=3, "GOOD")))</f>
        <v>MODERATE</v>
      </c>
      <c r="H487" s="64">
        <v>24</v>
      </c>
      <c r="I487" s="65" t="str">
        <f>IF(Table8[[#This Row],[Temp]]&lt;11, "COLD", IF(Table8[[#This Row],[Temp]]&lt;=25, "COMFORTABLE", "WARM"))</f>
        <v>COMFORTABLE</v>
      </c>
      <c r="J487" s="64">
        <v>0.21210000000000001</v>
      </c>
      <c r="K487" s="64">
        <v>0.65</v>
      </c>
      <c r="L487" s="66">
        <v>28.360000000000003</v>
      </c>
      <c r="M487" s="75" t="s">
        <v>81</v>
      </c>
      <c r="N487" s="64">
        <v>0</v>
      </c>
      <c r="O487" s="64">
        <v>56</v>
      </c>
      <c r="P487" s="64">
        <v>56</v>
      </c>
      <c r="Q487" s="64"/>
      <c r="R487" s="65" t="str">
        <f t="shared" si="15"/>
        <v>Week 3</v>
      </c>
      <c r="S487" s="65" t="str">
        <f>TEXT(Table8[[#This Row],[Date Day]],"mmm,YYYY")</f>
        <v>Jan,2011</v>
      </c>
    </row>
    <row r="488" spans="1:19" ht="15.6" x14ac:dyDescent="0.3">
      <c r="A488" s="62">
        <v>455</v>
      </c>
      <c r="B488" s="63">
        <v>40564</v>
      </c>
      <c r="C488" s="64">
        <v>23</v>
      </c>
      <c r="D488" s="64" t="b">
        <f>IF(COUNTIF(AU$36:AU$52,Table8[[#This Row],[Date Day]]) &gt; 0, TRUE, FALSE)</f>
        <v>0</v>
      </c>
      <c r="E488" s="64">
        <f t="shared" si="14"/>
        <v>5</v>
      </c>
      <c r="F488" s="64">
        <v>2</v>
      </c>
      <c r="G488" s="65" t="str">
        <f>IF(Table8[[#This Row],[Weathersit]]=1, "BAD", IF(Table8[[#This Row],[Weathersit]]=2, "MODERATE", IF(Table8[[#This Row],[Weathersit]]=3, "GOOD")))</f>
        <v>MODERATE</v>
      </c>
      <c r="H488" s="64">
        <v>24</v>
      </c>
      <c r="I488" s="65" t="str">
        <f>IF(Table8[[#This Row],[Temp]]&lt;11, "COLD", IF(Table8[[#This Row],[Temp]]&lt;=25, "COMFORTABLE", "WARM"))</f>
        <v>COMFORTABLE</v>
      </c>
      <c r="J488" s="64">
        <v>0.21210000000000001</v>
      </c>
      <c r="K488" s="64">
        <v>0.65</v>
      </c>
      <c r="L488" s="66">
        <v>32.840000000000003</v>
      </c>
      <c r="M488" s="75" t="s">
        <v>84</v>
      </c>
      <c r="N488" s="64">
        <v>3</v>
      </c>
      <c r="O488" s="64">
        <v>28</v>
      </c>
      <c r="P488" s="64">
        <v>31</v>
      </c>
      <c r="Q488" s="64"/>
      <c r="R488" s="65" t="str">
        <f t="shared" si="15"/>
        <v>Week 3</v>
      </c>
      <c r="S488" s="65" t="str">
        <f>TEXT(Table8[[#This Row],[Date Day]],"mmm,YYYY")</f>
        <v>Jan,2011</v>
      </c>
    </row>
    <row r="489" spans="1:19" ht="15.6" x14ac:dyDescent="0.3">
      <c r="A489" s="62">
        <v>456</v>
      </c>
      <c r="B489" s="63">
        <v>40564</v>
      </c>
      <c r="C489" s="64">
        <v>0</v>
      </c>
      <c r="D489" s="64" t="b">
        <f>IF(COUNTIF(AU$36:AU$52,Table8[[#This Row],[Date Day]]) &gt; 0, TRUE, FALSE)</f>
        <v>0</v>
      </c>
      <c r="E489" s="64">
        <f t="shared" si="14"/>
        <v>5</v>
      </c>
      <c r="F489" s="64">
        <v>2</v>
      </c>
      <c r="G489" s="65" t="str">
        <f>IF(Table8[[#This Row],[Weathersit]]=1, "BAD", IF(Table8[[#This Row],[Weathersit]]=2, "MODERATE", IF(Table8[[#This Row],[Weathersit]]=3, "GOOD")))</f>
        <v>MODERATE</v>
      </c>
      <c r="H489" s="64">
        <v>24</v>
      </c>
      <c r="I489" s="65" t="str">
        <f>IF(Table8[[#This Row],[Temp]]&lt;11, "COLD", IF(Table8[[#This Row],[Temp]]&lt;=25, "COMFORTABLE", "WARM"))</f>
        <v>COMFORTABLE</v>
      </c>
      <c r="J489" s="64">
        <v>0.2273</v>
      </c>
      <c r="K489" s="64">
        <v>0.7</v>
      </c>
      <c r="L489" s="66">
        <v>25.369999999999997</v>
      </c>
      <c r="M489" s="75" t="s">
        <v>81</v>
      </c>
      <c r="N489" s="64">
        <v>1</v>
      </c>
      <c r="O489" s="64">
        <v>20</v>
      </c>
      <c r="P489" s="64">
        <v>21</v>
      </c>
      <c r="Q489" s="64"/>
      <c r="R489" s="65" t="str">
        <f t="shared" si="15"/>
        <v>Week 3</v>
      </c>
      <c r="S489" s="65" t="str">
        <f>TEXT(Table8[[#This Row],[Date Day]],"mmm,YYYY")</f>
        <v>Jan,2011</v>
      </c>
    </row>
    <row r="490" spans="1:19" ht="15.6" x14ac:dyDescent="0.3">
      <c r="A490" s="62">
        <v>457</v>
      </c>
      <c r="B490" s="63">
        <v>40564</v>
      </c>
      <c r="C490" s="64">
        <v>1</v>
      </c>
      <c r="D490" s="64" t="b">
        <f>IF(COUNTIF(AU$36:AU$52,Table8[[#This Row],[Date Day]]) &gt; 0, TRUE, FALSE)</f>
        <v>0</v>
      </c>
      <c r="E490" s="64">
        <f t="shared" si="14"/>
        <v>5</v>
      </c>
      <c r="F490" s="64">
        <v>2</v>
      </c>
      <c r="G490" s="65" t="str">
        <f>IF(Table8[[#This Row],[Weathersit]]=1, "BAD", IF(Table8[[#This Row],[Weathersit]]=2, "MODERATE", IF(Table8[[#This Row],[Weathersit]]=3, "GOOD")))</f>
        <v>MODERATE</v>
      </c>
      <c r="H490" s="64">
        <v>24</v>
      </c>
      <c r="I490" s="65" t="str">
        <f>IF(Table8[[#This Row],[Temp]]&lt;11, "COLD", IF(Table8[[#This Row],[Temp]]&lt;=25, "COMFORTABLE", "WARM"))</f>
        <v>COMFORTABLE</v>
      </c>
      <c r="J490" s="64">
        <v>0.2273</v>
      </c>
      <c r="K490" s="64">
        <v>0.7</v>
      </c>
      <c r="L490" s="66">
        <v>25.369999999999997</v>
      </c>
      <c r="M490" s="75" t="s">
        <v>81</v>
      </c>
      <c r="N490" s="64">
        <v>0</v>
      </c>
      <c r="O490" s="64">
        <v>6</v>
      </c>
      <c r="P490" s="64">
        <v>6</v>
      </c>
      <c r="Q490" s="64"/>
      <c r="R490" s="65" t="str">
        <f t="shared" si="15"/>
        <v>Week 3</v>
      </c>
      <c r="S490" s="65" t="str">
        <f>TEXT(Table8[[#This Row],[Date Day]],"mmm,YYYY")</f>
        <v>Jan,2011</v>
      </c>
    </row>
    <row r="491" spans="1:19" ht="15.6" x14ac:dyDescent="0.3">
      <c r="A491" s="62">
        <v>458</v>
      </c>
      <c r="B491" s="63">
        <v>40564</v>
      </c>
      <c r="C491" s="64">
        <v>2</v>
      </c>
      <c r="D491" s="64" t="b">
        <f>IF(COUNTIF(AU$36:AU$52,Table8[[#This Row],[Date Day]]) &gt; 0, TRUE, FALSE)</f>
        <v>0</v>
      </c>
      <c r="E491" s="64">
        <f t="shared" si="14"/>
        <v>5</v>
      </c>
      <c r="F491" s="64">
        <v>3</v>
      </c>
      <c r="G491" s="65" t="str">
        <f>IF(Table8[[#This Row],[Weathersit]]=1, "BAD", IF(Table8[[#This Row],[Weathersit]]=2, "MODERATE", IF(Table8[[#This Row],[Weathersit]]=3, "GOOD")))</f>
        <v>GOOD</v>
      </c>
      <c r="H491" s="64">
        <v>24</v>
      </c>
      <c r="I491" s="65" t="str">
        <f>IF(Table8[[#This Row],[Temp]]&lt;11, "COLD", IF(Table8[[#This Row],[Temp]]&lt;=25, "COMFORTABLE", "WARM"))</f>
        <v>COMFORTABLE</v>
      </c>
      <c r="J491" s="64">
        <v>0.2424</v>
      </c>
      <c r="K491" s="64">
        <v>0.75</v>
      </c>
      <c r="L491" s="66">
        <v>16.420000000000002</v>
      </c>
      <c r="M491" s="75" t="s">
        <v>80</v>
      </c>
      <c r="N491" s="64">
        <v>0</v>
      </c>
      <c r="O491" s="64">
        <v>2</v>
      </c>
      <c r="P491" s="64">
        <v>2</v>
      </c>
      <c r="Q491" s="64"/>
      <c r="R491" s="65" t="str">
        <f t="shared" si="15"/>
        <v>Week 3</v>
      </c>
      <c r="S491" s="65" t="str">
        <f>TEXT(Table8[[#This Row],[Date Day]],"mmm,YYYY")</f>
        <v>Jan,2011</v>
      </c>
    </row>
    <row r="492" spans="1:19" ht="15.6" x14ac:dyDescent="0.3">
      <c r="A492" s="62">
        <v>459</v>
      </c>
      <c r="B492" s="63">
        <v>40564</v>
      </c>
      <c r="C492" s="64">
        <v>3</v>
      </c>
      <c r="D492" s="64" t="b">
        <f>IF(COUNTIF(AU$36:AU$52,Table8[[#This Row],[Date Day]]) &gt; 0, TRUE, FALSE)</f>
        <v>0</v>
      </c>
      <c r="E492" s="64">
        <f t="shared" si="14"/>
        <v>5</v>
      </c>
      <c r="F492" s="64">
        <v>3</v>
      </c>
      <c r="G492" s="65" t="str">
        <f>IF(Table8[[#This Row],[Weathersit]]=1, "BAD", IF(Table8[[#This Row],[Weathersit]]=2, "MODERATE", IF(Table8[[#This Row],[Weathersit]]=3, "GOOD")))</f>
        <v>GOOD</v>
      </c>
      <c r="H492" s="64">
        <v>22</v>
      </c>
      <c r="I492" s="65" t="str">
        <f>IF(Table8[[#This Row],[Temp]]&lt;11, "COLD", IF(Table8[[#This Row],[Temp]]&lt;=25, "COMFORTABLE", "WARM"))</f>
        <v>COMFORTABLE</v>
      </c>
      <c r="J492" s="64">
        <v>0.21210000000000001</v>
      </c>
      <c r="K492" s="64">
        <v>0.8</v>
      </c>
      <c r="L492" s="66">
        <v>29.849999999999998</v>
      </c>
      <c r="M492" s="75" t="s">
        <v>81</v>
      </c>
      <c r="N492" s="64">
        <v>0</v>
      </c>
      <c r="O492" s="64">
        <v>1</v>
      </c>
      <c r="P492" s="64">
        <v>1</v>
      </c>
      <c r="Q492" s="64"/>
      <c r="R492" s="65" t="str">
        <f t="shared" si="15"/>
        <v>Week 3</v>
      </c>
      <c r="S492" s="65" t="str">
        <f>TEXT(Table8[[#This Row],[Date Day]],"mmm,YYYY")</f>
        <v>Jan,2011</v>
      </c>
    </row>
    <row r="493" spans="1:19" ht="15.6" x14ac:dyDescent="0.3">
      <c r="A493" s="62">
        <v>460</v>
      </c>
      <c r="B493" s="63">
        <v>40564</v>
      </c>
      <c r="C493" s="64">
        <v>4</v>
      </c>
      <c r="D493" s="64" t="b">
        <f>IF(COUNTIF(AU$36:AU$52,Table8[[#This Row],[Date Day]]) &gt; 0, TRUE, FALSE)</f>
        <v>0</v>
      </c>
      <c r="E493" s="64">
        <f t="shared" si="14"/>
        <v>5</v>
      </c>
      <c r="F493" s="64">
        <v>2</v>
      </c>
      <c r="G493" s="65" t="str">
        <f>IF(Table8[[#This Row],[Weathersit]]=1, "BAD", IF(Table8[[#This Row],[Weathersit]]=2, "MODERATE", IF(Table8[[#This Row],[Weathersit]]=3, "GOOD")))</f>
        <v>MODERATE</v>
      </c>
      <c r="H493" s="64">
        <v>22</v>
      </c>
      <c r="I493" s="65" t="str">
        <f>IF(Table8[[#This Row],[Temp]]&lt;11, "COLD", IF(Table8[[#This Row],[Temp]]&lt;=25, "COMFORTABLE", "WARM"))</f>
        <v>COMFORTABLE</v>
      </c>
      <c r="J493" s="64">
        <v>0.2576</v>
      </c>
      <c r="K493" s="64">
        <v>0.87</v>
      </c>
      <c r="L493" s="66">
        <v>8.9599999999999991</v>
      </c>
      <c r="M493" s="75" t="s">
        <v>80</v>
      </c>
      <c r="N493" s="64">
        <v>0</v>
      </c>
      <c r="O493" s="64">
        <v>1</v>
      </c>
      <c r="P493" s="64">
        <v>1</v>
      </c>
      <c r="Q493" s="64"/>
      <c r="R493" s="65" t="str">
        <f t="shared" si="15"/>
        <v>Week 3</v>
      </c>
      <c r="S493" s="65" t="str">
        <f>TEXT(Table8[[#This Row],[Date Day]],"mmm,YYYY")</f>
        <v>Jan,2011</v>
      </c>
    </row>
    <row r="494" spans="1:19" ht="15.6" x14ac:dyDescent="0.3">
      <c r="A494" s="62">
        <v>461</v>
      </c>
      <c r="B494" s="63">
        <v>40564</v>
      </c>
      <c r="C494" s="64">
        <v>5</v>
      </c>
      <c r="D494" s="64" t="b">
        <f>IF(COUNTIF(AU$36:AU$52,Table8[[#This Row],[Date Day]]) &gt; 0, TRUE, FALSE)</f>
        <v>0</v>
      </c>
      <c r="E494" s="64">
        <f t="shared" si="14"/>
        <v>5</v>
      </c>
      <c r="F494" s="64">
        <v>1</v>
      </c>
      <c r="G494" s="65" t="str">
        <f>IF(Table8[[#This Row],[Weathersit]]=1, "BAD", IF(Table8[[#This Row],[Weathersit]]=2, "MODERATE", IF(Table8[[#This Row],[Weathersit]]=3, "GOOD")))</f>
        <v>BAD</v>
      </c>
      <c r="H494" s="64">
        <v>24</v>
      </c>
      <c r="I494" s="65" t="str">
        <f>IF(Table8[[#This Row],[Temp]]&lt;11, "COLD", IF(Table8[[#This Row],[Temp]]&lt;=25, "COMFORTABLE", "WARM"))</f>
        <v>COMFORTABLE</v>
      </c>
      <c r="J494" s="64">
        <v>0.19700000000000001</v>
      </c>
      <c r="K494" s="64">
        <v>0.6</v>
      </c>
      <c r="L494" s="66">
        <v>41.79</v>
      </c>
      <c r="M494" s="75" t="s">
        <v>84</v>
      </c>
      <c r="N494" s="64">
        <v>1</v>
      </c>
      <c r="O494" s="64">
        <v>4</v>
      </c>
      <c r="P494" s="64">
        <v>5</v>
      </c>
      <c r="Q494" s="64"/>
      <c r="R494" s="65" t="str">
        <f t="shared" si="15"/>
        <v>Week 3</v>
      </c>
      <c r="S494" s="65" t="str">
        <f>TEXT(Table8[[#This Row],[Date Day]],"mmm,YYYY")</f>
        <v>Jan,2011</v>
      </c>
    </row>
    <row r="495" spans="1:19" ht="15.6" x14ac:dyDescent="0.3">
      <c r="A495" s="62">
        <v>462</v>
      </c>
      <c r="B495" s="63">
        <v>40564</v>
      </c>
      <c r="C495" s="64">
        <v>6</v>
      </c>
      <c r="D495" s="64" t="b">
        <f>IF(COUNTIF(AU$36:AU$52,Table8[[#This Row],[Date Day]]) &gt; 0, TRUE, FALSE)</f>
        <v>0</v>
      </c>
      <c r="E495" s="64">
        <f t="shared" si="14"/>
        <v>5</v>
      </c>
      <c r="F495" s="64">
        <v>1</v>
      </c>
      <c r="G495" s="65" t="str">
        <f>IF(Table8[[#This Row],[Weathersit]]=1, "BAD", IF(Table8[[#This Row],[Weathersit]]=2, "MODERATE", IF(Table8[[#This Row],[Weathersit]]=3, "GOOD")))</f>
        <v>BAD</v>
      </c>
      <c r="H495" s="64">
        <v>22</v>
      </c>
      <c r="I495" s="65" t="str">
        <f>IF(Table8[[#This Row],[Temp]]&lt;11, "COLD", IF(Table8[[#This Row],[Temp]]&lt;=25, "COMFORTABLE", "WARM"))</f>
        <v>COMFORTABLE</v>
      </c>
      <c r="J495" s="64">
        <v>0.21210000000000001</v>
      </c>
      <c r="K495" s="64">
        <v>0.55000000000000004</v>
      </c>
      <c r="L495" s="66">
        <v>25.369999999999997</v>
      </c>
      <c r="M495" s="75" t="s">
        <v>81</v>
      </c>
      <c r="N495" s="64">
        <v>0</v>
      </c>
      <c r="O495" s="64">
        <v>27</v>
      </c>
      <c r="P495" s="64">
        <v>27</v>
      </c>
      <c r="Q495" s="64"/>
      <c r="R495" s="65" t="str">
        <f t="shared" si="15"/>
        <v>Week 3</v>
      </c>
      <c r="S495" s="65" t="str">
        <f>TEXT(Table8[[#This Row],[Date Day]],"mmm,YYYY")</f>
        <v>Jan,2011</v>
      </c>
    </row>
    <row r="496" spans="1:19" ht="15.6" x14ac:dyDescent="0.3">
      <c r="A496" s="62">
        <v>463</v>
      </c>
      <c r="B496" s="63">
        <v>40564</v>
      </c>
      <c r="C496" s="64">
        <v>7</v>
      </c>
      <c r="D496" s="64" t="b">
        <f>IF(COUNTIF(AU$36:AU$52,Table8[[#This Row],[Date Day]]) &gt; 0, TRUE, FALSE)</f>
        <v>0</v>
      </c>
      <c r="E496" s="64">
        <f t="shared" si="14"/>
        <v>5</v>
      </c>
      <c r="F496" s="64">
        <v>1</v>
      </c>
      <c r="G496" s="65" t="str">
        <f>IF(Table8[[#This Row],[Weathersit]]=1, "BAD", IF(Table8[[#This Row],[Weathersit]]=2, "MODERATE", IF(Table8[[#This Row],[Weathersit]]=3, "GOOD")))</f>
        <v>BAD</v>
      </c>
      <c r="H496" s="64">
        <v>20</v>
      </c>
      <c r="I496" s="65" t="str">
        <f>IF(Table8[[#This Row],[Temp]]&lt;11, "COLD", IF(Table8[[#This Row],[Temp]]&lt;=25, "COMFORTABLE", "WARM"))</f>
        <v>COMFORTABLE</v>
      </c>
      <c r="J496" s="64">
        <v>0.18179999999999999</v>
      </c>
      <c r="K496" s="64">
        <v>0.51</v>
      </c>
      <c r="L496" s="66">
        <v>28.360000000000003</v>
      </c>
      <c r="M496" s="75" t="s">
        <v>81</v>
      </c>
      <c r="N496" s="64">
        <v>2</v>
      </c>
      <c r="O496" s="64">
        <v>66</v>
      </c>
      <c r="P496" s="64">
        <v>68</v>
      </c>
      <c r="Q496" s="64"/>
      <c r="R496" s="65" t="str">
        <f t="shared" si="15"/>
        <v>Week 3</v>
      </c>
      <c r="S496" s="65" t="str">
        <f>TEXT(Table8[[#This Row],[Date Day]],"mmm,YYYY")</f>
        <v>Jan,2011</v>
      </c>
    </row>
    <row r="497" spans="1:19" ht="15.6" x14ac:dyDescent="0.3">
      <c r="A497" s="62">
        <v>464</v>
      </c>
      <c r="B497" s="63">
        <v>40564</v>
      </c>
      <c r="C497" s="64">
        <v>8</v>
      </c>
      <c r="D497" s="64" t="b">
        <f>IF(COUNTIF(AU$36:AU$52,Table8[[#This Row],[Date Day]]) &gt; 0, TRUE, FALSE)</f>
        <v>0</v>
      </c>
      <c r="E497" s="64">
        <f t="shared" si="14"/>
        <v>5</v>
      </c>
      <c r="F497" s="64">
        <v>1</v>
      </c>
      <c r="G497" s="65" t="str">
        <f>IF(Table8[[#This Row],[Weathersit]]=1, "BAD", IF(Table8[[#This Row],[Weathersit]]=2, "MODERATE", IF(Table8[[#This Row],[Weathersit]]=3, "GOOD")))</f>
        <v>BAD</v>
      </c>
      <c r="H497" s="64">
        <v>20</v>
      </c>
      <c r="I497" s="65" t="str">
        <f>IF(Table8[[#This Row],[Temp]]&lt;11, "COLD", IF(Table8[[#This Row],[Temp]]&lt;=25, "COMFORTABLE", "WARM"))</f>
        <v>COMFORTABLE</v>
      </c>
      <c r="J497" s="64">
        <v>0.18179999999999999</v>
      </c>
      <c r="K497" s="64">
        <v>0.47</v>
      </c>
      <c r="L497" s="66">
        <v>32.840000000000003</v>
      </c>
      <c r="M497" s="75" t="s">
        <v>84</v>
      </c>
      <c r="N497" s="64">
        <v>7</v>
      </c>
      <c r="O497" s="64">
        <v>210</v>
      </c>
      <c r="P497" s="64">
        <v>217</v>
      </c>
      <c r="Q497" s="64"/>
      <c r="R497" s="65" t="str">
        <f t="shared" si="15"/>
        <v>Week 3</v>
      </c>
      <c r="S497" s="65" t="str">
        <f>TEXT(Table8[[#This Row],[Date Day]],"mmm,YYYY")</f>
        <v>Jan,2011</v>
      </c>
    </row>
    <row r="498" spans="1:19" ht="15.6" x14ac:dyDescent="0.3">
      <c r="A498" s="62">
        <v>465</v>
      </c>
      <c r="B498" s="63">
        <v>40564</v>
      </c>
      <c r="C498" s="64">
        <v>9</v>
      </c>
      <c r="D498" s="64" t="b">
        <f>IF(COUNTIF(AU$36:AU$52,Table8[[#This Row],[Date Day]]) &gt; 0, TRUE, FALSE)</f>
        <v>0</v>
      </c>
      <c r="E498" s="64">
        <f t="shared" si="14"/>
        <v>5</v>
      </c>
      <c r="F498" s="64">
        <v>1</v>
      </c>
      <c r="G498" s="65" t="str">
        <f>IF(Table8[[#This Row],[Weathersit]]=1, "BAD", IF(Table8[[#This Row],[Weathersit]]=2, "MODERATE", IF(Table8[[#This Row],[Weathersit]]=3, "GOOD")))</f>
        <v>BAD</v>
      </c>
      <c r="H498" s="64">
        <v>20</v>
      </c>
      <c r="I498" s="65" t="str">
        <f>IF(Table8[[#This Row],[Temp]]&lt;11, "COLD", IF(Table8[[#This Row],[Temp]]&lt;=25, "COMFORTABLE", "WARM"))</f>
        <v>COMFORTABLE</v>
      </c>
      <c r="J498" s="64">
        <v>0.18179999999999999</v>
      </c>
      <c r="K498" s="64">
        <v>0.51</v>
      </c>
      <c r="L498" s="66">
        <v>35.82</v>
      </c>
      <c r="M498" s="75" t="s">
        <v>84</v>
      </c>
      <c r="N498" s="64">
        <v>7</v>
      </c>
      <c r="O498" s="64">
        <v>159</v>
      </c>
      <c r="P498" s="64">
        <v>166</v>
      </c>
      <c r="Q498" s="64"/>
      <c r="R498" s="65" t="str">
        <f t="shared" si="15"/>
        <v>Week 3</v>
      </c>
      <c r="S498" s="65" t="str">
        <f>TEXT(Table8[[#This Row],[Date Day]],"mmm,YYYY")</f>
        <v>Jan,2011</v>
      </c>
    </row>
    <row r="499" spans="1:19" ht="15.6" x14ac:dyDescent="0.3">
      <c r="A499" s="62">
        <v>466</v>
      </c>
      <c r="B499" s="63">
        <v>40564</v>
      </c>
      <c r="C499" s="64">
        <v>10</v>
      </c>
      <c r="D499" s="64" t="b">
        <f>IF(COUNTIF(AU$36:AU$52,Table8[[#This Row],[Date Day]]) &gt; 0, TRUE, FALSE)</f>
        <v>0</v>
      </c>
      <c r="E499" s="64">
        <f t="shared" si="14"/>
        <v>5</v>
      </c>
      <c r="F499" s="64">
        <v>1</v>
      </c>
      <c r="G499" s="65" t="str">
        <f>IF(Table8[[#This Row],[Weathersit]]=1, "BAD", IF(Table8[[#This Row],[Weathersit]]=2, "MODERATE", IF(Table8[[#This Row],[Weathersit]]=3, "GOOD")))</f>
        <v>BAD</v>
      </c>
      <c r="H499" s="64">
        <v>20</v>
      </c>
      <c r="I499" s="65" t="str">
        <f>IF(Table8[[#This Row],[Temp]]&lt;11, "COLD", IF(Table8[[#This Row],[Temp]]&lt;=25, "COMFORTABLE", "WARM"))</f>
        <v>COMFORTABLE</v>
      </c>
      <c r="J499" s="64">
        <v>0.16669999999999999</v>
      </c>
      <c r="K499" s="64">
        <v>0.47</v>
      </c>
      <c r="L499" s="66">
        <v>46.27</v>
      </c>
      <c r="M499" s="75" t="s">
        <v>84</v>
      </c>
      <c r="N499" s="64">
        <v>6</v>
      </c>
      <c r="O499" s="64">
        <v>57</v>
      </c>
      <c r="P499" s="64">
        <v>63</v>
      </c>
      <c r="Q499" s="64"/>
      <c r="R499" s="65" t="str">
        <f t="shared" si="15"/>
        <v>Week 3</v>
      </c>
      <c r="S499" s="65" t="str">
        <f>TEXT(Table8[[#This Row],[Date Day]],"mmm,YYYY")</f>
        <v>Jan,2011</v>
      </c>
    </row>
    <row r="500" spans="1:19" ht="15.6" x14ac:dyDescent="0.3">
      <c r="A500" s="62">
        <v>467</v>
      </c>
      <c r="B500" s="63">
        <v>40564</v>
      </c>
      <c r="C500" s="64">
        <v>11</v>
      </c>
      <c r="D500" s="64" t="b">
        <f>IF(COUNTIF(AU$36:AU$52,Table8[[#This Row],[Date Day]]) &gt; 0, TRUE, FALSE)</f>
        <v>0</v>
      </c>
      <c r="E500" s="64">
        <f t="shared" si="14"/>
        <v>5</v>
      </c>
      <c r="F500" s="64">
        <v>1</v>
      </c>
      <c r="G500" s="65" t="str">
        <f>IF(Table8[[#This Row],[Weathersit]]=1, "BAD", IF(Table8[[#This Row],[Weathersit]]=2, "MODERATE", IF(Table8[[#This Row],[Weathersit]]=3, "GOOD")))</f>
        <v>BAD</v>
      </c>
      <c r="H500" s="64">
        <v>22</v>
      </c>
      <c r="I500" s="65" t="str">
        <f>IF(Table8[[#This Row],[Temp]]&lt;11, "COLD", IF(Table8[[#This Row],[Temp]]&lt;=25, "COMFORTABLE", "WARM"))</f>
        <v>COMFORTABLE</v>
      </c>
      <c r="J500" s="64">
        <v>0.18179999999999999</v>
      </c>
      <c r="K500" s="64">
        <v>0.41</v>
      </c>
      <c r="L500" s="66">
        <v>46.27</v>
      </c>
      <c r="M500" s="75" t="s">
        <v>84</v>
      </c>
      <c r="N500" s="64">
        <v>6</v>
      </c>
      <c r="O500" s="64">
        <v>53</v>
      </c>
      <c r="P500" s="64">
        <v>59</v>
      </c>
      <c r="Q500" s="64"/>
      <c r="R500" s="65" t="str">
        <f t="shared" si="15"/>
        <v>Week 3</v>
      </c>
      <c r="S500" s="65" t="str">
        <f>TEXT(Table8[[#This Row],[Date Day]],"mmm,YYYY")</f>
        <v>Jan,2011</v>
      </c>
    </row>
    <row r="501" spans="1:19" ht="15.6" x14ac:dyDescent="0.3">
      <c r="A501" s="62">
        <v>468</v>
      </c>
      <c r="B501" s="63">
        <v>40564</v>
      </c>
      <c r="C501" s="64">
        <v>12</v>
      </c>
      <c r="D501" s="64" t="b">
        <f>IF(COUNTIF(AU$36:AU$52,Table8[[#This Row],[Date Day]]) &gt; 0, TRUE, FALSE)</f>
        <v>0</v>
      </c>
      <c r="E501" s="64">
        <f t="shared" si="14"/>
        <v>5</v>
      </c>
      <c r="F501" s="64">
        <v>1</v>
      </c>
      <c r="G501" s="65" t="str">
        <f>IF(Table8[[#This Row],[Weathersit]]=1, "BAD", IF(Table8[[#This Row],[Weathersit]]=2, "MODERATE", IF(Table8[[#This Row],[Weathersit]]=3, "GOOD")))</f>
        <v>BAD</v>
      </c>
      <c r="H501" s="64">
        <v>22</v>
      </c>
      <c r="I501" s="65" t="str">
        <f>IF(Table8[[#This Row],[Temp]]&lt;11, "COLD", IF(Table8[[#This Row],[Temp]]&lt;=25, "COMFORTABLE", "WARM"))</f>
        <v>COMFORTABLE</v>
      </c>
      <c r="J501" s="64">
        <v>0.18179999999999999</v>
      </c>
      <c r="K501" s="64">
        <v>0.27</v>
      </c>
      <c r="L501" s="66">
        <v>58.209999999999994</v>
      </c>
      <c r="M501" s="75" t="s">
        <v>84</v>
      </c>
      <c r="N501" s="64">
        <v>11</v>
      </c>
      <c r="O501" s="64">
        <v>67</v>
      </c>
      <c r="P501" s="64">
        <v>78</v>
      </c>
      <c r="Q501" s="64"/>
      <c r="R501" s="65" t="str">
        <f t="shared" si="15"/>
        <v>Week 3</v>
      </c>
      <c r="S501" s="65" t="str">
        <f>TEXT(Table8[[#This Row],[Date Day]],"mmm,YYYY")</f>
        <v>Jan,2011</v>
      </c>
    </row>
    <row r="502" spans="1:19" ht="15.6" x14ac:dyDescent="0.3">
      <c r="A502" s="62">
        <v>469</v>
      </c>
      <c r="B502" s="63">
        <v>40564</v>
      </c>
      <c r="C502" s="64">
        <v>13</v>
      </c>
      <c r="D502" s="64" t="b">
        <f>IF(COUNTIF(AU$36:AU$52,Table8[[#This Row],[Date Day]]) &gt; 0, TRUE, FALSE)</f>
        <v>0</v>
      </c>
      <c r="E502" s="64">
        <f t="shared" si="14"/>
        <v>5</v>
      </c>
      <c r="F502" s="64">
        <v>1</v>
      </c>
      <c r="G502" s="65" t="str">
        <f>IF(Table8[[#This Row],[Weathersit]]=1, "BAD", IF(Table8[[#This Row],[Weathersit]]=2, "MODERATE", IF(Table8[[#This Row],[Weathersit]]=3, "GOOD")))</f>
        <v>BAD</v>
      </c>
      <c r="H502" s="64">
        <v>20</v>
      </c>
      <c r="I502" s="65" t="str">
        <f>IF(Table8[[#This Row],[Temp]]&lt;11, "COLD", IF(Table8[[#This Row],[Temp]]&lt;=25, "COMFORTABLE", "WARM"))</f>
        <v>COMFORTABLE</v>
      </c>
      <c r="J502" s="64">
        <v>0.1515</v>
      </c>
      <c r="K502" s="64">
        <v>0.21</v>
      </c>
      <c r="L502" s="66">
        <v>58.209999999999994</v>
      </c>
      <c r="M502" s="75" t="s">
        <v>84</v>
      </c>
      <c r="N502" s="64">
        <v>8</v>
      </c>
      <c r="O502" s="64">
        <v>65</v>
      </c>
      <c r="P502" s="64">
        <v>73</v>
      </c>
      <c r="Q502" s="64"/>
      <c r="R502" s="65" t="str">
        <f t="shared" si="15"/>
        <v>Week 3</v>
      </c>
      <c r="S502" s="65" t="str">
        <f>TEXT(Table8[[#This Row],[Date Day]],"mmm,YYYY")</f>
        <v>Jan,2011</v>
      </c>
    </row>
    <row r="503" spans="1:19" ht="15.6" x14ac:dyDescent="0.3">
      <c r="A503" s="62">
        <v>470</v>
      </c>
      <c r="B503" s="63">
        <v>40564</v>
      </c>
      <c r="C503" s="64">
        <v>14</v>
      </c>
      <c r="D503" s="64" t="b">
        <f>IF(COUNTIF(AU$36:AU$52,Table8[[#This Row],[Date Day]]) &gt; 0, TRUE, FALSE)</f>
        <v>0</v>
      </c>
      <c r="E503" s="64">
        <f t="shared" si="14"/>
        <v>5</v>
      </c>
      <c r="F503" s="64">
        <v>1</v>
      </c>
      <c r="G503" s="65" t="str">
        <f>IF(Table8[[#This Row],[Weathersit]]=1, "BAD", IF(Table8[[#This Row],[Weathersit]]=2, "MODERATE", IF(Table8[[#This Row],[Weathersit]]=3, "GOOD")))</f>
        <v>BAD</v>
      </c>
      <c r="H503" s="64">
        <v>20</v>
      </c>
      <c r="I503" s="65" t="str">
        <f>IF(Table8[[#This Row],[Temp]]&lt;11, "COLD", IF(Table8[[#This Row],[Temp]]&lt;=25, "COMFORTABLE", "WARM"))</f>
        <v>COMFORTABLE</v>
      </c>
      <c r="J503" s="64">
        <v>0.1515</v>
      </c>
      <c r="K503" s="64">
        <v>0.25</v>
      </c>
      <c r="L503" s="66">
        <v>52.239999999999995</v>
      </c>
      <c r="M503" s="75" t="s">
        <v>84</v>
      </c>
      <c r="N503" s="64">
        <v>6</v>
      </c>
      <c r="O503" s="64">
        <v>56</v>
      </c>
      <c r="P503" s="64">
        <v>62</v>
      </c>
      <c r="Q503" s="64"/>
      <c r="R503" s="65" t="str">
        <f t="shared" si="15"/>
        <v>Week 3</v>
      </c>
      <c r="S503" s="65" t="str">
        <f>TEXT(Table8[[#This Row],[Date Day]],"mmm,YYYY")</f>
        <v>Jan,2011</v>
      </c>
    </row>
    <row r="504" spans="1:19" ht="15.6" x14ac:dyDescent="0.3">
      <c r="A504" s="62">
        <v>471</v>
      </c>
      <c r="B504" s="63">
        <v>40564</v>
      </c>
      <c r="C504" s="64">
        <v>15</v>
      </c>
      <c r="D504" s="64" t="b">
        <f>IF(COUNTIF(AU$36:AU$52,Table8[[#This Row],[Date Day]]) &gt; 0, TRUE, FALSE)</f>
        <v>0</v>
      </c>
      <c r="E504" s="64">
        <f t="shared" si="14"/>
        <v>5</v>
      </c>
      <c r="F504" s="64">
        <v>1</v>
      </c>
      <c r="G504" s="65" t="str">
        <f>IF(Table8[[#This Row],[Weathersit]]=1, "BAD", IF(Table8[[#This Row],[Weathersit]]=2, "MODERATE", IF(Table8[[#This Row],[Weathersit]]=3, "GOOD")))</f>
        <v>BAD</v>
      </c>
      <c r="H504" s="64">
        <v>16</v>
      </c>
      <c r="I504" s="65" t="str">
        <f>IF(Table8[[#This Row],[Temp]]&lt;11, "COLD", IF(Table8[[#This Row],[Temp]]&lt;=25, "COMFORTABLE", "WARM"))</f>
        <v>COMFORTABLE</v>
      </c>
      <c r="J504" s="64">
        <v>0.1212</v>
      </c>
      <c r="K504" s="64">
        <v>0.26</v>
      </c>
      <c r="L504" s="66">
        <v>44.78</v>
      </c>
      <c r="M504" s="75" t="s">
        <v>84</v>
      </c>
      <c r="N504" s="64">
        <v>4</v>
      </c>
      <c r="O504" s="64">
        <v>61</v>
      </c>
      <c r="P504" s="64">
        <v>65</v>
      </c>
      <c r="Q504" s="64"/>
      <c r="R504" s="65" t="str">
        <f t="shared" si="15"/>
        <v>Week 3</v>
      </c>
      <c r="S504" s="65" t="str">
        <f>TEXT(Table8[[#This Row],[Date Day]],"mmm,YYYY")</f>
        <v>Jan,2011</v>
      </c>
    </row>
    <row r="505" spans="1:19" ht="15.6" x14ac:dyDescent="0.3">
      <c r="A505" s="62">
        <v>472</v>
      </c>
      <c r="B505" s="63">
        <v>40564</v>
      </c>
      <c r="C505" s="64">
        <v>16</v>
      </c>
      <c r="D505" s="64" t="b">
        <f>IF(COUNTIF(AU$36:AU$52,Table8[[#This Row],[Date Day]]) &gt; 0, TRUE, FALSE)</f>
        <v>0</v>
      </c>
      <c r="E505" s="64">
        <f t="shared" si="14"/>
        <v>5</v>
      </c>
      <c r="F505" s="64">
        <v>1</v>
      </c>
      <c r="G505" s="65" t="str">
        <f>IF(Table8[[#This Row],[Weathersit]]=1, "BAD", IF(Table8[[#This Row],[Weathersit]]=2, "MODERATE", IF(Table8[[#This Row],[Weathersit]]=3, "GOOD")))</f>
        <v>BAD</v>
      </c>
      <c r="H505" s="64">
        <v>16</v>
      </c>
      <c r="I505" s="65" t="str">
        <f>IF(Table8[[#This Row],[Temp]]&lt;11, "COLD", IF(Table8[[#This Row],[Temp]]&lt;=25, "COMFORTABLE", "WARM"))</f>
        <v>COMFORTABLE</v>
      </c>
      <c r="J505" s="64">
        <v>0.13639999999999999</v>
      </c>
      <c r="K505" s="64">
        <v>0.26</v>
      </c>
      <c r="L505" s="66">
        <v>35.82</v>
      </c>
      <c r="M505" s="75" t="s">
        <v>84</v>
      </c>
      <c r="N505" s="64">
        <v>0</v>
      </c>
      <c r="O505" s="64">
        <v>97</v>
      </c>
      <c r="P505" s="64">
        <v>97</v>
      </c>
      <c r="Q505" s="64"/>
      <c r="R505" s="65" t="str">
        <f t="shared" si="15"/>
        <v>Week 3</v>
      </c>
      <c r="S505" s="65" t="str">
        <f>TEXT(Table8[[#This Row],[Date Day]],"mmm,YYYY")</f>
        <v>Jan,2011</v>
      </c>
    </row>
    <row r="506" spans="1:19" ht="15.6" x14ac:dyDescent="0.3">
      <c r="A506" s="62">
        <v>473</v>
      </c>
      <c r="B506" s="63">
        <v>40564</v>
      </c>
      <c r="C506" s="64">
        <v>17</v>
      </c>
      <c r="D506" s="64" t="b">
        <f>IF(COUNTIF(AU$36:AU$52,Table8[[#This Row],[Date Day]]) &gt; 0, TRUE, FALSE)</f>
        <v>0</v>
      </c>
      <c r="E506" s="64">
        <f t="shared" si="14"/>
        <v>5</v>
      </c>
      <c r="F506" s="64">
        <v>1</v>
      </c>
      <c r="G506" s="65" t="str">
        <f>IF(Table8[[#This Row],[Weathersit]]=1, "BAD", IF(Table8[[#This Row],[Weathersit]]=2, "MODERATE", IF(Table8[[#This Row],[Weathersit]]=3, "GOOD")))</f>
        <v>BAD</v>
      </c>
      <c r="H506" s="64">
        <v>14.000000000000002</v>
      </c>
      <c r="I506" s="65" t="str">
        <f>IF(Table8[[#This Row],[Temp]]&lt;11, "COLD", IF(Table8[[#This Row],[Temp]]&lt;=25, "COMFORTABLE", "WARM"))</f>
        <v>COMFORTABLE</v>
      </c>
      <c r="J506" s="64">
        <v>0.1212</v>
      </c>
      <c r="K506" s="64">
        <v>0.28000000000000003</v>
      </c>
      <c r="L506" s="66">
        <v>35.82</v>
      </c>
      <c r="M506" s="75" t="s">
        <v>84</v>
      </c>
      <c r="N506" s="64">
        <v>10</v>
      </c>
      <c r="O506" s="64">
        <v>151</v>
      </c>
      <c r="P506" s="64">
        <v>161</v>
      </c>
      <c r="Q506" s="64"/>
      <c r="R506" s="65" t="str">
        <f t="shared" si="15"/>
        <v>Week 3</v>
      </c>
      <c r="S506" s="65" t="str">
        <f>TEXT(Table8[[#This Row],[Date Day]],"mmm,YYYY")</f>
        <v>Jan,2011</v>
      </c>
    </row>
    <row r="507" spans="1:19" ht="15.6" x14ac:dyDescent="0.3">
      <c r="A507" s="62">
        <v>474</v>
      </c>
      <c r="B507" s="63">
        <v>40564</v>
      </c>
      <c r="C507" s="64">
        <v>18</v>
      </c>
      <c r="D507" s="64" t="b">
        <f>IF(COUNTIF(AU$36:AU$52,Table8[[#This Row],[Date Day]]) &gt; 0, TRUE, FALSE)</f>
        <v>0</v>
      </c>
      <c r="E507" s="64">
        <f t="shared" si="14"/>
        <v>5</v>
      </c>
      <c r="F507" s="64">
        <v>1</v>
      </c>
      <c r="G507" s="65" t="str">
        <f>IF(Table8[[#This Row],[Weathersit]]=1, "BAD", IF(Table8[[#This Row],[Weathersit]]=2, "MODERATE", IF(Table8[[#This Row],[Weathersit]]=3, "GOOD")))</f>
        <v>BAD</v>
      </c>
      <c r="H507" s="64">
        <v>12</v>
      </c>
      <c r="I507" s="65" t="str">
        <f>IF(Table8[[#This Row],[Temp]]&lt;11, "COLD", IF(Table8[[#This Row],[Temp]]&lt;=25, "COMFORTABLE", "WARM"))</f>
        <v>COMFORTABLE</v>
      </c>
      <c r="J507" s="64">
        <v>0.1212</v>
      </c>
      <c r="K507" s="64">
        <v>0.3</v>
      </c>
      <c r="L507" s="66">
        <v>25.369999999999997</v>
      </c>
      <c r="M507" s="75" t="s">
        <v>81</v>
      </c>
      <c r="N507" s="64">
        <v>1</v>
      </c>
      <c r="O507" s="64">
        <v>119</v>
      </c>
      <c r="P507" s="64">
        <v>120</v>
      </c>
      <c r="Q507" s="64"/>
      <c r="R507" s="65" t="str">
        <f t="shared" si="15"/>
        <v>Week 3</v>
      </c>
      <c r="S507" s="65" t="str">
        <f>TEXT(Table8[[#This Row],[Date Day]],"mmm,YYYY")</f>
        <v>Jan,2011</v>
      </c>
    </row>
    <row r="508" spans="1:19" ht="15.6" x14ac:dyDescent="0.3">
      <c r="A508" s="62">
        <v>475</v>
      </c>
      <c r="B508" s="63">
        <v>40564</v>
      </c>
      <c r="C508" s="64">
        <v>19</v>
      </c>
      <c r="D508" s="64" t="b">
        <f>IF(COUNTIF(AU$36:AU$52,Table8[[#This Row],[Date Day]]) &gt; 0, TRUE, FALSE)</f>
        <v>0</v>
      </c>
      <c r="E508" s="64">
        <f t="shared" si="14"/>
        <v>5</v>
      </c>
      <c r="F508" s="64">
        <v>1</v>
      </c>
      <c r="G508" s="65" t="str">
        <f>IF(Table8[[#This Row],[Weathersit]]=1, "BAD", IF(Table8[[#This Row],[Weathersit]]=2, "MODERATE", IF(Table8[[#This Row],[Weathersit]]=3, "GOOD")))</f>
        <v>BAD</v>
      </c>
      <c r="H508" s="64">
        <v>12</v>
      </c>
      <c r="I508" s="65" t="str">
        <f>IF(Table8[[#This Row],[Temp]]&lt;11, "COLD", IF(Table8[[#This Row],[Temp]]&lt;=25, "COMFORTABLE", "WARM"))</f>
        <v>COMFORTABLE</v>
      </c>
      <c r="J508" s="64">
        <v>0.1061</v>
      </c>
      <c r="K508" s="64">
        <v>0.3</v>
      </c>
      <c r="L508" s="66">
        <v>32.840000000000003</v>
      </c>
      <c r="M508" s="75" t="s">
        <v>84</v>
      </c>
      <c r="N508" s="64">
        <v>3</v>
      </c>
      <c r="O508" s="64">
        <v>93</v>
      </c>
      <c r="P508" s="64">
        <v>96</v>
      </c>
      <c r="Q508" s="64"/>
      <c r="R508" s="65" t="str">
        <f t="shared" si="15"/>
        <v>Week 3</v>
      </c>
      <c r="S508" s="65" t="str">
        <f>TEXT(Table8[[#This Row],[Date Day]],"mmm,YYYY")</f>
        <v>Jan,2011</v>
      </c>
    </row>
    <row r="509" spans="1:19" ht="15.6" x14ac:dyDescent="0.3">
      <c r="A509" s="62">
        <v>476</v>
      </c>
      <c r="B509" s="63">
        <v>40564</v>
      </c>
      <c r="C509" s="64">
        <v>20</v>
      </c>
      <c r="D509" s="64" t="b">
        <f>IF(COUNTIF(AU$36:AU$52,Table8[[#This Row],[Date Day]]) &gt; 0, TRUE, FALSE)</f>
        <v>0</v>
      </c>
      <c r="E509" s="64">
        <f t="shared" si="14"/>
        <v>5</v>
      </c>
      <c r="F509" s="64">
        <v>1</v>
      </c>
      <c r="G509" s="65" t="str">
        <f>IF(Table8[[#This Row],[Weathersit]]=1, "BAD", IF(Table8[[#This Row],[Weathersit]]=2, "MODERATE", IF(Table8[[#This Row],[Weathersit]]=3, "GOOD")))</f>
        <v>BAD</v>
      </c>
      <c r="H509" s="64">
        <v>10</v>
      </c>
      <c r="I509" s="65" t="str">
        <f>IF(Table8[[#This Row],[Temp]]&lt;11, "COLD", IF(Table8[[#This Row],[Temp]]&lt;=25, "COMFORTABLE", "WARM"))</f>
        <v>COLD</v>
      </c>
      <c r="J509" s="64">
        <v>7.5800000000000006E-2</v>
      </c>
      <c r="K509" s="64">
        <v>0.33</v>
      </c>
      <c r="L509" s="66">
        <v>41.79</v>
      </c>
      <c r="M509" s="75" t="s">
        <v>84</v>
      </c>
      <c r="N509" s="64">
        <v>1</v>
      </c>
      <c r="O509" s="64">
        <v>52</v>
      </c>
      <c r="P509" s="64">
        <v>53</v>
      </c>
      <c r="Q509" s="64"/>
      <c r="R509" s="65" t="str">
        <f t="shared" si="15"/>
        <v>Week 3</v>
      </c>
      <c r="S509" s="65" t="str">
        <f>TEXT(Table8[[#This Row],[Date Day]],"mmm,YYYY")</f>
        <v>Jan,2011</v>
      </c>
    </row>
    <row r="510" spans="1:19" ht="15.6" x14ac:dyDescent="0.3">
      <c r="A510" s="62">
        <v>477</v>
      </c>
      <c r="B510" s="63">
        <v>40564</v>
      </c>
      <c r="C510" s="64">
        <v>21</v>
      </c>
      <c r="D510" s="64" t="b">
        <f>IF(COUNTIF(AU$36:AU$52,Table8[[#This Row],[Date Day]]) &gt; 0, TRUE, FALSE)</f>
        <v>0</v>
      </c>
      <c r="E510" s="64">
        <f t="shared" si="14"/>
        <v>5</v>
      </c>
      <c r="F510" s="64">
        <v>1</v>
      </c>
      <c r="G510" s="65" t="str">
        <f>IF(Table8[[#This Row],[Weathersit]]=1, "BAD", IF(Table8[[#This Row],[Weathersit]]=2, "MODERATE", IF(Table8[[#This Row],[Weathersit]]=3, "GOOD")))</f>
        <v>BAD</v>
      </c>
      <c r="H510" s="64">
        <v>8</v>
      </c>
      <c r="I510" s="65" t="str">
        <f>IF(Table8[[#This Row],[Temp]]&lt;11, "COLD", IF(Table8[[#This Row],[Temp]]&lt;=25, "COMFORTABLE", "WARM"))</f>
        <v>COLD</v>
      </c>
      <c r="J510" s="64">
        <v>7.5800000000000006E-2</v>
      </c>
      <c r="K510" s="64">
        <v>0.38</v>
      </c>
      <c r="L510" s="66">
        <v>28.360000000000003</v>
      </c>
      <c r="M510" s="75" t="s">
        <v>81</v>
      </c>
      <c r="N510" s="64">
        <v>0</v>
      </c>
      <c r="O510" s="64">
        <v>41</v>
      </c>
      <c r="P510" s="64">
        <v>41</v>
      </c>
      <c r="Q510" s="64"/>
      <c r="R510" s="65" t="str">
        <f t="shared" si="15"/>
        <v>Week 3</v>
      </c>
      <c r="S510" s="65" t="str">
        <f>TEXT(Table8[[#This Row],[Date Day]],"mmm,YYYY")</f>
        <v>Jan,2011</v>
      </c>
    </row>
    <row r="511" spans="1:19" ht="15.6" x14ac:dyDescent="0.3">
      <c r="A511" s="62">
        <v>478</v>
      </c>
      <c r="B511" s="63">
        <v>40564</v>
      </c>
      <c r="C511" s="64">
        <v>22</v>
      </c>
      <c r="D511" s="64" t="b">
        <f>IF(COUNTIF(AU$36:AU$52,Table8[[#This Row],[Date Day]]) &gt; 0, TRUE, FALSE)</f>
        <v>0</v>
      </c>
      <c r="E511" s="64">
        <f t="shared" si="14"/>
        <v>5</v>
      </c>
      <c r="F511" s="64">
        <v>1</v>
      </c>
      <c r="G511" s="65" t="str">
        <f>IF(Table8[[#This Row],[Weathersit]]=1, "BAD", IF(Table8[[#This Row],[Weathersit]]=2, "MODERATE", IF(Table8[[#This Row],[Weathersit]]=3, "GOOD")))</f>
        <v>BAD</v>
      </c>
      <c r="H511" s="64">
        <v>6</v>
      </c>
      <c r="I511" s="65" t="str">
        <f>IF(Table8[[#This Row],[Temp]]&lt;11, "COLD", IF(Table8[[#This Row],[Temp]]&lt;=25, "COMFORTABLE", "WARM"))</f>
        <v>COLD</v>
      </c>
      <c r="J511" s="64">
        <v>3.0300000000000001E-2</v>
      </c>
      <c r="K511" s="64">
        <v>0.41</v>
      </c>
      <c r="L511" s="66">
        <v>38.81</v>
      </c>
      <c r="M511" s="75" t="s">
        <v>84</v>
      </c>
      <c r="N511" s="64">
        <v>1</v>
      </c>
      <c r="O511" s="64">
        <v>33</v>
      </c>
      <c r="P511" s="64">
        <v>34</v>
      </c>
      <c r="Q511" s="64"/>
      <c r="R511" s="65" t="str">
        <f t="shared" si="15"/>
        <v>Week 3</v>
      </c>
      <c r="S511" s="65" t="str">
        <f>TEXT(Table8[[#This Row],[Date Day]],"mmm,YYYY")</f>
        <v>Jan,2011</v>
      </c>
    </row>
    <row r="512" spans="1:19" ht="15.6" x14ac:dyDescent="0.3">
      <c r="A512" s="62">
        <v>479</v>
      </c>
      <c r="B512" s="63">
        <v>40564</v>
      </c>
      <c r="C512" s="64">
        <v>23</v>
      </c>
      <c r="D512" s="64" t="b">
        <f>IF(COUNTIF(AU$36:AU$52,Table8[[#This Row],[Date Day]]) &gt; 0, TRUE, FALSE)</f>
        <v>0</v>
      </c>
      <c r="E512" s="64">
        <f t="shared" si="14"/>
        <v>5</v>
      </c>
      <c r="F512" s="64">
        <v>1</v>
      </c>
      <c r="G512" s="65" t="str">
        <f>IF(Table8[[#This Row],[Weathersit]]=1, "BAD", IF(Table8[[#This Row],[Weathersit]]=2, "MODERATE", IF(Table8[[#This Row],[Weathersit]]=3, "GOOD")))</f>
        <v>BAD</v>
      </c>
      <c r="H512" s="64">
        <v>6</v>
      </c>
      <c r="I512" s="65" t="str">
        <f>IF(Table8[[#This Row],[Temp]]&lt;11, "COLD", IF(Table8[[#This Row],[Temp]]&lt;=25, "COMFORTABLE", "WARM"))</f>
        <v>COLD</v>
      </c>
      <c r="J512" s="64">
        <v>4.5499999999999999E-2</v>
      </c>
      <c r="K512" s="64">
        <v>0.38</v>
      </c>
      <c r="L512" s="66">
        <v>32.840000000000003</v>
      </c>
      <c r="M512" s="75" t="s">
        <v>84</v>
      </c>
      <c r="N512" s="64">
        <v>0</v>
      </c>
      <c r="O512" s="64">
        <v>27</v>
      </c>
      <c r="P512" s="64">
        <v>27</v>
      </c>
      <c r="Q512" s="64"/>
      <c r="R512" s="65" t="str">
        <f t="shared" si="15"/>
        <v>Week 3</v>
      </c>
      <c r="S512" s="65" t="str">
        <f>TEXT(Table8[[#This Row],[Date Day]],"mmm,YYYY")</f>
        <v>Jan,2011</v>
      </c>
    </row>
    <row r="513" spans="1:19" ht="15.6" x14ac:dyDescent="0.3">
      <c r="A513" s="62">
        <v>480</v>
      </c>
      <c r="B513" s="63">
        <v>40565</v>
      </c>
      <c r="C513" s="64">
        <v>0</v>
      </c>
      <c r="D513" s="64" t="b">
        <f>IF(COUNTIF(AU$36:AU$52,Table8[[#This Row],[Date Day]]) &gt; 0, TRUE, FALSE)</f>
        <v>0</v>
      </c>
      <c r="E513" s="64">
        <f t="shared" si="14"/>
        <v>6</v>
      </c>
      <c r="F513" s="64">
        <v>1</v>
      </c>
      <c r="G513" s="65" t="str">
        <f>IF(Table8[[#This Row],[Weathersit]]=1, "BAD", IF(Table8[[#This Row],[Weathersit]]=2, "MODERATE", IF(Table8[[#This Row],[Weathersit]]=3, "GOOD")))</f>
        <v>BAD</v>
      </c>
      <c r="H513" s="64">
        <v>4</v>
      </c>
      <c r="I513" s="65" t="str">
        <f>IF(Table8[[#This Row],[Temp]]&lt;11, "COLD", IF(Table8[[#This Row],[Temp]]&lt;=25, "COMFORTABLE", "WARM"))</f>
        <v>COLD</v>
      </c>
      <c r="J513" s="64">
        <v>3.0300000000000001E-2</v>
      </c>
      <c r="K513" s="64">
        <v>0.45</v>
      </c>
      <c r="L513" s="66">
        <v>25.369999999999997</v>
      </c>
      <c r="M513" s="75" t="s">
        <v>81</v>
      </c>
      <c r="N513" s="64">
        <v>0</v>
      </c>
      <c r="O513" s="64">
        <v>13</v>
      </c>
      <c r="P513" s="64">
        <v>13</v>
      </c>
      <c r="Q513" s="64"/>
      <c r="R513" s="65" t="str">
        <f t="shared" si="15"/>
        <v>Week 4</v>
      </c>
      <c r="S513" s="65" t="str">
        <f>TEXT(Table8[[#This Row],[Date Day]],"mmm,YYYY")</f>
        <v>Jan,2011</v>
      </c>
    </row>
    <row r="514" spans="1:19" ht="15.6" x14ac:dyDescent="0.3">
      <c r="A514" s="62">
        <v>481</v>
      </c>
      <c r="B514" s="63">
        <v>40565</v>
      </c>
      <c r="C514" s="64">
        <v>1</v>
      </c>
      <c r="D514" s="64" t="b">
        <f>IF(COUNTIF(AU$36:AU$52,Table8[[#This Row],[Date Day]]) &gt; 0, TRUE, FALSE)</f>
        <v>0</v>
      </c>
      <c r="E514" s="64">
        <f t="shared" si="14"/>
        <v>6</v>
      </c>
      <c r="F514" s="64">
        <v>2</v>
      </c>
      <c r="G514" s="65" t="str">
        <f>IF(Table8[[#This Row],[Weathersit]]=1, "BAD", IF(Table8[[#This Row],[Weathersit]]=2, "MODERATE", IF(Table8[[#This Row],[Weathersit]]=3, "GOOD")))</f>
        <v>MODERATE</v>
      </c>
      <c r="H514" s="64">
        <v>4</v>
      </c>
      <c r="I514" s="65" t="str">
        <f>IF(Table8[[#This Row],[Temp]]&lt;11, "COLD", IF(Table8[[#This Row],[Temp]]&lt;=25, "COMFORTABLE", "WARM"))</f>
        <v>COLD</v>
      </c>
      <c r="J514" s="64">
        <v>0</v>
      </c>
      <c r="K514" s="64">
        <v>0.41</v>
      </c>
      <c r="L514" s="66">
        <v>38.81</v>
      </c>
      <c r="M514" s="75" t="s">
        <v>84</v>
      </c>
      <c r="N514" s="64">
        <v>3</v>
      </c>
      <c r="O514" s="64">
        <v>9</v>
      </c>
      <c r="P514" s="64">
        <v>12</v>
      </c>
      <c r="Q514" s="64"/>
      <c r="R514" s="65" t="str">
        <f t="shared" si="15"/>
        <v>Week 4</v>
      </c>
      <c r="S514" s="65" t="str">
        <f>TEXT(Table8[[#This Row],[Date Day]],"mmm,YYYY")</f>
        <v>Jan,2011</v>
      </c>
    </row>
    <row r="515" spans="1:19" ht="15.6" x14ac:dyDescent="0.3">
      <c r="A515" s="62">
        <v>482</v>
      </c>
      <c r="B515" s="63">
        <v>40565</v>
      </c>
      <c r="C515" s="64">
        <v>2</v>
      </c>
      <c r="D515" s="64" t="b">
        <f>IF(COUNTIF(AU$36:AU$52,Table8[[#This Row],[Date Day]]) &gt; 0, TRUE, FALSE)</f>
        <v>0</v>
      </c>
      <c r="E515" s="64">
        <f t="shared" si="14"/>
        <v>6</v>
      </c>
      <c r="F515" s="64">
        <v>2</v>
      </c>
      <c r="G515" s="65" t="str">
        <f>IF(Table8[[#This Row],[Weathersit]]=1, "BAD", IF(Table8[[#This Row],[Weathersit]]=2, "MODERATE", IF(Table8[[#This Row],[Weathersit]]=3, "GOOD")))</f>
        <v>MODERATE</v>
      </c>
      <c r="H515" s="64">
        <v>4</v>
      </c>
      <c r="I515" s="65" t="str">
        <f>IF(Table8[[#This Row],[Temp]]&lt;11, "COLD", IF(Table8[[#This Row],[Temp]]&lt;=25, "COMFORTABLE", "WARM"))</f>
        <v>COLD</v>
      </c>
      <c r="J515" s="64">
        <v>3.0300000000000001E-2</v>
      </c>
      <c r="K515" s="64">
        <v>0.41</v>
      </c>
      <c r="L515" s="66">
        <v>25.369999999999997</v>
      </c>
      <c r="M515" s="75" t="s">
        <v>81</v>
      </c>
      <c r="N515" s="64">
        <v>0</v>
      </c>
      <c r="O515" s="64">
        <v>11</v>
      </c>
      <c r="P515" s="64">
        <v>11</v>
      </c>
      <c r="Q515" s="64"/>
      <c r="R515" s="65" t="str">
        <f t="shared" si="15"/>
        <v>Week 4</v>
      </c>
      <c r="S515" s="65" t="str">
        <f>TEXT(Table8[[#This Row],[Date Day]],"mmm,YYYY")</f>
        <v>Jan,2011</v>
      </c>
    </row>
    <row r="516" spans="1:19" ht="15.6" x14ac:dyDescent="0.3">
      <c r="A516" s="62">
        <v>483</v>
      </c>
      <c r="B516" s="63">
        <v>40565</v>
      </c>
      <c r="C516" s="64">
        <v>3</v>
      </c>
      <c r="D516" s="64" t="b">
        <f>IF(COUNTIF(AU$36:AU$52,Table8[[#This Row],[Date Day]]) &gt; 0, TRUE, FALSE)</f>
        <v>0</v>
      </c>
      <c r="E516" s="64">
        <f t="shared" si="14"/>
        <v>6</v>
      </c>
      <c r="F516" s="64">
        <v>2</v>
      </c>
      <c r="G516" s="65" t="str">
        <f>IF(Table8[[#This Row],[Weathersit]]=1, "BAD", IF(Table8[[#This Row],[Weathersit]]=2, "MODERATE", IF(Table8[[#This Row],[Weathersit]]=3, "GOOD")))</f>
        <v>MODERATE</v>
      </c>
      <c r="H516" s="64">
        <v>4</v>
      </c>
      <c r="I516" s="65" t="str">
        <f>IF(Table8[[#This Row],[Temp]]&lt;11, "COLD", IF(Table8[[#This Row],[Temp]]&lt;=25, "COMFORTABLE", "WARM"))</f>
        <v>COLD</v>
      </c>
      <c r="J516" s="64">
        <v>3.0300000000000001E-2</v>
      </c>
      <c r="K516" s="64">
        <v>0.41</v>
      </c>
      <c r="L516" s="66">
        <v>28.360000000000003</v>
      </c>
      <c r="M516" s="75" t="s">
        <v>81</v>
      </c>
      <c r="N516" s="64">
        <v>1</v>
      </c>
      <c r="O516" s="64">
        <v>6</v>
      </c>
      <c r="P516" s="64">
        <v>7</v>
      </c>
      <c r="Q516" s="64"/>
      <c r="R516" s="65" t="str">
        <f t="shared" si="15"/>
        <v>Week 4</v>
      </c>
      <c r="S516" s="65" t="str">
        <f>TEXT(Table8[[#This Row],[Date Day]],"mmm,YYYY")</f>
        <v>Jan,2011</v>
      </c>
    </row>
    <row r="517" spans="1:19" ht="15.6" x14ac:dyDescent="0.3">
      <c r="A517" s="62">
        <v>484</v>
      </c>
      <c r="B517" s="63">
        <v>40565</v>
      </c>
      <c r="C517" s="64">
        <v>4</v>
      </c>
      <c r="D517" s="64" t="b">
        <f>IF(COUNTIF(AU$36:AU$52,Table8[[#This Row],[Date Day]]) &gt; 0, TRUE, FALSE)</f>
        <v>0</v>
      </c>
      <c r="E517" s="64">
        <f t="shared" si="14"/>
        <v>6</v>
      </c>
      <c r="F517" s="64">
        <v>2</v>
      </c>
      <c r="G517" s="65" t="str">
        <f>IF(Table8[[#This Row],[Weathersit]]=1, "BAD", IF(Table8[[#This Row],[Weathersit]]=2, "MODERATE", IF(Table8[[#This Row],[Weathersit]]=3, "GOOD")))</f>
        <v>MODERATE</v>
      </c>
      <c r="H517" s="64">
        <v>2</v>
      </c>
      <c r="I517" s="65" t="str">
        <f>IF(Table8[[#This Row],[Temp]]&lt;11, "COLD", IF(Table8[[#This Row],[Temp]]&lt;=25, "COMFORTABLE", "WARM"))</f>
        <v>COLD</v>
      </c>
      <c r="J517" s="64">
        <v>1.52E-2</v>
      </c>
      <c r="K517" s="64">
        <v>0.48</v>
      </c>
      <c r="L517" s="66">
        <v>29.849999999999998</v>
      </c>
      <c r="M517" s="75" t="s">
        <v>81</v>
      </c>
      <c r="N517" s="64">
        <v>0</v>
      </c>
      <c r="O517" s="64">
        <v>3</v>
      </c>
      <c r="P517" s="64">
        <v>3</v>
      </c>
      <c r="Q517" s="64"/>
      <c r="R517" s="65" t="str">
        <f t="shared" si="15"/>
        <v>Week 4</v>
      </c>
      <c r="S517" s="65" t="str">
        <f>TEXT(Table8[[#This Row],[Date Day]],"mmm,YYYY")</f>
        <v>Jan,2011</v>
      </c>
    </row>
    <row r="518" spans="1:19" ht="15.6" x14ac:dyDescent="0.3">
      <c r="A518" s="62">
        <v>485</v>
      </c>
      <c r="B518" s="63">
        <v>40565</v>
      </c>
      <c r="C518" s="64">
        <v>6</v>
      </c>
      <c r="D518" s="64" t="b">
        <f>IF(COUNTIF(AU$36:AU$52,Table8[[#This Row],[Date Day]]) &gt; 0, TRUE, FALSE)</f>
        <v>0</v>
      </c>
      <c r="E518" s="64">
        <f t="shared" si="14"/>
        <v>6</v>
      </c>
      <c r="F518" s="64">
        <v>2</v>
      </c>
      <c r="G518" s="65" t="str">
        <f>IF(Table8[[#This Row],[Weathersit]]=1, "BAD", IF(Table8[[#This Row],[Weathersit]]=2, "MODERATE", IF(Table8[[#This Row],[Weathersit]]=3, "GOOD")))</f>
        <v>MODERATE</v>
      </c>
      <c r="H518" s="64">
        <v>2</v>
      </c>
      <c r="I518" s="65" t="str">
        <f>IF(Table8[[#This Row],[Temp]]&lt;11, "COLD", IF(Table8[[#This Row],[Temp]]&lt;=25, "COMFORTABLE", "WARM"))</f>
        <v>COLD</v>
      </c>
      <c r="J518" s="64">
        <v>3.0300000000000001E-2</v>
      </c>
      <c r="K518" s="64">
        <v>0.44</v>
      </c>
      <c r="L518" s="66">
        <v>22.39</v>
      </c>
      <c r="M518" s="75" t="s">
        <v>81</v>
      </c>
      <c r="N518" s="64">
        <v>0</v>
      </c>
      <c r="O518" s="64">
        <v>2</v>
      </c>
      <c r="P518" s="64">
        <v>2</v>
      </c>
      <c r="Q518" s="64"/>
      <c r="R518" s="65" t="str">
        <f t="shared" si="15"/>
        <v>Week 4</v>
      </c>
      <c r="S518" s="65" t="str">
        <f>TEXT(Table8[[#This Row],[Date Day]],"mmm,YYYY")</f>
        <v>Jan,2011</v>
      </c>
    </row>
    <row r="519" spans="1:19" ht="15.6" x14ac:dyDescent="0.3">
      <c r="A519" s="62">
        <v>486</v>
      </c>
      <c r="B519" s="63">
        <v>40565</v>
      </c>
      <c r="C519" s="64">
        <v>7</v>
      </c>
      <c r="D519" s="64" t="b">
        <f>IF(COUNTIF(AU$36:AU$52,Table8[[#This Row],[Date Day]]) &gt; 0, TRUE, FALSE)</f>
        <v>0</v>
      </c>
      <c r="E519" s="64">
        <f t="shared" si="14"/>
        <v>6</v>
      </c>
      <c r="F519" s="64">
        <v>1</v>
      </c>
      <c r="G519" s="65" t="str">
        <f>IF(Table8[[#This Row],[Weathersit]]=1, "BAD", IF(Table8[[#This Row],[Weathersit]]=2, "MODERATE", IF(Table8[[#This Row],[Weathersit]]=3, "GOOD")))</f>
        <v>BAD</v>
      </c>
      <c r="H519" s="64">
        <v>2</v>
      </c>
      <c r="I519" s="65" t="str">
        <f>IF(Table8[[#This Row],[Temp]]&lt;11, "COLD", IF(Table8[[#This Row],[Temp]]&lt;=25, "COMFORTABLE", "WARM"))</f>
        <v>COLD</v>
      </c>
      <c r="J519" s="64">
        <v>1.52E-2</v>
      </c>
      <c r="K519" s="64">
        <v>0.44</v>
      </c>
      <c r="L519" s="66">
        <v>28.360000000000003</v>
      </c>
      <c r="M519" s="75" t="s">
        <v>81</v>
      </c>
      <c r="N519" s="64">
        <v>0</v>
      </c>
      <c r="O519" s="64">
        <v>8</v>
      </c>
      <c r="P519" s="64">
        <v>8</v>
      </c>
      <c r="Q519" s="64"/>
      <c r="R519" s="65" t="str">
        <f t="shared" si="15"/>
        <v>Week 4</v>
      </c>
      <c r="S519" s="65" t="str">
        <f>TEXT(Table8[[#This Row],[Date Day]],"mmm,YYYY")</f>
        <v>Jan,2011</v>
      </c>
    </row>
    <row r="520" spans="1:19" ht="15.6" x14ac:dyDescent="0.3">
      <c r="A520" s="62">
        <v>487</v>
      </c>
      <c r="B520" s="63">
        <v>40565</v>
      </c>
      <c r="C520" s="64">
        <v>8</v>
      </c>
      <c r="D520" s="64" t="b">
        <f>IF(COUNTIF(AU$36:AU$52,Table8[[#This Row],[Date Day]]) &gt; 0, TRUE, FALSE)</f>
        <v>0</v>
      </c>
      <c r="E520" s="64">
        <f t="shared" si="14"/>
        <v>6</v>
      </c>
      <c r="F520" s="64">
        <v>1</v>
      </c>
      <c r="G520" s="65" t="str">
        <f>IF(Table8[[#This Row],[Weathersit]]=1, "BAD", IF(Table8[[#This Row],[Weathersit]]=2, "MODERATE", IF(Table8[[#This Row],[Weathersit]]=3, "GOOD")))</f>
        <v>BAD</v>
      </c>
      <c r="H520" s="64">
        <v>2</v>
      </c>
      <c r="I520" s="65" t="str">
        <f>IF(Table8[[#This Row],[Temp]]&lt;11, "COLD", IF(Table8[[#This Row],[Temp]]&lt;=25, "COMFORTABLE", "WARM"))</f>
        <v>COLD</v>
      </c>
      <c r="J520" s="64">
        <v>0</v>
      </c>
      <c r="K520" s="64">
        <v>0.44</v>
      </c>
      <c r="L520" s="66">
        <v>32.840000000000003</v>
      </c>
      <c r="M520" s="75" t="s">
        <v>84</v>
      </c>
      <c r="N520" s="64">
        <v>1</v>
      </c>
      <c r="O520" s="64">
        <v>26</v>
      </c>
      <c r="P520" s="64">
        <v>27</v>
      </c>
      <c r="Q520" s="64"/>
      <c r="R520" s="65" t="str">
        <f t="shared" si="15"/>
        <v>Week 4</v>
      </c>
      <c r="S520" s="65" t="str">
        <f>TEXT(Table8[[#This Row],[Date Day]],"mmm,YYYY")</f>
        <v>Jan,2011</v>
      </c>
    </row>
    <row r="521" spans="1:19" ht="15.6" x14ac:dyDescent="0.3">
      <c r="A521" s="62">
        <v>488</v>
      </c>
      <c r="B521" s="63">
        <v>40565</v>
      </c>
      <c r="C521" s="64">
        <v>9</v>
      </c>
      <c r="D521" s="64" t="b">
        <f>IF(COUNTIF(AU$36:AU$52,Table8[[#This Row],[Date Day]]) &gt; 0, TRUE, FALSE)</f>
        <v>0</v>
      </c>
      <c r="E521" s="64">
        <f t="shared" si="14"/>
        <v>6</v>
      </c>
      <c r="F521" s="64">
        <v>1</v>
      </c>
      <c r="G521" s="65" t="str">
        <f>IF(Table8[[#This Row],[Weathersit]]=1, "BAD", IF(Table8[[#This Row],[Weathersit]]=2, "MODERATE", IF(Table8[[#This Row],[Weathersit]]=3, "GOOD")))</f>
        <v>BAD</v>
      </c>
      <c r="H521" s="64">
        <v>4</v>
      </c>
      <c r="I521" s="65" t="str">
        <f>IF(Table8[[#This Row],[Temp]]&lt;11, "COLD", IF(Table8[[#This Row],[Temp]]&lt;=25, "COMFORTABLE", "WARM"))</f>
        <v>COLD</v>
      </c>
      <c r="J521" s="64">
        <v>3.0300000000000001E-2</v>
      </c>
      <c r="K521" s="64">
        <v>0.41</v>
      </c>
      <c r="L521" s="66">
        <v>25.369999999999997</v>
      </c>
      <c r="M521" s="75" t="s">
        <v>81</v>
      </c>
      <c r="N521" s="64">
        <v>3</v>
      </c>
      <c r="O521" s="64">
        <v>37</v>
      </c>
      <c r="P521" s="64">
        <v>40</v>
      </c>
      <c r="Q521" s="64"/>
      <c r="R521" s="65" t="str">
        <f t="shared" si="15"/>
        <v>Week 4</v>
      </c>
      <c r="S521" s="65" t="str">
        <f>TEXT(Table8[[#This Row],[Date Day]],"mmm,YYYY")</f>
        <v>Jan,2011</v>
      </c>
    </row>
    <row r="522" spans="1:19" ht="15.6" x14ac:dyDescent="0.3">
      <c r="A522" s="62">
        <v>489</v>
      </c>
      <c r="B522" s="63">
        <v>40565</v>
      </c>
      <c r="C522" s="64">
        <v>10</v>
      </c>
      <c r="D522" s="64" t="b">
        <f>IF(COUNTIF(AU$36:AU$52,Table8[[#This Row],[Date Day]]) &gt; 0, TRUE, FALSE)</f>
        <v>0</v>
      </c>
      <c r="E522" s="64">
        <f t="shared" si="14"/>
        <v>6</v>
      </c>
      <c r="F522" s="64">
        <v>2</v>
      </c>
      <c r="G522" s="65" t="str">
        <f>IF(Table8[[#This Row],[Weathersit]]=1, "BAD", IF(Table8[[#This Row],[Weathersit]]=2, "MODERATE", IF(Table8[[#This Row],[Weathersit]]=3, "GOOD")))</f>
        <v>MODERATE</v>
      </c>
      <c r="H522" s="64">
        <v>4</v>
      </c>
      <c r="I522" s="65" t="str">
        <f>IF(Table8[[#This Row],[Temp]]&lt;11, "COLD", IF(Table8[[#This Row],[Temp]]&lt;=25, "COMFORTABLE", "WARM"))</f>
        <v>COLD</v>
      </c>
      <c r="J522" s="64">
        <v>6.0600000000000001E-2</v>
      </c>
      <c r="K522" s="64">
        <v>0.41</v>
      </c>
      <c r="L522" s="66">
        <v>16.420000000000002</v>
      </c>
      <c r="M522" s="75" t="s">
        <v>80</v>
      </c>
      <c r="N522" s="64">
        <v>3</v>
      </c>
      <c r="O522" s="64">
        <v>50</v>
      </c>
      <c r="P522" s="64">
        <v>53</v>
      </c>
      <c r="Q522" s="64"/>
      <c r="R522" s="65" t="str">
        <f t="shared" si="15"/>
        <v>Week 4</v>
      </c>
      <c r="S522" s="65" t="str">
        <f>TEXT(Table8[[#This Row],[Date Day]],"mmm,YYYY")</f>
        <v>Jan,2011</v>
      </c>
    </row>
    <row r="523" spans="1:19" ht="15.6" x14ac:dyDescent="0.3">
      <c r="A523" s="62">
        <v>490</v>
      </c>
      <c r="B523" s="63">
        <v>40565</v>
      </c>
      <c r="C523" s="64">
        <v>11</v>
      </c>
      <c r="D523" s="64" t="b">
        <f>IF(COUNTIF(AU$36:AU$52,Table8[[#This Row],[Date Day]]) &gt; 0, TRUE, FALSE)</f>
        <v>0</v>
      </c>
      <c r="E523" s="64">
        <f t="shared" si="14"/>
        <v>6</v>
      </c>
      <c r="F523" s="64">
        <v>2</v>
      </c>
      <c r="G523" s="65" t="str">
        <f>IF(Table8[[#This Row],[Weathersit]]=1, "BAD", IF(Table8[[#This Row],[Weathersit]]=2, "MODERATE", IF(Table8[[#This Row],[Weathersit]]=3, "GOOD")))</f>
        <v>MODERATE</v>
      </c>
      <c r="H523" s="64">
        <v>6</v>
      </c>
      <c r="I523" s="65" t="str">
        <f>IF(Table8[[#This Row],[Temp]]&lt;11, "COLD", IF(Table8[[#This Row],[Temp]]&lt;=25, "COMFORTABLE", "WARM"))</f>
        <v>COLD</v>
      </c>
      <c r="J523" s="64">
        <v>7.5800000000000006E-2</v>
      </c>
      <c r="K523" s="64">
        <v>0.38</v>
      </c>
      <c r="L523" s="66">
        <v>13.43</v>
      </c>
      <c r="M523" s="75" t="s">
        <v>80</v>
      </c>
      <c r="N523" s="64">
        <v>4</v>
      </c>
      <c r="O523" s="64">
        <v>59</v>
      </c>
      <c r="P523" s="64">
        <v>63</v>
      </c>
      <c r="Q523" s="64"/>
      <c r="R523" s="65" t="str">
        <f t="shared" si="15"/>
        <v>Week 4</v>
      </c>
      <c r="S523" s="65" t="str">
        <f>TEXT(Table8[[#This Row],[Date Day]],"mmm,YYYY")</f>
        <v>Jan,2011</v>
      </c>
    </row>
    <row r="524" spans="1:19" ht="15.6" x14ac:dyDescent="0.3">
      <c r="A524" s="62">
        <v>491</v>
      </c>
      <c r="B524" s="63">
        <v>40565</v>
      </c>
      <c r="C524" s="64">
        <v>12</v>
      </c>
      <c r="D524" s="64" t="b">
        <f>IF(COUNTIF(AU$36:AU$52,Table8[[#This Row],[Date Day]]) &gt; 0, TRUE, FALSE)</f>
        <v>0</v>
      </c>
      <c r="E524" s="64">
        <f t="shared" si="14"/>
        <v>6</v>
      </c>
      <c r="F524" s="64">
        <v>2</v>
      </c>
      <c r="G524" s="65" t="str">
        <f>IF(Table8[[#This Row],[Weathersit]]=1, "BAD", IF(Table8[[#This Row],[Weathersit]]=2, "MODERATE", IF(Table8[[#This Row],[Weathersit]]=3, "GOOD")))</f>
        <v>MODERATE</v>
      </c>
      <c r="H524" s="64">
        <v>6</v>
      </c>
      <c r="I524" s="65" t="str">
        <f>IF(Table8[[#This Row],[Temp]]&lt;11, "COLD", IF(Table8[[#This Row],[Temp]]&lt;=25, "COMFORTABLE", "WARM"))</f>
        <v>COLD</v>
      </c>
      <c r="J524" s="64">
        <v>0.1061</v>
      </c>
      <c r="K524" s="64">
        <v>0.38</v>
      </c>
      <c r="L524" s="66">
        <v>10.45</v>
      </c>
      <c r="M524" s="75" t="s">
        <v>80</v>
      </c>
      <c r="N524" s="64">
        <v>10</v>
      </c>
      <c r="O524" s="64">
        <v>60</v>
      </c>
      <c r="P524" s="64">
        <v>70</v>
      </c>
      <c r="Q524" s="64"/>
      <c r="R524" s="65" t="str">
        <f t="shared" si="15"/>
        <v>Week 4</v>
      </c>
      <c r="S524" s="65" t="str">
        <f>TEXT(Table8[[#This Row],[Date Day]],"mmm,YYYY")</f>
        <v>Jan,2011</v>
      </c>
    </row>
    <row r="525" spans="1:19" ht="15.6" x14ac:dyDescent="0.3">
      <c r="A525" s="62">
        <v>492</v>
      </c>
      <c r="B525" s="63">
        <v>40565</v>
      </c>
      <c r="C525" s="64">
        <v>13</v>
      </c>
      <c r="D525" s="64" t="b">
        <f>IF(COUNTIF(AU$36:AU$52,Table8[[#This Row],[Date Day]]) &gt; 0, TRUE, FALSE)</f>
        <v>0</v>
      </c>
      <c r="E525" s="64">
        <f t="shared" si="14"/>
        <v>6</v>
      </c>
      <c r="F525" s="64">
        <v>1</v>
      </c>
      <c r="G525" s="65" t="str">
        <f>IF(Table8[[#This Row],[Weathersit]]=1, "BAD", IF(Table8[[#This Row],[Weathersit]]=2, "MODERATE", IF(Table8[[#This Row],[Weathersit]]=3, "GOOD")))</f>
        <v>BAD</v>
      </c>
      <c r="H525" s="64">
        <v>8</v>
      </c>
      <c r="I525" s="65" t="str">
        <f>IF(Table8[[#This Row],[Temp]]&lt;11, "COLD", IF(Table8[[#This Row],[Temp]]&lt;=25, "COMFORTABLE", "WARM"))</f>
        <v>COLD</v>
      </c>
      <c r="J525" s="64">
        <v>0.16669999999999999</v>
      </c>
      <c r="K525" s="64">
        <v>0.35</v>
      </c>
      <c r="L525" s="66">
        <v>20.485098360655737</v>
      </c>
      <c r="M525" s="75" t="s">
        <v>81</v>
      </c>
      <c r="N525" s="64">
        <v>12</v>
      </c>
      <c r="O525" s="64">
        <v>72</v>
      </c>
      <c r="P525" s="64">
        <v>84</v>
      </c>
      <c r="Q525" s="64"/>
      <c r="R525" s="65" t="str">
        <f t="shared" si="15"/>
        <v>Week 4</v>
      </c>
      <c r="S525" s="65" t="str">
        <f>TEXT(Table8[[#This Row],[Date Day]],"mmm,YYYY")</f>
        <v>Jan,2011</v>
      </c>
    </row>
    <row r="526" spans="1:19" ht="15.6" x14ac:dyDescent="0.3">
      <c r="A526" s="62">
        <v>493</v>
      </c>
      <c r="B526" s="63">
        <v>40565</v>
      </c>
      <c r="C526" s="64">
        <v>14</v>
      </c>
      <c r="D526" s="64" t="b">
        <f>IF(COUNTIF(AU$36:AU$52,Table8[[#This Row],[Date Day]]) &gt; 0, TRUE, FALSE)</f>
        <v>0</v>
      </c>
      <c r="E526" s="64">
        <f t="shared" si="14"/>
        <v>6</v>
      </c>
      <c r="F526" s="64">
        <v>1</v>
      </c>
      <c r="G526" s="65" t="str">
        <f>IF(Table8[[#This Row],[Weathersit]]=1, "BAD", IF(Table8[[#This Row],[Weathersit]]=2, "MODERATE", IF(Table8[[#This Row],[Weathersit]]=3, "GOOD")))</f>
        <v>BAD</v>
      </c>
      <c r="H526" s="64">
        <v>10</v>
      </c>
      <c r="I526" s="65" t="str">
        <f>IF(Table8[[#This Row],[Temp]]&lt;11, "COLD", IF(Table8[[#This Row],[Temp]]&lt;=25, "COMFORTABLE", "WARM"))</f>
        <v>COLD</v>
      </c>
      <c r="J526" s="64">
        <v>0.13639999999999999</v>
      </c>
      <c r="K526" s="64">
        <v>0.33</v>
      </c>
      <c r="L526" s="66">
        <v>10.45</v>
      </c>
      <c r="M526" s="75" t="s">
        <v>80</v>
      </c>
      <c r="N526" s="64">
        <v>11</v>
      </c>
      <c r="O526" s="64">
        <v>64</v>
      </c>
      <c r="P526" s="64">
        <v>75</v>
      </c>
      <c r="Q526" s="64"/>
      <c r="R526" s="65" t="str">
        <f t="shared" si="15"/>
        <v>Week 4</v>
      </c>
      <c r="S526" s="65" t="str">
        <f>TEXT(Table8[[#This Row],[Date Day]],"mmm,YYYY")</f>
        <v>Jan,2011</v>
      </c>
    </row>
    <row r="527" spans="1:19" ht="15.6" x14ac:dyDescent="0.3">
      <c r="A527" s="62">
        <v>494</v>
      </c>
      <c r="B527" s="63">
        <v>40565</v>
      </c>
      <c r="C527" s="64">
        <v>15</v>
      </c>
      <c r="D527" s="64" t="b">
        <f>IF(COUNTIF(AU$36:AU$52,Table8[[#This Row],[Date Day]]) &gt; 0, TRUE, FALSE)</f>
        <v>0</v>
      </c>
      <c r="E527" s="64">
        <f t="shared" si="14"/>
        <v>6</v>
      </c>
      <c r="F527" s="64">
        <v>1</v>
      </c>
      <c r="G527" s="65" t="str">
        <f>IF(Table8[[#This Row],[Weathersit]]=1, "BAD", IF(Table8[[#This Row],[Weathersit]]=2, "MODERATE", IF(Table8[[#This Row],[Weathersit]]=3, "GOOD")))</f>
        <v>BAD</v>
      </c>
      <c r="H527" s="64">
        <v>12</v>
      </c>
      <c r="I527" s="65" t="str">
        <f>IF(Table8[[#This Row],[Temp]]&lt;11, "COLD", IF(Table8[[#This Row],[Temp]]&lt;=25, "COMFORTABLE", "WARM"))</f>
        <v>COMFORTABLE</v>
      </c>
      <c r="J527" s="64">
        <v>0.1515</v>
      </c>
      <c r="K527" s="64">
        <v>0.28000000000000003</v>
      </c>
      <c r="L527" s="66">
        <v>20.485098360655737</v>
      </c>
      <c r="M527" s="75" t="s">
        <v>81</v>
      </c>
      <c r="N527" s="64">
        <v>10</v>
      </c>
      <c r="O527" s="64">
        <v>93</v>
      </c>
      <c r="P527" s="64">
        <v>103</v>
      </c>
      <c r="Q527" s="64"/>
      <c r="R527" s="65" t="str">
        <f t="shared" si="15"/>
        <v>Week 4</v>
      </c>
      <c r="S527" s="65" t="str">
        <f>TEXT(Table8[[#This Row],[Date Day]],"mmm,YYYY")</f>
        <v>Jan,2011</v>
      </c>
    </row>
    <row r="528" spans="1:19" ht="15.6" x14ac:dyDescent="0.3">
      <c r="A528" s="62">
        <v>495</v>
      </c>
      <c r="B528" s="63">
        <v>40565</v>
      </c>
      <c r="C528" s="64">
        <v>16</v>
      </c>
      <c r="D528" s="64" t="b">
        <f>IF(COUNTIF(AU$36:AU$52,Table8[[#This Row],[Date Day]]) &gt; 0, TRUE, FALSE)</f>
        <v>0</v>
      </c>
      <c r="E528" s="64">
        <f t="shared" si="14"/>
        <v>6</v>
      </c>
      <c r="F528" s="64">
        <v>1</v>
      </c>
      <c r="G528" s="65" t="str">
        <f>IF(Table8[[#This Row],[Weathersit]]=1, "BAD", IF(Table8[[#This Row],[Weathersit]]=2, "MODERATE", IF(Table8[[#This Row],[Weathersit]]=3, "GOOD")))</f>
        <v>BAD</v>
      </c>
      <c r="H528" s="64">
        <v>12</v>
      </c>
      <c r="I528" s="65" t="str">
        <f>IF(Table8[[#This Row],[Temp]]&lt;11, "COLD", IF(Table8[[#This Row],[Temp]]&lt;=25, "COMFORTABLE", "WARM"))</f>
        <v>COMFORTABLE</v>
      </c>
      <c r="J528" s="64">
        <v>0.13639999999999999</v>
      </c>
      <c r="K528" s="64">
        <v>0.28000000000000003</v>
      </c>
      <c r="L528" s="66">
        <v>19.400000000000002</v>
      </c>
      <c r="M528" s="75" t="s">
        <v>80</v>
      </c>
      <c r="N528" s="64">
        <v>11</v>
      </c>
      <c r="O528" s="64">
        <v>72</v>
      </c>
      <c r="P528" s="64">
        <v>83</v>
      </c>
      <c r="Q528" s="64"/>
      <c r="R528" s="65" t="str">
        <f t="shared" si="15"/>
        <v>Week 4</v>
      </c>
      <c r="S528" s="65" t="str">
        <f>TEXT(Table8[[#This Row],[Date Day]],"mmm,YYYY")</f>
        <v>Jan,2011</v>
      </c>
    </row>
    <row r="529" spans="1:19" ht="15.6" x14ac:dyDescent="0.3">
      <c r="A529" s="62">
        <v>496</v>
      </c>
      <c r="B529" s="63">
        <v>40565</v>
      </c>
      <c r="C529" s="64">
        <v>17</v>
      </c>
      <c r="D529" s="64" t="b">
        <f>IF(COUNTIF(AU$36:AU$52,Table8[[#This Row],[Date Day]]) &gt; 0, TRUE, FALSE)</f>
        <v>0</v>
      </c>
      <c r="E529" s="64">
        <f t="shared" si="14"/>
        <v>6</v>
      </c>
      <c r="F529" s="64">
        <v>1</v>
      </c>
      <c r="G529" s="65" t="str">
        <f>IF(Table8[[#This Row],[Weathersit]]=1, "BAD", IF(Table8[[#This Row],[Weathersit]]=2, "MODERATE", IF(Table8[[#This Row],[Weathersit]]=3, "GOOD")))</f>
        <v>BAD</v>
      </c>
      <c r="H529" s="64">
        <v>12</v>
      </c>
      <c r="I529" s="65" t="str">
        <f>IF(Table8[[#This Row],[Temp]]&lt;11, "COLD", IF(Table8[[#This Row],[Temp]]&lt;=25, "COMFORTABLE", "WARM"))</f>
        <v>COMFORTABLE</v>
      </c>
      <c r="J529" s="64">
        <v>0.19700000000000001</v>
      </c>
      <c r="K529" s="64">
        <v>0.28000000000000003</v>
      </c>
      <c r="L529" s="66">
        <v>20.485098360655737</v>
      </c>
      <c r="M529" s="75" t="s">
        <v>81</v>
      </c>
      <c r="N529" s="64">
        <v>8</v>
      </c>
      <c r="O529" s="64">
        <v>59</v>
      </c>
      <c r="P529" s="64">
        <v>67</v>
      </c>
      <c r="Q529" s="64"/>
      <c r="R529" s="65" t="str">
        <f t="shared" si="15"/>
        <v>Week 4</v>
      </c>
      <c r="S529" s="65" t="str">
        <f>TEXT(Table8[[#This Row],[Date Day]],"mmm,YYYY")</f>
        <v>Jan,2011</v>
      </c>
    </row>
    <row r="530" spans="1:19" ht="15.6" x14ac:dyDescent="0.3">
      <c r="A530" s="62">
        <v>497</v>
      </c>
      <c r="B530" s="63">
        <v>40565</v>
      </c>
      <c r="C530" s="64">
        <v>18</v>
      </c>
      <c r="D530" s="64" t="b">
        <f>IF(COUNTIF(AU$36:AU$52,Table8[[#This Row],[Date Day]]) &gt; 0, TRUE, FALSE)</f>
        <v>0</v>
      </c>
      <c r="E530" s="64">
        <f t="shared" si="14"/>
        <v>6</v>
      </c>
      <c r="F530" s="64">
        <v>1</v>
      </c>
      <c r="G530" s="65" t="str">
        <f>IF(Table8[[#This Row],[Weathersit]]=1, "BAD", IF(Table8[[#This Row],[Weathersit]]=2, "MODERATE", IF(Table8[[#This Row],[Weathersit]]=3, "GOOD")))</f>
        <v>BAD</v>
      </c>
      <c r="H530" s="64">
        <v>8</v>
      </c>
      <c r="I530" s="65" t="str">
        <f>IF(Table8[[#This Row],[Temp]]&lt;11, "COLD", IF(Table8[[#This Row],[Temp]]&lt;=25, "COMFORTABLE", "WARM"))</f>
        <v>COLD</v>
      </c>
      <c r="J530" s="64">
        <v>9.0899999999999995E-2</v>
      </c>
      <c r="K530" s="64">
        <v>0.35</v>
      </c>
      <c r="L530" s="66">
        <v>19.400000000000002</v>
      </c>
      <c r="M530" s="75" t="s">
        <v>80</v>
      </c>
      <c r="N530" s="64">
        <v>0</v>
      </c>
      <c r="O530" s="64">
        <v>54</v>
      </c>
      <c r="P530" s="64">
        <v>54</v>
      </c>
      <c r="Q530" s="64"/>
      <c r="R530" s="65" t="str">
        <f t="shared" si="15"/>
        <v>Week 4</v>
      </c>
      <c r="S530" s="65" t="str">
        <f>TEXT(Table8[[#This Row],[Date Day]],"mmm,YYYY")</f>
        <v>Jan,2011</v>
      </c>
    </row>
    <row r="531" spans="1:19" ht="15.6" x14ac:dyDescent="0.3">
      <c r="A531" s="62">
        <v>498</v>
      </c>
      <c r="B531" s="63">
        <v>40565</v>
      </c>
      <c r="C531" s="64">
        <v>19</v>
      </c>
      <c r="D531" s="64" t="b">
        <f>IF(COUNTIF(AU$36:AU$52,Table8[[#This Row],[Date Day]]) &gt; 0, TRUE, FALSE)</f>
        <v>0</v>
      </c>
      <c r="E531" s="64">
        <f t="shared" si="14"/>
        <v>6</v>
      </c>
      <c r="F531" s="64">
        <v>1</v>
      </c>
      <c r="G531" s="65" t="str">
        <f>IF(Table8[[#This Row],[Weathersit]]=1, "BAD", IF(Table8[[#This Row],[Weathersit]]=2, "MODERATE", IF(Table8[[#This Row],[Weathersit]]=3, "GOOD")))</f>
        <v>BAD</v>
      </c>
      <c r="H531" s="64">
        <v>8</v>
      </c>
      <c r="I531" s="65" t="str">
        <f>IF(Table8[[#This Row],[Temp]]&lt;11, "COLD", IF(Table8[[#This Row],[Temp]]&lt;=25, "COMFORTABLE", "WARM"))</f>
        <v>COLD</v>
      </c>
      <c r="J531" s="64">
        <v>0.1061</v>
      </c>
      <c r="K531" s="64">
        <v>0.35</v>
      </c>
      <c r="L531" s="66">
        <v>13.43</v>
      </c>
      <c r="M531" s="75" t="s">
        <v>80</v>
      </c>
      <c r="N531" s="64">
        <v>6</v>
      </c>
      <c r="O531" s="64">
        <v>53</v>
      </c>
      <c r="P531" s="64">
        <v>59</v>
      </c>
      <c r="Q531" s="64"/>
      <c r="R531" s="65" t="str">
        <f t="shared" si="15"/>
        <v>Week 4</v>
      </c>
      <c r="S531" s="65" t="str">
        <f>TEXT(Table8[[#This Row],[Date Day]],"mmm,YYYY")</f>
        <v>Jan,2011</v>
      </c>
    </row>
    <row r="532" spans="1:19" ht="15.6" x14ac:dyDescent="0.3">
      <c r="A532" s="62">
        <v>499</v>
      </c>
      <c r="B532" s="63">
        <v>40565</v>
      </c>
      <c r="C532" s="64">
        <v>20</v>
      </c>
      <c r="D532" s="64" t="b">
        <f>IF(COUNTIF(AU$36:AU$52,Table8[[#This Row],[Date Day]]) &gt; 0, TRUE, FALSE)</f>
        <v>0</v>
      </c>
      <c r="E532" s="64">
        <f t="shared" si="14"/>
        <v>6</v>
      </c>
      <c r="F532" s="64">
        <v>1</v>
      </c>
      <c r="G532" s="65" t="str">
        <f>IF(Table8[[#This Row],[Weathersit]]=1, "BAD", IF(Table8[[#This Row],[Weathersit]]=2, "MODERATE", IF(Table8[[#This Row],[Weathersit]]=3, "GOOD")))</f>
        <v>BAD</v>
      </c>
      <c r="H532" s="64">
        <v>6</v>
      </c>
      <c r="I532" s="65" t="str">
        <f>IF(Table8[[#This Row],[Temp]]&lt;11, "COLD", IF(Table8[[#This Row],[Temp]]&lt;=25, "COMFORTABLE", "WARM"))</f>
        <v>COLD</v>
      </c>
      <c r="J532" s="64">
        <v>7.5800000000000006E-2</v>
      </c>
      <c r="K532" s="64">
        <v>0.45</v>
      </c>
      <c r="L532" s="66">
        <v>16.420000000000002</v>
      </c>
      <c r="M532" s="75" t="s">
        <v>80</v>
      </c>
      <c r="N532" s="64">
        <v>1</v>
      </c>
      <c r="O532" s="64">
        <v>44</v>
      </c>
      <c r="P532" s="64">
        <v>45</v>
      </c>
      <c r="Q532" s="64"/>
      <c r="R532" s="65" t="str">
        <f t="shared" si="15"/>
        <v>Week 4</v>
      </c>
      <c r="S532" s="65" t="str">
        <f>TEXT(Table8[[#This Row],[Date Day]],"mmm,YYYY")</f>
        <v>Jan,2011</v>
      </c>
    </row>
    <row r="533" spans="1:19" ht="15.6" x14ac:dyDescent="0.3">
      <c r="A533" s="62">
        <v>500</v>
      </c>
      <c r="B533" s="63">
        <v>40565</v>
      </c>
      <c r="C533" s="64">
        <v>21</v>
      </c>
      <c r="D533" s="64" t="b">
        <f>IF(COUNTIF(AU$36:AU$52,Table8[[#This Row],[Date Day]]) &gt; 0, TRUE, FALSE)</f>
        <v>0</v>
      </c>
      <c r="E533" s="64">
        <f t="shared" si="14"/>
        <v>6</v>
      </c>
      <c r="F533" s="64">
        <v>1</v>
      </c>
      <c r="G533" s="65" t="str">
        <f>IF(Table8[[#This Row],[Weathersit]]=1, "BAD", IF(Table8[[#This Row],[Weathersit]]=2, "MODERATE", IF(Table8[[#This Row],[Weathersit]]=3, "GOOD")))</f>
        <v>BAD</v>
      </c>
      <c r="H533" s="64">
        <v>6</v>
      </c>
      <c r="I533" s="65" t="str">
        <f>IF(Table8[[#This Row],[Temp]]&lt;11, "COLD", IF(Table8[[#This Row],[Temp]]&lt;=25, "COMFORTABLE", "WARM"))</f>
        <v>COLD</v>
      </c>
      <c r="J533" s="64">
        <v>0.1061</v>
      </c>
      <c r="K533" s="64">
        <v>0.41</v>
      </c>
      <c r="L533" s="66">
        <v>8.9599999999999991</v>
      </c>
      <c r="M533" s="75" t="s">
        <v>80</v>
      </c>
      <c r="N533" s="64">
        <v>0</v>
      </c>
      <c r="O533" s="64">
        <v>39</v>
      </c>
      <c r="P533" s="64">
        <v>39</v>
      </c>
      <c r="Q533" s="64"/>
      <c r="R533" s="65" t="str">
        <f t="shared" si="15"/>
        <v>Week 4</v>
      </c>
      <c r="S533" s="65" t="str">
        <f>TEXT(Table8[[#This Row],[Date Day]],"mmm,YYYY")</f>
        <v>Jan,2011</v>
      </c>
    </row>
    <row r="534" spans="1:19" ht="15.6" x14ac:dyDescent="0.3">
      <c r="A534" s="62">
        <v>501</v>
      </c>
      <c r="B534" s="63">
        <v>40565</v>
      </c>
      <c r="C534" s="64">
        <v>22</v>
      </c>
      <c r="D534" s="64" t="b">
        <f>IF(COUNTIF(AU$36:AU$52,Table8[[#This Row],[Date Day]]) &gt; 0, TRUE, FALSE)</f>
        <v>0</v>
      </c>
      <c r="E534" s="64">
        <f t="shared" si="14"/>
        <v>6</v>
      </c>
      <c r="F534" s="64">
        <v>1</v>
      </c>
      <c r="G534" s="65" t="str">
        <f>IF(Table8[[#This Row],[Weathersit]]=1, "BAD", IF(Table8[[#This Row],[Weathersit]]=2, "MODERATE", IF(Table8[[#This Row],[Weathersit]]=3, "GOOD")))</f>
        <v>BAD</v>
      </c>
      <c r="H534" s="64">
        <v>6</v>
      </c>
      <c r="I534" s="65" t="str">
        <f>IF(Table8[[#This Row],[Temp]]&lt;11, "COLD", IF(Table8[[#This Row],[Temp]]&lt;=25, "COMFORTABLE", "WARM"))</f>
        <v>COLD</v>
      </c>
      <c r="J534" s="64">
        <v>0.1515</v>
      </c>
      <c r="K534" s="64">
        <v>0.49</v>
      </c>
      <c r="L534" s="66">
        <v>20.485098360655737</v>
      </c>
      <c r="M534" s="75" t="s">
        <v>81</v>
      </c>
      <c r="N534" s="64">
        <v>7</v>
      </c>
      <c r="O534" s="64">
        <v>23</v>
      </c>
      <c r="P534" s="64">
        <v>30</v>
      </c>
      <c r="Q534" s="64"/>
      <c r="R534" s="65" t="str">
        <f t="shared" si="15"/>
        <v>Week 4</v>
      </c>
      <c r="S534" s="65" t="str">
        <f>TEXT(Table8[[#This Row],[Date Day]],"mmm,YYYY")</f>
        <v>Jan,2011</v>
      </c>
    </row>
    <row r="535" spans="1:19" ht="15.6" x14ac:dyDescent="0.3">
      <c r="A535" s="62">
        <v>502</v>
      </c>
      <c r="B535" s="63">
        <v>40565</v>
      </c>
      <c r="C535" s="64">
        <v>23</v>
      </c>
      <c r="D535" s="64" t="b">
        <f>IF(COUNTIF(AU$36:AU$52,Table8[[#This Row],[Date Day]]) &gt; 0, TRUE, FALSE)</f>
        <v>0</v>
      </c>
      <c r="E535" s="64">
        <f t="shared" si="14"/>
        <v>6</v>
      </c>
      <c r="F535" s="64">
        <v>1</v>
      </c>
      <c r="G535" s="65" t="str">
        <f>IF(Table8[[#This Row],[Weathersit]]=1, "BAD", IF(Table8[[#This Row],[Weathersit]]=2, "MODERATE", IF(Table8[[#This Row],[Weathersit]]=3, "GOOD")))</f>
        <v>BAD</v>
      </c>
      <c r="H535" s="64">
        <v>4</v>
      </c>
      <c r="I535" s="65" t="str">
        <f>IF(Table8[[#This Row],[Temp]]&lt;11, "COLD", IF(Table8[[#This Row],[Temp]]&lt;=25, "COMFORTABLE", "WARM"))</f>
        <v>COLD</v>
      </c>
      <c r="J535" s="64">
        <v>7.5800000000000006E-2</v>
      </c>
      <c r="K535" s="64">
        <v>0.56999999999999995</v>
      </c>
      <c r="L535" s="66">
        <v>10.45</v>
      </c>
      <c r="M535" s="75" t="s">
        <v>80</v>
      </c>
      <c r="N535" s="64">
        <v>2</v>
      </c>
      <c r="O535" s="64">
        <v>31</v>
      </c>
      <c r="P535" s="64">
        <v>33</v>
      </c>
      <c r="Q535" s="64"/>
      <c r="R535" s="65" t="str">
        <f t="shared" si="15"/>
        <v>Week 4</v>
      </c>
      <c r="S535" s="65" t="str">
        <f>TEXT(Table8[[#This Row],[Date Day]],"mmm,YYYY")</f>
        <v>Jan,2011</v>
      </c>
    </row>
    <row r="536" spans="1:19" ht="15.6" x14ac:dyDescent="0.3">
      <c r="A536" s="62">
        <v>503</v>
      </c>
      <c r="B536" s="63">
        <v>40566</v>
      </c>
      <c r="C536" s="64">
        <v>0</v>
      </c>
      <c r="D536" s="64" t="b">
        <f>IF(COUNTIF(AU$36:AU$52,Table8[[#This Row],[Date Day]]) &gt; 0, TRUE, FALSE)</f>
        <v>0</v>
      </c>
      <c r="E536" s="64">
        <f t="shared" si="14"/>
        <v>7</v>
      </c>
      <c r="F536" s="64">
        <v>1</v>
      </c>
      <c r="G536" s="65" t="str">
        <f>IF(Table8[[#This Row],[Weathersit]]=1, "BAD", IF(Table8[[#This Row],[Weathersit]]=2, "MODERATE", IF(Table8[[#This Row],[Weathersit]]=3, "GOOD")))</f>
        <v>BAD</v>
      </c>
      <c r="H536" s="64">
        <v>4</v>
      </c>
      <c r="I536" s="65" t="str">
        <f>IF(Table8[[#This Row],[Temp]]&lt;11, "COLD", IF(Table8[[#This Row],[Temp]]&lt;=25, "COMFORTABLE", "WARM"))</f>
        <v>COLD</v>
      </c>
      <c r="J536" s="64">
        <v>7.5800000000000006E-2</v>
      </c>
      <c r="K536" s="64">
        <v>0.56999999999999995</v>
      </c>
      <c r="L536" s="66">
        <v>10.45</v>
      </c>
      <c r="M536" s="75" t="s">
        <v>80</v>
      </c>
      <c r="N536" s="64">
        <v>2</v>
      </c>
      <c r="O536" s="64">
        <v>20</v>
      </c>
      <c r="P536" s="64">
        <v>22</v>
      </c>
      <c r="Q536" s="64"/>
      <c r="R536" s="65" t="str">
        <f t="shared" si="15"/>
        <v>Week 4</v>
      </c>
      <c r="S536" s="65" t="str">
        <f>TEXT(Table8[[#This Row],[Date Day]],"mmm,YYYY")</f>
        <v>Jan,2011</v>
      </c>
    </row>
    <row r="537" spans="1:19" ht="15.6" x14ac:dyDescent="0.3">
      <c r="A537" s="62">
        <v>504</v>
      </c>
      <c r="B537" s="63">
        <v>40566</v>
      </c>
      <c r="C537" s="64">
        <v>1</v>
      </c>
      <c r="D537" s="64" t="b">
        <f>IF(COUNTIF(AU$36:AU$52,Table8[[#This Row],[Date Day]]) &gt; 0, TRUE, FALSE)</f>
        <v>0</v>
      </c>
      <c r="E537" s="64">
        <f t="shared" si="14"/>
        <v>7</v>
      </c>
      <c r="F537" s="64">
        <v>1</v>
      </c>
      <c r="G537" s="65" t="str">
        <f>IF(Table8[[#This Row],[Weathersit]]=1, "BAD", IF(Table8[[#This Row],[Weathersit]]=2, "MODERATE", IF(Table8[[#This Row],[Weathersit]]=3, "GOOD")))</f>
        <v>BAD</v>
      </c>
      <c r="H537" s="64">
        <v>4</v>
      </c>
      <c r="I537" s="65" t="str">
        <f>IF(Table8[[#This Row],[Temp]]&lt;11, "COLD", IF(Table8[[#This Row],[Temp]]&lt;=25, "COMFORTABLE", "WARM"))</f>
        <v>COLD</v>
      </c>
      <c r="J537" s="64">
        <v>7.5800000000000006E-2</v>
      </c>
      <c r="K537" s="64">
        <v>0.56999999999999995</v>
      </c>
      <c r="L537" s="66">
        <v>10.45</v>
      </c>
      <c r="M537" s="75" t="s">
        <v>80</v>
      </c>
      <c r="N537" s="64">
        <v>1</v>
      </c>
      <c r="O537" s="64">
        <v>12</v>
      </c>
      <c r="P537" s="64">
        <v>13</v>
      </c>
      <c r="Q537" s="64"/>
      <c r="R537" s="65" t="str">
        <f t="shared" si="15"/>
        <v>Week 4</v>
      </c>
      <c r="S537" s="65" t="str">
        <f>TEXT(Table8[[#This Row],[Date Day]],"mmm,YYYY")</f>
        <v>Jan,2011</v>
      </c>
    </row>
    <row r="538" spans="1:19" ht="15.6" x14ac:dyDescent="0.3">
      <c r="A538" s="62">
        <v>505</v>
      </c>
      <c r="B538" s="63">
        <v>40566</v>
      </c>
      <c r="C538" s="64">
        <v>2</v>
      </c>
      <c r="D538" s="64" t="b">
        <f>IF(COUNTIF(AU$36:AU$52,Table8[[#This Row],[Date Day]]) &gt; 0, TRUE, FALSE)</f>
        <v>0</v>
      </c>
      <c r="E538" s="64">
        <f t="shared" si="14"/>
        <v>7</v>
      </c>
      <c r="F538" s="64">
        <v>1</v>
      </c>
      <c r="G538" s="65" t="str">
        <f>IF(Table8[[#This Row],[Weathersit]]=1, "BAD", IF(Table8[[#This Row],[Weathersit]]=2, "MODERATE", IF(Table8[[#This Row],[Weathersit]]=3, "GOOD")))</f>
        <v>BAD</v>
      </c>
      <c r="H538" s="64">
        <v>2</v>
      </c>
      <c r="I538" s="65" t="str">
        <f>IF(Table8[[#This Row],[Temp]]&lt;11, "COLD", IF(Table8[[#This Row],[Temp]]&lt;=25, "COMFORTABLE", "WARM"))</f>
        <v>COLD</v>
      </c>
      <c r="J538" s="64">
        <v>6.0600000000000001E-2</v>
      </c>
      <c r="K538" s="64">
        <v>0.62</v>
      </c>
      <c r="L538" s="66">
        <v>13.43</v>
      </c>
      <c r="M538" s="75" t="s">
        <v>80</v>
      </c>
      <c r="N538" s="64">
        <v>3</v>
      </c>
      <c r="O538" s="64">
        <v>15</v>
      </c>
      <c r="P538" s="64">
        <v>18</v>
      </c>
      <c r="Q538" s="64"/>
      <c r="R538" s="65" t="str">
        <f t="shared" si="15"/>
        <v>Week 4</v>
      </c>
      <c r="S538" s="65" t="str">
        <f>TEXT(Table8[[#This Row],[Date Day]],"mmm,YYYY")</f>
        <v>Jan,2011</v>
      </c>
    </row>
    <row r="539" spans="1:19" ht="15.6" x14ac:dyDescent="0.3">
      <c r="A539" s="62">
        <v>506</v>
      </c>
      <c r="B539" s="63">
        <v>40566</v>
      </c>
      <c r="C539" s="64">
        <v>3</v>
      </c>
      <c r="D539" s="64" t="b">
        <f>IF(COUNTIF(AU$36:AU$52,Table8[[#This Row],[Date Day]]) &gt; 0, TRUE, FALSE)</f>
        <v>0</v>
      </c>
      <c r="E539" s="64">
        <f t="shared" si="14"/>
        <v>7</v>
      </c>
      <c r="F539" s="64">
        <v>1</v>
      </c>
      <c r="G539" s="65" t="str">
        <f>IF(Table8[[#This Row],[Weathersit]]=1, "BAD", IF(Table8[[#This Row],[Weathersit]]=2, "MODERATE", IF(Table8[[#This Row],[Weathersit]]=3, "GOOD")))</f>
        <v>BAD</v>
      </c>
      <c r="H539" s="64">
        <v>2</v>
      </c>
      <c r="I539" s="65" t="str">
        <f>IF(Table8[[#This Row],[Temp]]&lt;11, "COLD", IF(Table8[[#This Row],[Temp]]&lt;=25, "COMFORTABLE", "WARM"))</f>
        <v>COLD</v>
      </c>
      <c r="J539" s="64">
        <v>6.0600000000000001E-2</v>
      </c>
      <c r="K539" s="64">
        <v>0.62</v>
      </c>
      <c r="L539" s="66">
        <v>13.43</v>
      </c>
      <c r="M539" s="75" t="s">
        <v>80</v>
      </c>
      <c r="N539" s="64">
        <v>1</v>
      </c>
      <c r="O539" s="64">
        <v>4</v>
      </c>
      <c r="P539" s="64">
        <v>5</v>
      </c>
      <c r="Q539" s="64"/>
      <c r="R539" s="65" t="str">
        <f t="shared" si="15"/>
        <v>Week 4</v>
      </c>
      <c r="S539" s="65" t="str">
        <f>TEXT(Table8[[#This Row],[Date Day]],"mmm,YYYY")</f>
        <v>Jan,2011</v>
      </c>
    </row>
    <row r="540" spans="1:19" ht="15.6" x14ac:dyDescent="0.3">
      <c r="A540" s="62">
        <v>507</v>
      </c>
      <c r="B540" s="63">
        <v>40566</v>
      </c>
      <c r="C540" s="64">
        <v>5</v>
      </c>
      <c r="D540" s="64" t="b">
        <f>IF(COUNTIF(AU$36:AU$52,Table8[[#This Row],[Date Day]]) &gt; 0, TRUE, FALSE)</f>
        <v>0</v>
      </c>
      <c r="E540" s="64">
        <f t="shared" si="14"/>
        <v>7</v>
      </c>
      <c r="F540" s="64">
        <v>2</v>
      </c>
      <c r="G540" s="65" t="str">
        <f>IF(Table8[[#This Row],[Weathersit]]=1, "BAD", IF(Table8[[#This Row],[Weathersit]]=2, "MODERATE", IF(Table8[[#This Row],[Weathersit]]=3, "GOOD")))</f>
        <v>MODERATE</v>
      </c>
      <c r="H540" s="64">
        <v>4</v>
      </c>
      <c r="I540" s="65" t="str">
        <f>IF(Table8[[#This Row],[Temp]]&lt;11, "COLD", IF(Table8[[#This Row],[Temp]]&lt;=25, "COMFORTABLE", "WARM"))</f>
        <v>COLD</v>
      </c>
      <c r="J540" s="64">
        <v>7.5800000000000006E-2</v>
      </c>
      <c r="K540" s="64">
        <v>0.56999999999999995</v>
      </c>
      <c r="L540" s="66">
        <v>10.45</v>
      </c>
      <c r="M540" s="75" t="s">
        <v>80</v>
      </c>
      <c r="N540" s="64">
        <v>0</v>
      </c>
      <c r="O540" s="64">
        <v>3</v>
      </c>
      <c r="P540" s="64">
        <v>3</v>
      </c>
      <c r="Q540" s="64"/>
      <c r="R540" s="65" t="str">
        <f t="shared" si="15"/>
        <v>Week 4</v>
      </c>
      <c r="S540" s="65" t="str">
        <f>TEXT(Table8[[#This Row],[Date Day]],"mmm,YYYY")</f>
        <v>Jan,2011</v>
      </c>
    </row>
    <row r="541" spans="1:19" ht="15.6" x14ac:dyDescent="0.3">
      <c r="A541" s="62">
        <v>508</v>
      </c>
      <c r="B541" s="63">
        <v>40566</v>
      </c>
      <c r="C541" s="64">
        <v>6</v>
      </c>
      <c r="D541" s="64" t="b">
        <f>IF(COUNTIF(AU$36:AU$52,Table8[[#This Row],[Date Day]]) &gt; 0, TRUE, FALSE)</f>
        <v>0</v>
      </c>
      <c r="E541" s="64">
        <f t="shared" si="14"/>
        <v>7</v>
      </c>
      <c r="F541" s="64">
        <v>2</v>
      </c>
      <c r="G541" s="65" t="str">
        <f>IF(Table8[[#This Row],[Weathersit]]=1, "BAD", IF(Table8[[#This Row],[Weathersit]]=2, "MODERATE", IF(Table8[[#This Row],[Weathersit]]=3, "GOOD")))</f>
        <v>MODERATE</v>
      </c>
      <c r="H541" s="64">
        <v>4</v>
      </c>
      <c r="I541" s="65" t="str">
        <f>IF(Table8[[#This Row],[Temp]]&lt;11, "COLD", IF(Table8[[#This Row],[Temp]]&lt;=25, "COMFORTABLE", "WARM"))</f>
        <v>COLD</v>
      </c>
      <c r="J541" s="64">
        <v>7.5800000000000006E-2</v>
      </c>
      <c r="K541" s="64">
        <v>0.56999999999999995</v>
      </c>
      <c r="L541" s="66">
        <v>10.45</v>
      </c>
      <c r="M541" s="75" t="s">
        <v>80</v>
      </c>
      <c r="N541" s="64">
        <v>0</v>
      </c>
      <c r="O541" s="64">
        <v>1</v>
      </c>
      <c r="P541" s="64">
        <v>1</v>
      </c>
      <c r="Q541" s="64"/>
      <c r="R541" s="65" t="str">
        <f t="shared" si="15"/>
        <v>Week 4</v>
      </c>
      <c r="S541" s="65" t="str">
        <f>TEXT(Table8[[#This Row],[Date Day]],"mmm,YYYY")</f>
        <v>Jan,2011</v>
      </c>
    </row>
    <row r="542" spans="1:19" ht="15.6" x14ac:dyDescent="0.3">
      <c r="A542" s="62">
        <v>509</v>
      </c>
      <c r="B542" s="63">
        <v>40566</v>
      </c>
      <c r="C542" s="64">
        <v>7</v>
      </c>
      <c r="D542" s="64" t="b">
        <f>IF(COUNTIF(AU$36:AU$52,Table8[[#This Row],[Date Day]]) &gt; 0, TRUE, FALSE)</f>
        <v>0</v>
      </c>
      <c r="E542" s="64">
        <f t="shared" si="14"/>
        <v>7</v>
      </c>
      <c r="F542" s="64">
        <v>1</v>
      </c>
      <c r="G542" s="65" t="str">
        <f>IF(Table8[[#This Row],[Weathersit]]=1, "BAD", IF(Table8[[#This Row],[Weathersit]]=2, "MODERATE", IF(Table8[[#This Row],[Weathersit]]=3, "GOOD")))</f>
        <v>BAD</v>
      </c>
      <c r="H542" s="64">
        <v>8</v>
      </c>
      <c r="I542" s="65" t="str">
        <f>IF(Table8[[#This Row],[Temp]]&lt;11, "COLD", IF(Table8[[#This Row],[Temp]]&lt;=25, "COMFORTABLE", "WARM"))</f>
        <v>COLD</v>
      </c>
      <c r="J542" s="64">
        <v>0.1061</v>
      </c>
      <c r="K542" s="64">
        <v>0.57999999999999996</v>
      </c>
      <c r="L542" s="66">
        <v>16.420000000000002</v>
      </c>
      <c r="M542" s="75" t="s">
        <v>80</v>
      </c>
      <c r="N542" s="64">
        <v>1</v>
      </c>
      <c r="O542" s="64">
        <v>1</v>
      </c>
      <c r="P542" s="64">
        <v>2</v>
      </c>
      <c r="Q542" s="64"/>
      <c r="R542" s="65" t="str">
        <f t="shared" si="15"/>
        <v>Week 4</v>
      </c>
      <c r="S542" s="65" t="str">
        <f>TEXT(Table8[[#This Row],[Date Day]],"mmm,YYYY")</f>
        <v>Jan,2011</v>
      </c>
    </row>
    <row r="543" spans="1:19" ht="15.6" x14ac:dyDescent="0.3">
      <c r="A543" s="62">
        <v>510</v>
      </c>
      <c r="B543" s="63">
        <v>40566</v>
      </c>
      <c r="C543" s="64">
        <v>8</v>
      </c>
      <c r="D543" s="64" t="b">
        <f>IF(COUNTIF(AU$36:AU$52,Table8[[#This Row],[Date Day]]) &gt; 0, TRUE, FALSE)</f>
        <v>0</v>
      </c>
      <c r="E543" s="64">
        <f t="shared" si="14"/>
        <v>7</v>
      </c>
      <c r="F543" s="64">
        <v>1</v>
      </c>
      <c r="G543" s="65" t="str">
        <f>IF(Table8[[#This Row],[Weathersit]]=1, "BAD", IF(Table8[[#This Row],[Weathersit]]=2, "MODERATE", IF(Table8[[#This Row],[Weathersit]]=3, "GOOD")))</f>
        <v>BAD</v>
      </c>
      <c r="H543" s="64">
        <v>6</v>
      </c>
      <c r="I543" s="65" t="str">
        <f>IF(Table8[[#This Row],[Temp]]&lt;11, "COLD", IF(Table8[[#This Row],[Temp]]&lt;=25, "COMFORTABLE", "WARM"))</f>
        <v>COLD</v>
      </c>
      <c r="J543" s="64">
        <v>7.5800000000000006E-2</v>
      </c>
      <c r="K543" s="64">
        <v>0.62</v>
      </c>
      <c r="L543" s="66">
        <v>16.420000000000002</v>
      </c>
      <c r="M543" s="75" t="s">
        <v>80</v>
      </c>
      <c r="N543" s="64">
        <v>2</v>
      </c>
      <c r="O543" s="64">
        <v>17</v>
      </c>
      <c r="P543" s="64">
        <v>19</v>
      </c>
      <c r="Q543" s="64"/>
      <c r="R543" s="65" t="str">
        <f t="shared" si="15"/>
        <v>Week 4</v>
      </c>
      <c r="S543" s="65" t="str">
        <f>TEXT(Table8[[#This Row],[Date Day]],"mmm,YYYY")</f>
        <v>Jan,2011</v>
      </c>
    </row>
    <row r="544" spans="1:19" ht="15.6" x14ac:dyDescent="0.3">
      <c r="A544" s="62">
        <v>511</v>
      </c>
      <c r="B544" s="63">
        <v>40566</v>
      </c>
      <c r="C544" s="64">
        <v>9</v>
      </c>
      <c r="D544" s="64" t="b">
        <f>IF(COUNTIF(AU$36:AU$52,Table8[[#This Row],[Date Day]]) &gt; 0, TRUE, FALSE)</f>
        <v>0</v>
      </c>
      <c r="E544" s="64">
        <f t="shared" si="14"/>
        <v>7</v>
      </c>
      <c r="F544" s="64">
        <v>1</v>
      </c>
      <c r="G544" s="65" t="str">
        <f>IF(Table8[[#This Row],[Weathersit]]=1, "BAD", IF(Table8[[#This Row],[Weathersit]]=2, "MODERATE", IF(Table8[[#This Row],[Weathersit]]=3, "GOOD")))</f>
        <v>BAD</v>
      </c>
      <c r="H544" s="64">
        <v>10</v>
      </c>
      <c r="I544" s="65" t="str">
        <f>IF(Table8[[#This Row],[Temp]]&lt;11, "COLD", IF(Table8[[#This Row],[Temp]]&lt;=25, "COMFORTABLE", "WARM"))</f>
        <v>COLD</v>
      </c>
      <c r="J544" s="64">
        <v>7.5800000000000006E-2</v>
      </c>
      <c r="K544" s="64">
        <v>0.54</v>
      </c>
      <c r="L544" s="66">
        <v>35.82</v>
      </c>
      <c r="M544" s="75" t="s">
        <v>84</v>
      </c>
      <c r="N544" s="64">
        <v>3</v>
      </c>
      <c r="O544" s="64">
        <v>25</v>
      </c>
      <c r="P544" s="64">
        <v>28</v>
      </c>
      <c r="Q544" s="64"/>
      <c r="R544" s="65" t="str">
        <f t="shared" si="15"/>
        <v>Week 4</v>
      </c>
      <c r="S544" s="65" t="str">
        <f>TEXT(Table8[[#This Row],[Date Day]],"mmm,YYYY")</f>
        <v>Jan,2011</v>
      </c>
    </row>
    <row r="545" spans="1:19" ht="15.6" x14ac:dyDescent="0.3">
      <c r="A545" s="62">
        <v>512</v>
      </c>
      <c r="B545" s="63">
        <v>40566</v>
      </c>
      <c r="C545" s="64">
        <v>10</v>
      </c>
      <c r="D545" s="64" t="b">
        <f>IF(COUNTIF(AU$36:AU$52,Table8[[#This Row],[Date Day]]) &gt; 0, TRUE, FALSE)</f>
        <v>0</v>
      </c>
      <c r="E545" s="64">
        <f t="shared" si="14"/>
        <v>7</v>
      </c>
      <c r="F545" s="64">
        <v>1</v>
      </c>
      <c r="G545" s="65" t="str">
        <f>IF(Table8[[#This Row],[Weathersit]]=1, "BAD", IF(Table8[[#This Row],[Weathersit]]=2, "MODERATE", IF(Table8[[#This Row],[Weathersit]]=3, "GOOD")))</f>
        <v>BAD</v>
      </c>
      <c r="H545" s="64">
        <v>14.000000000000002</v>
      </c>
      <c r="I545" s="65" t="str">
        <f>IF(Table8[[#This Row],[Temp]]&lt;11, "COLD", IF(Table8[[#This Row],[Temp]]&lt;=25, "COMFORTABLE", "WARM"))</f>
        <v>COMFORTABLE</v>
      </c>
      <c r="J545" s="64">
        <v>0.1061</v>
      </c>
      <c r="K545" s="64">
        <v>0.46</v>
      </c>
      <c r="L545" s="66">
        <v>38.81</v>
      </c>
      <c r="M545" s="75" t="s">
        <v>84</v>
      </c>
      <c r="N545" s="64">
        <v>7</v>
      </c>
      <c r="O545" s="64">
        <v>51</v>
      </c>
      <c r="P545" s="64">
        <v>58</v>
      </c>
      <c r="Q545" s="64"/>
      <c r="R545" s="65" t="str">
        <f t="shared" si="15"/>
        <v>Week 4</v>
      </c>
      <c r="S545" s="65" t="str">
        <f>TEXT(Table8[[#This Row],[Date Day]],"mmm,YYYY")</f>
        <v>Jan,2011</v>
      </c>
    </row>
    <row r="546" spans="1:19" ht="15.6" x14ac:dyDescent="0.3">
      <c r="A546" s="62">
        <v>513</v>
      </c>
      <c r="B546" s="63">
        <v>40566</v>
      </c>
      <c r="C546" s="64">
        <v>11</v>
      </c>
      <c r="D546" s="64" t="b">
        <f>IF(COUNTIF(AU$36:AU$52,Table8[[#This Row],[Date Day]]) &gt; 0, TRUE, FALSE)</f>
        <v>0</v>
      </c>
      <c r="E546" s="64">
        <f t="shared" ref="E546:E609" si="16">WEEKDAY(B:B,2)</f>
        <v>7</v>
      </c>
      <c r="F546" s="64">
        <v>1</v>
      </c>
      <c r="G546" s="65" t="str">
        <f>IF(Table8[[#This Row],[Weathersit]]=1, "BAD", IF(Table8[[#This Row],[Weathersit]]=2, "MODERATE", IF(Table8[[#This Row],[Weathersit]]=3, "GOOD")))</f>
        <v>BAD</v>
      </c>
      <c r="H546" s="64">
        <v>14.000000000000002</v>
      </c>
      <c r="I546" s="65" t="str">
        <f>IF(Table8[[#This Row],[Temp]]&lt;11, "COLD", IF(Table8[[#This Row],[Temp]]&lt;=25, "COMFORTABLE", "WARM"))</f>
        <v>COMFORTABLE</v>
      </c>
      <c r="J546" s="64">
        <v>0.13639999999999999</v>
      </c>
      <c r="K546" s="64">
        <v>0.43</v>
      </c>
      <c r="L546" s="66">
        <v>22.39</v>
      </c>
      <c r="M546" s="75" t="s">
        <v>81</v>
      </c>
      <c r="N546" s="64">
        <v>22</v>
      </c>
      <c r="O546" s="64">
        <v>77</v>
      </c>
      <c r="P546" s="64">
        <v>99</v>
      </c>
      <c r="Q546" s="64"/>
      <c r="R546" s="65" t="str">
        <f t="shared" ref="R546:R609" si="17">"Week " &amp; INT((DAY(B546)-1)/7)+1</f>
        <v>Week 4</v>
      </c>
      <c r="S546" s="65" t="str">
        <f>TEXT(Table8[[#This Row],[Date Day]],"mmm,YYYY")</f>
        <v>Jan,2011</v>
      </c>
    </row>
    <row r="547" spans="1:19" ht="15.6" x14ac:dyDescent="0.3">
      <c r="A547" s="62">
        <v>514</v>
      </c>
      <c r="B547" s="63">
        <v>40566</v>
      </c>
      <c r="C547" s="64">
        <v>12</v>
      </c>
      <c r="D547" s="64" t="b">
        <f>IF(COUNTIF(AU$36:AU$52,Table8[[#This Row],[Date Day]]) &gt; 0, TRUE, FALSE)</f>
        <v>0</v>
      </c>
      <c r="E547" s="64">
        <f t="shared" si="16"/>
        <v>7</v>
      </c>
      <c r="F547" s="64">
        <v>1</v>
      </c>
      <c r="G547" s="65" t="str">
        <f>IF(Table8[[#This Row],[Weathersit]]=1, "BAD", IF(Table8[[#This Row],[Weathersit]]=2, "MODERATE", IF(Table8[[#This Row],[Weathersit]]=3, "GOOD")))</f>
        <v>BAD</v>
      </c>
      <c r="H547" s="64">
        <v>16</v>
      </c>
      <c r="I547" s="65" t="str">
        <f>IF(Table8[[#This Row],[Temp]]&lt;11, "COLD", IF(Table8[[#This Row],[Temp]]&lt;=25, "COMFORTABLE", "WARM"))</f>
        <v>COMFORTABLE</v>
      </c>
      <c r="J547" s="64">
        <v>0.1212</v>
      </c>
      <c r="K547" s="64">
        <v>0.37</v>
      </c>
      <c r="L547" s="66">
        <v>46.27</v>
      </c>
      <c r="M547" s="75" t="s">
        <v>84</v>
      </c>
      <c r="N547" s="64">
        <v>24</v>
      </c>
      <c r="O547" s="64">
        <v>92</v>
      </c>
      <c r="P547" s="64">
        <v>116</v>
      </c>
      <c r="Q547" s="64"/>
      <c r="R547" s="65" t="str">
        <f t="shared" si="17"/>
        <v>Week 4</v>
      </c>
      <c r="S547" s="65" t="str">
        <f>TEXT(Table8[[#This Row],[Date Day]],"mmm,YYYY")</f>
        <v>Jan,2011</v>
      </c>
    </row>
    <row r="548" spans="1:19" ht="15.6" x14ac:dyDescent="0.3">
      <c r="A548" s="62">
        <v>515</v>
      </c>
      <c r="B548" s="63">
        <v>40566</v>
      </c>
      <c r="C548" s="64">
        <v>13</v>
      </c>
      <c r="D548" s="64" t="b">
        <f>IF(COUNTIF(AU$36:AU$52,Table8[[#This Row],[Date Day]]) &gt; 0, TRUE, FALSE)</f>
        <v>0</v>
      </c>
      <c r="E548" s="64">
        <f t="shared" si="16"/>
        <v>7</v>
      </c>
      <c r="F548" s="64">
        <v>1</v>
      </c>
      <c r="G548" s="65" t="str">
        <f>IF(Table8[[#This Row],[Weathersit]]=1, "BAD", IF(Table8[[#This Row],[Weathersit]]=2, "MODERATE", IF(Table8[[#This Row],[Weathersit]]=3, "GOOD")))</f>
        <v>BAD</v>
      </c>
      <c r="H548" s="64">
        <v>14.000000000000002</v>
      </c>
      <c r="I548" s="65" t="str">
        <f>IF(Table8[[#This Row],[Temp]]&lt;11, "COLD", IF(Table8[[#This Row],[Temp]]&lt;=25, "COMFORTABLE", "WARM"))</f>
        <v>COMFORTABLE</v>
      </c>
      <c r="J548" s="64">
        <v>0.1061</v>
      </c>
      <c r="K548" s="64">
        <v>0.33</v>
      </c>
      <c r="L548" s="66">
        <v>38.81</v>
      </c>
      <c r="M548" s="75" t="s">
        <v>84</v>
      </c>
      <c r="N548" s="64">
        <v>12</v>
      </c>
      <c r="O548" s="64">
        <v>75</v>
      </c>
      <c r="P548" s="64">
        <v>87</v>
      </c>
      <c r="Q548" s="64"/>
      <c r="R548" s="65" t="str">
        <f t="shared" si="17"/>
        <v>Week 4</v>
      </c>
      <c r="S548" s="65" t="str">
        <f>TEXT(Table8[[#This Row],[Date Day]],"mmm,YYYY")</f>
        <v>Jan,2011</v>
      </c>
    </row>
    <row r="549" spans="1:19" ht="15.6" x14ac:dyDescent="0.3">
      <c r="A549" s="62">
        <v>516</v>
      </c>
      <c r="B549" s="63">
        <v>40566</v>
      </c>
      <c r="C549" s="64">
        <v>14</v>
      </c>
      <c r="D549" s="64" t="b">
        <f>IF(COUNTIF(AU$36:AU$52,Table8[[#This Row],[Date Day]]) &gt; 0, TRUE, FALSE)</f>
        <v>0</v>
      </c>
      <c r="E549" s="64">
        <f t="shared" si="16"/>
        <v>7</v>
      </c>
      <c r="F549" s="64">
        <v>1</v>
      </c>
      <c r="G549" s="65" t="str">
        <f>IF(Table8[[#This Row],[Weathersit]]=1, "BAD", IF(Table8[[#This Row],[Weathersit]]=2, "MODERATE", IF(Table8[[#This Row],[Weathersit]]=3, "GOOD")))</f>
        <v>BAD</v>
      </c>
      <c r="H549" s="64">
        <v>16</v>
      </c>
      <c r="I549" s="65" t="str">
        <f>IF(Table8[[#This Row],[Temp]]&lt;11, "COLD", IF(Table8[[#This Row],[Temp]]&lt;=25, "COMFORTABLE", "WARM"))</f>
        <v>COMFORTABLE</v>
      </c>
      <c r="J549" s="64">
        <v>0.13639999999999999</v>
      </c>
      <c r="K549" s="64">
        <v>0.28000000000000003</v>
      </c>
      <c r="L549" s="66">
        <v>35.82</v>
      </c>
      <c r="M549" s="75" t="s">
        <v>84</v>
      </c>
      <c r="N549" s="64">
        <v>17</v>
      </c>
      <c r="O549" s="64">
        <v>93</v>
      </c>
      <c r="P549" s="64">
        <v>110</v>
      </c>
      <c r="Q549" s="64"/>
      <c r="R549" s="65" t="str">
        <f t="shared" si="17"/>
        <v>Week 4</v>
      </c>
      <c r="S549" s="65" t="str">
        <f>TEXT(Table8[[#This Row],[Date Day]],"mmm,YYYY")</f>
        <v>Jan,2011</v>
      </c>
    </row>
    <row r="550" spans="1:19" ht="15.6" x14ac:dyDescent="0.3">
      <c r="A550" s="62">
        <v>517</v>
      </c>
      <c r="B550" s="63">
        <v>40566</v>
      </c>
      <c r="C550" s="64">
        <v>15</v>
      </c>
      <c r="D550" s="64" t="b">
        <f>IF(COUNTIF(AU$36:AU$52,Table8[[#This Row],[Date Day]]) &gt; 0, TRUE, FALSE)</f>
        <v>0</v>
      </c>
      <c r="E550" s="64">
        <f t="shared" si="16"/>
        <v>7</v>
      </c>
      <c r="F550" s="64">
        <v>1</v>
      </c>
      <c r="G550" s="65" t="str">
        <f>IF(Table8[[#This Row],[Weathersit]]=1, "BAD", IF(Table8[[#This Row],[Weathersit]]=2, "MODERATE", IF(Table8[[#This Row],[Weathersit]]=3, "GOOD")))</f>
        <v>BAD</v>
      </c>
      <c r="H550" s="64">
        <v>16</v>
      </c>
      <c r="I550" s="65" t="str">
        <f>IF(Table8[[#This Row],[Temp]]&lt;11, "COLD", IF(Table8[[#This Row],[Temp]]&lt;=25, "COMFORTABLE", "WARM"))</f>
        <v>COMFORTABLE</v>
      </c>
      <c r="J550" s="64">
        <v>0.13639999999999999</v>
      </c>
      <c r="K550" s="64">
        <v>0.28000000000000003</v>
      </c>
      <c r="L550" s="66">
        <v>35.82</v>
      </c>
      <c r="M550" s="75" t="s">
        <v>84</v>
      </c>
      <c r="N550" s="64">
        <v>13</v>
      </c>
      <c r="O550" s="64">
        <v>64</v>
      </c>
      <c r="P550" s="64">
        <v>77</v>
      </c>
      <c r="Q550" s="64"/>
      <c r="R550" s="65" t="str">
        <f t="shared" si="17"/>
        <v>Week 4</v>
      </c>
      <c r="S550" s="65" t="str">
        <f>TEXT(Table8[[#This Row],[Date Day]],"mmm,YYYY")</f>
        <v>Jan,2011</v>
      </c>
    </row>
    <row r="551" spans="1:19" ht="15.6" x14ac:dyDescent="0.3">
      <c r="A551" s="62">
        <v>518</v>
      </c>
      <c r="B551" s="63">
        <v>40566</v>
      </c>
      <c r="C551" s="64">
        <v>16</v>
      </c>
      <c r="D551" s="64" t="b">
        <f>IF(COUNTIF(AU$36:AU$52,Table8[[#This Row],[Date Day]]) &gt; 0, TRUE, FALSE)</f>
        <v>0</v>
      </c>
      <c r="E551" s="64">
        <f t="shared" si="16"/>
        <v>7</v>
      </c>
      <c r="F551" s="64">
        <v>1</v>
      </c>
      <c r="G551" s="65" t="str">
        <f>IF(Table8[[#This Row],[Weathersit]]=1, "BAD", IF(Table8[[#This Row],[Weathersit]]=2, "MODERATE", IF(Table8[[#This Row],[Weathersit]]=3, "GOOD")))</f>
        <v>BAD</v>
      </c>
      <c r="H551" s="64">
        <v>16</v>
      </c>
      <c r="I551" s="65" t="str">
        <f>IF(Table8[[#This Row],[Temp]]&lt;11, "COLD", IF(Table8[[#This Row],[Temp]]&lt;=25, "COMFORTABLE", "WARM"))</f>
        <v>COMFORTABLE</v>
      </c>
      <c r="J551" s="64">
        <v>0.13639999999999999</v>
      </c>
      <c r="K551" s="64">
        <v>0.26</v>
      </c>
      <c r="L551" s="66">
        <v>32.840000000000003</v>
      </c>
      <c r="M551" s="75" t="s">
        <v>84</v>
      </c>
      <c r="N551" s="64">
        <v>9</v>
      </c>
      <c r="O551" s="64">
        <v>56</v>
      </c>
      <c r="P551" s="64">
        <v>65</v>
      </c>
      <c r="Q551" s="64"/>
      <c r="R551" s="65" t="str">
        <f t="shared" si="17"/>
        <v>Week 4</v>
      </c>
      <c r="S551" s="65" t="str">
        <f>TEXT(Table8[[#This Row],[Date Day]],"mmm,YYYY")</f>
        <v>Jan,2011</v>
      </c>
    </row>
    <row r="552" spans="1:19" ht="15.6" x14ac:dyDescent="0.3">
      <c r="A552" s="62">
        <v>519</v>
      </c>
      <c r="B552" s="63">
        <v>40566</v>
      </c>
      <c r="C552" s="64">
        <v>17</v>
      </c>
      <c r="D552" s="64" t="b">
        <f>IF(COUNTIF(AU$36:AU$52,Table8[[#This Row],[Date Day]]) &gt; 0, TRUE, FALSE)</f>
        <v>0</v>
      </c>
      <c r="E552" s="64">
        <f t="shared" si="16"/>
        <v>7</v>
      </c>
      <c r="F552" s="64">
        <v>1</v>
      </c>
      <c r="G552" s="65" t="str">
        <f>IF(Table8[[#This Row],[Weathersit]]=1, "BAD", IF(Table8[[#This Row],[Weathersit]]=2, "MODERATE", IF(Table8[[#This Row],[Weathersit]]=3, "GOOD")))</f>
        <v>BAD</v>
      </c>
      <c r="H552" s="64">
        <v>14.000000000000002</v>
      </c>
      <c r="I552" s="65" t="str">
        <f>IF(Table8[[#This Row],[Temp]]&lt;11, "COLD", IF(Table8[[#This Row],[Temp]]&lt;=25, "COMFORTABLE", "WARM"))</f>
        <v>COMFORTABLE</v>
      </c>
      <c r="J552" s="64">
        <v>0.1061</v>
      </c>
      <c r="K552" s="64">
        <v>0.26</v>
      </c>
      <c r="L552" s="66">
        <v>38.81</v>
      </c>
      <c r="M552" s="75" t="s">
        <v>84</v>
      </c>
      <c r="N552" s="64">
        <v>5</v>
      </c>
      <c r="O552" s="64">
        <v>50</v>
      </c>
      <c r="P552" s="64">
        <v>55</v>
      </c>
      <c r="Q552" s="64"/>
      <c r="R552" s="65" t="str">
        <f t="shared" si="17"/>
        <v>Week 4</v>
      </c>
      <c r="S552" s="65" t="str">
        <f>TEXT(Table8[[#This Row],[Date Day]],"mmm,YYYY")</f>
        <v>Jan,2011</v>
      </c>
    </row>
    <row r="553" spans="1:19" ht="15.6" x14ac:dyDescent="0.3">
      <c r="A553" s="62">
        <v>520</v>
      </c>
      <c r="B553" s="63">
        <v>40566</v>
      </c>
      <c r="C553" s="64">
        <v>18</v>
      </c>
      <c r="D553" s="64" t="b">
        <f>IF(COUNTIF(AU$36:AU$52,Table8[[#This Row],[Date Day]]) &gt; 0, TRUE, FALSE)</f>
        <v>0</v>
      </c>
      <c r="E553" s="64">
        <f t="shared" si="16"/>
        <v>7</v>
      </c>
      <c r="F553" s="64">
        <v>1</v>
      </c>
      <c r="G553" s="65" t="str">
        <f>IF(Table8[[#This Row],[Weathersit]]=1, "BAD", IF(Table8[[#This Row],[Weathersit]]=2, "MODERATE", IF(Table8[[#This Row],[Weathersit]]=3, "GOOD")))</f>
        <v>BAD</v>
      </c>
      <c r="H553" s="64">
        <v>12</v>
      </c>
      <c r="I553" s="65" t="str">
        <f>IF(Table8[[#This Row],[Temp]]&lt;11, "COLD", IF(Table8[[#This Row],[Temp]]&lt;=25, "COMFORTABLE", "WARM"))</f>
        <v>COMFORTABLE</v>
      </c>
      <c r="J553" s="64">
        <v>0.1212</v>
      </c>
      <c r="K553" s="64">
        <v>0.3</v>
      </c>
      <c r="L553" s="66">
        <v>25.369999999999997</v>
      </c>
      <c r="M553" s="75" t="s">
        <v>81</v>
      </c>
      <c r="N553" s="64">
        <v>5</v>
      </c>
      <c r="O553" s="64">
        <v>44</v>
      </c>
      <c r="P553" s="64">
        <v>49</v>
      </c>
      <c r="Q553" s="64"/>
      <c r="R553" s="65" t="str">
        <f t="shared" si="17"/>
        <v>Week 4</v>
      </c>
      <c r="S553" s="65" t="str">
        <f>TEXT(Table8[[#This Row],[Date Day]],"mmm,YYYY")</f>
        <v>Jan,2011</v>
      </c>
    </row>
    <row r="554" spans="1:19" ht="15.6" x14ac:dyDescent="0.3">
      <c r="A554" s="62">
        <v>521</v>
      </c>
      <c r="B554" s="63">
        <v>40566</v>
      </c>
      <c r="C554" s="64">
        <v>19</v>
      </c>
      <c r="D554" s="64" t="b">
        <f>IF(COUNTIF(AU$36:AU$52,Table8[[#This Row],[Date Day]]) &gt; 0, TRUE, FALSE)</f>
        <v>0</v>
      </c>
      <c r="E554" s="64">
        <f t="shared" si="16"/>
        <v>7</v>
      </c>
      <c r="F554" s="64">
        <v>1</v>
      </c>
      <c r="G554" s="65" t="str">
        <f>IF(Table8[[#This Row],[Weathersit]]=1, "BAD", IF(Table8[[#This Row],[Weathersit]]=2, "MODERATE", IF(Table8[[#This Row],[Weathersit]]=3, "GOOD")))</f>
        <v>BAD</v>
      </c>
      <c r="H554" s="64">
        <v>12</v>
      </c>
      <c r="I554" s="65" t="str">
        <f>IF(Table8[[#This Row],[Temp]]&lt;11, "COLD", IF(Table8[[#This Row],[Temp]]&lt;=25, "COMFORTABLE", "WARM"))</f>
        <v>COMFORTABLE</v>
      </c>
      <c r="J554" s="64">
        <v>0.1212</v>
      </c>
      <c r="K554" s="64">
        <v>0.3</v>
      </c>
      <c r="L554" s="66">
        <v>28.360000000000003</v>
      </c>
      <c r="M554" s="75" t="s">
        <v>81</v>
      </c>
      <c r="N554" s="64">
        <v>5</v>
      </c>
      <c r="O554" s="64">
        <v>45</v>
      </c>
      <c r="P554" s="64">
        <v>50</v>
      </c>
      <c r="Q554" s="64"/>
      <c r="R554" s="65" t="str">
        <f t="shared" si="17"/>
        <v>Week 4</v>
      </c>
      <c r="S554" s="65" t="str">
        <f>TEXT(Table8[[#This Row],[Date Day]],"mmm,YYYY")</f>
        <v>Jan,2011</v>
      </c>
    </row>
    <row r="555" spans="1:19" ht="15.6" x14ac:dyDescent="0.3">
      <c r="A555" s="62">
        <v>522</v>
      </c>
      <c r="B555" s="63">
        <v>40566</v>
      </c>
      <c r="C555" s="64">
        <v>20</v>
      </c>
      <c r="D555" s="64" t="b">
        <f>IF(COUNTIF(AU$36:AU$52,Table8[[#This Row],[Date Day]]) &gt; 0, TRUE, FALSE)</f>
        <v>0</v>
      </c>
      <c r="E555" s="64">
        <f t="shared" si="16"/>
        <v>7</v>
      </c>
      <c r="F555" s="64">
        <v>1</v>
      </c>
      <c r="G555" s="65" t="str">
        <f>IF(Table8[[#This Row],[Weathersit]]=1, "BAD", IF(Table8[[#This Row],[Weathersit]]=2, "MODERATE", IF(Table8[[#This Row],[Weathersit]]=3, "GOOD")))</f>
        <v>BAD</v>
      </c>
      <c r="H555" s="64">
        <v>10</v>
      </c>
      <c r="I555" s="65" t="str">
        <f>IF(Table8[[#This Row],[Temp]]&lt;11, "COLD", IF(Table8[[#This Row],[Temp]]&lt;=25, "COMFORTABLE", "WARM"))</f>
        <v>COLD</v>
      </c>
      <c r="J555" s="64">
        <v>0.1061</v>
      </c>
      <c r="K555" s="64">
        <v>0.36</v>
      </c>
      <c r="L555" s="66">
        <v>25.369999999999997</v>
      </c>
      <c r="M555" s="75" t="s">
        <v>81</v>
      </c>
      <c r="N555" s="64">
        <v>4</v>
      </c>
      <c r="O555" s="64">
        <v>31</v>
      </c>
      <c r="P555" s="64">
        <v>35</v>
      </c>
      <c r="Q555" s="64"/>
      <c r="R555" s="65" t="str">
        <f t="shared" si="17"/>
        <v>Week 4</v>
      </c>
      <c r="S555" s="65" t="str">
        <f>TEXT(Table8[[#This Row],[Date Day]],"mmm,YYYY")</f>
        <v>Jan,2011</v>
      </c>
    </row>
    <row r="556" spans="1:19" ht="15.6" x14ac:dyDescent="0.3">
      <c r="A556" s="62">
        <v>523</v>
      </c>
      <c r="B556" s="63">
        <v>40566</v>
      </c>
      <c r="C556" s="64">
        <v>21</v>
      </c>
      <c r="D556" s="64" t="b">
        <f>IF(COUNTIF(AU$36:AU$52,Table8[[#This Row],[Date Day]]) &gt; 0, TRUE, FALSE)</f>
        <v>0</v>
      </c>
      <c r="E556" s="64">
        <f t="shared" si="16"/>
        <v>7</v>
      </c>
      <c r="F556" s="64">
        <v>1</v>
      </c>
      <c r="G556" s="65" t="str">
        <f>IF(Table8[[#This Row],[Weathersit]]=1, "BAD", IF(Table8[[#This Row],[Weathersit]]=2, "MODERATE", IF(Table8[[#This Row],[Weathersit]]=3, "GOOD")))</f>
        <v>BAD</v>
      </c>
      <c r="H556" s="64">
        <v>10</v>
      </c>
      <c r="I556" s="65" t="str">
        <f>IF(Table8[[#This Row],[Temp]]&lt;11, "COLD", IF(Table8[[#This Row],[Temp]]&lt;=25, "COMFORTABLE", "WARM"))</f>
        <v>COLD</v>
      </c>
      <c r="J556" s="64">
        <v>0.1061</v>
      </c>
      <c r="K556" s="64">
        <v>0.36</v>
      </c>
      <c r="L556" s="66">
        <v>19.400000000000002</v>
      </c>
      <c r="M556" s="75" t="s">
        <v>80</v>
      </c>
      <c r="N556" s="64">
        <v>5</v>
      </c>
      <c r="O556" s="64">
        <v>20</v>
      </c>
      <c r="P556" s="64">
        <v>25</v>
      </c>
      <c r="Q556" s="64"/>
      <c r="R556" s="65" t="str">
        <f t="shared" si="17"/>
        <v>Week 4</v>
      </c>
      <c r="S556" s="65" t="str">
        <f>TEXT(Table8[[#This Row],[Date Day]],"mmm,YYYY")</f>
        <v>Jan,2011</v>
      </c>
    </row>
    <row r="557" spans="1:19" ht="15.6" x14ac:dyDescent="0.3">
      <c r="A557" s="62">
        <v>524</v>
      </c>
      <c r="B557" s="63">
        <v>40566</v>
      </c>
      <c r="C557" s="64">
        <v>22</v>
      </c>
      <c r="D557" s="64" t="b">
        <f>IF(COUNTIF(AU$36:AU$52,Table8[[#This Row],[Date Day]]) &gt; 0, TRUE, FALSE)</f>
        <v>0</v>
      </c>
      <c r="E557" s="64">
        <f t="shared" si="16"/>
        <v>7</v>
      </c>
      <c r="F557" s="64">
        <v>1</v>
      </c>
      <c r="G557" s="65" t="str">
        <f>IF(Table8[[#This Row],[Weathersit]]=1, "BAD", IF(Table8[[#This Row],[Weathersit]]=2, "MODERATE", IF(Table8[[#This Row],[Weathersit]]=3, "GOOD")))</f>
        <v>BAD</v>
      </c>
      <c r="H557" s="64">
        <v>8</v>
      </c>
      <c r="I557" s="65" t="str">
        <f>IF(Table8[[#This Row],[Temp]]&lt;11, "COLD", IF(Table8[[#This Row],[Temp]]&lt;=25, "COMFORTABLE", "WARM"))</f>
        <v>COLD</v>
      </c>
      <c r="J557" s="64">
        <v>9.0899999999999995E-2</v>
      </c>
      <c r="K557" s="64">
        <v>0.38</v>
      </c>
      <c r="L557" s="66">
        <v>19.400000000000002</v>
      </c>
      <c r="M557" s="75" t="s">
        <v>80</v>
      </c>
      <c r="N557" s="64">
        <v>5</v>
      </c>
      <c r="O557" s="64">
        <v>23</v>
      </c>
      <c r="P557" s="64">
        <v>28</v>
      </c>
      <c r="Q557" s="64"/>
      <c r="R557" s="65" t="str">
        <f t="shared" si="17"/>
        <v>Week 4</v>
      </c>
      <c r="S557" s="65" t="str">
        <f>TEXT(Table8[[#This Row],[Date Day]],"mmm,YYYY")</f>
        <v>Jan,2011</v>
      </c>
    </row>
    <row r="558" spans="1:19" ht="15.6" x14ac:dyDescent="0.3">
      <c r="A558" s="62">
        <v>525</v>
      </c>
      <c r="B558" s="63">
        <v>40566</v>
      </c>
      <c r="C558" s="64">
        <v>23</v>
      </c>
      <c r="D558" s="64" t="b">
        <f>IF(COUNTIF(AU$36:AU$52,Table8[[#This Row],[Date Day]]) &gt; 0, TRUE, FALSE)</f>
        <v>0</v>
      </c>
      <c r="E558" s="64">
        <f t="shared" si="16"/>
        <v>7</v>
      </c>
      <c r="F558" s="64">
        <v>1</v>
      </c>
      <c r="G558" s="65" t="str">
        <f>IF(Table8[[#This Row],[Weathersit]]=1, "BAD", IF(Table8[[#This Row],[Weathersit]]=2, "MODERATE", IF(Table8[[#This Row],[Weathersit]]=3, "GOOD")))</f>
        <v>BAD</v>
      </c>
      <c r="H558" s="64">
        <v>6</v>
      </c>
      <c r="I558" s="65" t="str">
        <f>IF(Table8[[#This Row],[Temp]]&lt;11, "COLD", IF(Table8[[#This Row],[Temp]]&lt;=25, "COMFORTABLE", "WARM"))</f>
        <v>COLD</v>
      </c>
      <c r="J558" s="64">
        <v>6.0600000000000001E-2</v>
      </c>
      <c r="K558" s="64">
        <v>0.41</v>
      </c>
      <c r="L558" s="66">
        <v>22.39</v>
      </c>
      <c r="M558" s="75" t="s">
        <v>81</v>
      </c>
      <c r="N558" s="64">
        <v>4</v>
      </c>
      <c r="O558" s="64">
        <v>17</v>
      </c>
      <c r="P558" s="64">
        <v>21</v>
      </c>
      <c r="Q558" s="64"/>
      <c r="R558" s="65" t="str">
        <f t="shared" si="17"/>
        <v>Week 4</v>
      </c>
      <c r="S558" s="65" t="str">
        <f>TEXT(Table8[[#This Row],[Date Day]],"mmm,YYYY")</f>
        <v>Jan,2011</v>
      </c>
    </row>
    <row r="559" spans="1:19" ht="15.6" x14ac:dyDescent="0.3">
      <c r="A559" s="62">
        <v>526</v>
      </c>
      <c r="B559" s="63">
        <v>40567</v>
      </c>
      <c r="C559" s="64">
        <v>0</v>
      </c>
      <c r="D559" s="64" t="b">
        <f>IF(COUNTIF(AU$36:AU$52,Table8[[#This Row],[Date Day]]) &gt; 0, TRUE, FALSE)</f>
        <v>0</v>
      </c>
      <c r="E559" s="64">
        <f t="shared" si="16"/>
        <v>1</v>
      </c>
      <c r="F559" s="64">
        <v>1</v>
      </c>
      <c r="G559" s="65" t="str">
        <f>IF(Table8[[#This Row],[Weathersit]]=1, "BAD", IF(Table8[[#This Row],[Weathersit]]=2, "MODERATE", IF(Table8[[#This Row],[Weathersit]]=3, "GOOD")))</f>
        <v>BAD</v>
      </c>
      <c r="H559" s="64">
        <v>6</v>
      </c>
      <c r="I559" s="65" t="str">
        <f>IF(Table8[[#This Row],[Temp]]&lt;11, "COLD", IF(Table8[[#This Row],[Temp]]&lt;=25, "COMFORTABLE", "WARM"))</f>
        <v>COLD</v>
      </c>
      <c r="J559" s="64">
        <v>6.0600000000000001E-2</v>
      </c>
      <c r="K559" s="64">
        <v>0.41</v>
      </c>
      <c r="L559" s="66">
        <v>19.400000000000002</v>
      </c>
      <c r="M559" s="75" t="s">
        <v>80</v>
      </c>
      <c r="N559" s="64">
        <v>0</v>
      </c>
      <c r="O559" s="64">
        <v>7</v>
      </c>
      <c r="P559" s="64">
        <v>7</v>
      </c>
      <c r="Q559" s="64"/>
      <c r="R559" s="65" t="str">
        <f t="shared" si="17"/>
        <v>Week 4</v>
      </c>
      <c r="S559" s="65" t="str">
        <f>TEXT(Table8[[#This Row],[Date Day]],"mmm,YYYY")</f>
        <v>Jan,2011</v>
      </c>
    </row>
    <row r="560" spans="1:19" ht="15.6" x14ac:dyDescent="0.3">
      <c r="A560" s="62">
        <v>527</v>
      </c>
      <c r="B560" s="63">
        <v>40567</v>
      </c>
      <c r="C560" s="64">
        <v>1</v>
      </c>
      <c r="D560" s="64" t="b">
        <f>IF(COUNTIF(AU$36:AU$52,Table8[[#This Row],[Date Day]]) &gt; 0, TRUE, FALSE)</f>
        <v>0</v>
      </c>
      <c r="E560" s="64">
        <f t="shared" si="16"/>
        <v>1</v>
      </c>
      <c r="F560" s="64">
        <v>1</v>
      </c>
      <c r="G560" s="65" t="str">
        <f>IF(Table8[[#This Row],[Weathersit]]=1, "BAD", IF(Table8[[#This Row],[Weathersit]]=2, "MODERATE", IF(Table8[[#This Row],[Weathersit]]=3, "GOOD")))</f>
        <v>BAD</v>
      </c>
      <c r="H560" s="64">
        <v>4</v>
      </c>
      <c r="I560" s="65" t="str">
        <f>IF(Table8[[#This Row],[Temp]]&lt;11, "COLD", IF(Table8[[#This Row],[Temp]]&lt;=25, "COMFORTABLE", "WARM"))</f>
        <v>COLD</v>
      </c>
      <c r="J560" s="64">
        <v>4.5499999999999999E-2</v>
      </c>
      <c r="K560" s="64">
        <v>0.45</v>
      </c>
      <c r="L560" s="66">
        <v>19.400000000000002</v>
      </c>
      <c r="M560" s="75" t="s">
        <v>80</v>
      </c>
      <c r="N560" s="64">
        <v>0</v>
      </c>
      <c r="O560" s="64">
        <v>1</v>
      </c>
      <c r="P560" s="64">
        <v>1</v>
      </c>
      <c r="Q560" s="64"/>
      <c r="R560" s="65" t="str">
        <f t="shared" si="17"/>
        <v>Week 4</v>
      </c>
      <c r="S560" s="65" t="str">
        <f>TEXT(Table8[[#This Row],[Date Day]],"mmm,YYYY")</f>
        <v>Jan,2011</v>
      </c>
    </row>
    <row r="561" spans="1:19" ht="15.6" x14ac:dyDescent="0.3">
      <c r="A561" s="62">
        <v>528</v>
      </c>
      <c r="B561" s="63">
        <v>40567</v>
      </c>
      <c r="C561" s="64">
        <v>3</v>
      </c>
      <c r="D561" s="64" t="b">
        <f>IF(COUNTIF(AU$36:AU$52,Table8[[#This Row],[Date Day]]) &gt; 0, TRUE, FALSE)</f>
        <v>0</v>
      </c>
      <c r="E561" s="64">
        <f t="shared" si="16"/>
        <v>1</v>
      </c>
      <c r="F561" s="64">
        <v>1</v>
      </c>
      <c r="G561" s="65" t="str">
        <f>IF(Table8[[#This Row],[Weathersit]]=1, "BAD", IF(Table8[[#This Row],[Weathersit]]=2, "MODERATE", IF(Table8[[#This Row],[Weathersit]]=3, "GOOD")))</f>
        <v>BAD</v>
      </c>
      <c r="H561" s="64">
        <v>4</v>
      </c>
      <c r="I561" s="65" t="str">
        <f>IF(Table8[[#This Row],[Temp]]&lt;11, "COLD", IF(Table8[[#This Row],[Temp]]&lt;=25, "COMFORTABLE", "WARM"))</f>
        <v>COLD</v>
      </c>
      <c r="J561" s="64">
        <v>3.0300000000000001E-2</v>
      </c>
      <c r="K561" s="64">
        <v>0.45</v>
      </c>
      <c r="L561" s="66">
        <v>25.369999999999997</v>
      </c>
      <c r="M561" s="75" t="s">
        <v>81</v>
      </c>
      <c r="N561" s="64">
        <v>0</v>
      </c>
      <c r="O561" s="64">
        <v>1</v>
      </c>
      <c r="P561" s="64">
        <v>1</v>
      </c>
      <c r="Q561" s="64"/>
      <c r="R561" s="65" t="str">
        <f t="shared" si="17"/>
        <v>Week 4</v>
      </c>
      <c r="S561" s="65" t="str">
        <f>TEXT(Table8[[#This Row],[Date Day]],"mmm,YYYY")</f>
        <v>Jan,2011</v>
      </c>
    </row>
    <row r="562" spans="1:19" ht="15.6" x14ac:dyDescent="0.3">
      <c r="A562" s="62">
        <v>529</v>
      </c>
      <c r="B562" s="63">
        <v>40567</v>
      </c>
      <c r="C562" s="64">
        <v>4</v>
      </c>
      <c r="D562" s="64" t="b">
        <f>IF(COUNTIF(AU$36:AU$52,Table8[[#This Row],[Date Day]]) &gt; 0, TRUE, FALSE)</f>
        <v>0</v>
      </c>
      <c r="E562" s="64">
        <f t="shared" si="16"/>
        <v>1</v>
      </c>
      <c r="F562" s="64">
        <v>1</v>
      </c>
      <c r="G562" s="65" t="str">
        <f>IF(Table8[[#This Row],[Weathersit]]=1, "BAD", IF(Table8[[#This Row],[Weathersit]]=2, "MODERATE", IF(Table8[[#This Row],[Weathersit]]=3, "GOOD")))</f>
        <v>BAD</v>
      </c>
      <c r="H562" s="64">
        <v>2</v>
      </c>
      <c r="I562" s="65" t="str">
        <f>IF(Table8[[#This Row],[Temp]]&lt;11, "COLD", IF(Table8[[#This Row],[Temp]]&lt;=25, "COMFORTABLE", "WARM"))</f>
        <v>COLD</v>
      </c>
      <c r="J562" s="64">
        <v>6.0600000000000001E-2</v>
      </c>
      <c r="K562" s="64">
        <v>0.48</v>
      </c>
      <c r="L562" s="66">
        <v>13.43</v>
      </c>
      <c r="M562" s="75" t="s">
        <v>80</v>
      </c>
      <c r="N562" s="64">
        <v>0</v>
      </c>
      <c r="O562" s="64">
        <v>1</v>
      </c>
      <c r="P562" s="64">
        <v>1</v>
      </c>
      <c r="Q562" s="64"/>
      <c r="R562" s="65" t="str">
        <f t="shared" si="17"/>
        <v>Week 4</v>
      </c>
      <c r="S562" s="65" t="str">
        <f>TEXT(Table8[[#This Row],[Date Day]],"mmm,YYYY")</f>
        <v>Jan,2011</v>
      </c>
    </row>
    <row r="563" spans="1:19" ht="15.6" x14ac:dyDescent="0.3">
      <c r="A563" s="62">
        <v>530</v>
      </c>
      <c r="B563" s="63">
        <v>40567</v>
      </c>
      <c r="C563" s="64">
        <v>5</v>
      </c>
      <c r="D563" s="64" t="b">
        <f>IF(COUNTIF(AU$36:AU$52,Table8[[#This Row],[Date Day]]) &gt; 0, TRUE, FALSE)</f>
        <v>0</v>
      </c>
      <c r="E563" s="64">
        <f t="shared" si="16"/>
        <v>1</v>
      </c>
      <c r="F563" s="64">
        <v>1</v>
      </c>
      <c r="G563" s="65" t="str">
        <f>IF(Table8[[#This Row],[Weathersit]]=1, "BAD", IF(Table8[[#This Row],[Weathersit]]=2, "MODERATE", IF(Table8[[#This Row],[Weathersit]]=3, "GOOD")))</f>
        <v>BAD</v>
      </c>
      <c r="H563" s="64">
        <v>2</v>
      </c>
      <c r="I563" s="65" t="str">
        <f>IF(Table8[[#This Row],[Temp]]&lt;11, "COLD", IF(Table8[[#This Row],[Temp]]&lt;=25, "COMFORTABLE", "WARM"))</f>
        <v>COLD</v>
      </c>
      <c r="J563" s="64">
        <v>6.0600000000000001E-2</v>
      </c>
      <c r="K563" s="64">
        <v>0.48</v>
      </c>
      <c r="L563" s="66">
        <v>13.43</v>
      </c>
      <c r="M563" s="75" t="s">
        <v>80</v>
      </c>
      <c r="N563" s="64">
        <v>0</v>
      </c>
      <c r="O563" s="64">
        <v>5</v>
      </c>
      <c r="P563" s="64">
        <v>5</v>
      </c>
      <c r="Q563" s="64"/>
      <c r="R563" s="65" t="str">
        <f t="shared" si="17"/>
        <v>Week 4</v>
      </c>
      <c r="S563" s="65" t="str">
        <f>TEXT(Table8[[#This Row],[Date Day]],"mmm,YYYY")</f>
        <v>Jan,2011</v>
      </c>
    </row>
    <row r="564" spans="1:19" ht="15.6" x14ac:dyDescent="0.3">
      <c r="A564" s="62">
        <v>531</v>
      </c>
      <c r="B564" s="63">
        <v>40567</v>
      </c>
      <c r="C564" s="64">
        <v>6</v>
      </c>
      <c r="D564" s="64" t="b">
        <f>IF(COUNTIF(AU$36:AU$52,Table8[[#This Row],[Date Day]]) &gt; 0, TRUE, FALSE)</f>
        <v>0</v>
      </c>
      <c r="E564" s="64">
        <f t="shared" si="16"/>
        <v>1</v>
      </c>
      <c r="F564" s="64">
        <v>1</v>
      </c>
      <c r="G564" s="65" t="str">
        <f>IF(Table8[[#This Row],[Weathersit]]=1, "BAD", IF(Table8[[#This Row],[Weathersit]]=2, "MODERATE", IF(Table8[[#This Row],[Weathersit]]=3, "GOOD")))</f>
        <v>BAD</v>
      </c>
      <c r="H564" s="64">
        <v>2</v>
      </c>
      <c r="I564" s="65" t="str">
        <f>IF(Table8[[#This Row],[Temp]]&lt;11, "COLD", IF(Table8[[#This Row],[Temp]]&lt;=25, "COMFORTABLE", "WARM"))</f>
        <v>COLD</v>
      </c>
      <c r="J564" s="64">
        <v>7.5800000000000006E-2</v>
      </c>
      <c r="K564" s="64">
        <v>0.48</v>
      </c>
      <c r="L564" s="66">
        <v>8.9599999999999991</v>
      </c>
      <c r="M564" s="75" t="s">
        <v>80</v>
      </c>
      <c r="N564" s="64">
        <v>0</v>
      </c>
      <c r="O564" s="64">
        <v>15</v>
      </c>
      <c r="P564" s="64">
        <v>15</v>
      </c>
      <c r="Q564" s="64"/>
      <c r="R564" s="65" t="str">
        <f t="shared" si="17"/>
        <v>Week 4</v>
      </c>
      <c r="S564" s="65" t="str">
        <f>TEXT(Table8[[#This Row],[Date Day]],"mmm,YYYY")</f>
        <v>Jan,2011</v>
      </c>
    </row>
    <row r="565" spans="1:19" ht="15.6" x14ac:dyDescent="0.3">
      <c r="A565" s="62">
        <v>532</v>
      </c>
      <c r="B565" s="63">
        <v>40567</v>
      </c>
      <c r="C565" s="64">
        <v>7</v>
      </c>
      <c r="D565" s="64" t="b">
        <f>IF(COUNTIF(AU$36:AU$52,Table8[[#This Row],[Date Day]]) &gt; 0, TRUE, FALSE)</f>
        <v>0</v>
      </c>
      <c r="E565" s="64">
        <f t="shared" si="16"/>
        <v>1</v>
      </c>
      <c r="F565" s="64">
        <v>1</v>
      </c>
      <c r="G565" s="65" t="str">
        <f>IF(Table8[[#This Row],[Weathersit]]=1, "BAD", IF(Table8[[#This Row],[Weathersit]]=2, "MODERATE", IF(Table8[[#This Row],[Weathersit]]=3, "GOOD")))</f>
        <v>BAD</v>
      </c>
      <c r="H565" s="64">
        <v>2</v>
      </c>
      <c r="I565" s="65" t="str">
        <f>IF(Table8[[#This Row],[Temp]]&lt;11, "COLD", IF(Table8[[#This Row],[Temp]]&lt;=25, "COMFORTABLE", "WARM"))</f>
        <v>COLD</v>
      </c>
      <c r="J565" s="64">
        <v>0.1212</v>
      </c>
      <c r="K565" s="64">
        <v>0.48</v>
      </c>
      <c r="L565" s="66">
        <v>20.485098360655737</v>
      </c>
      <c r="M565" s="75" t="s">
        <v>81</v>
      </c>
      <c r="N565" s="64">
        <v>5</v>
      </c>
      <c r="O565" s="64">
        <v>79</v>
      </c>
      <c r="P565" s="64">
        <v>84</v>
      </c>
      <c r="Q565" s="64"/>
      <c r="R565" s="65" t="str">
        <f t="shared" si="17"/>
        <v>Week 4</v>
      </c>
      <c r="S565" s="65" t="str">
        <f>TEXT(Table8[[#This Row],[Date Day]],"mmm,YYYY")</f>
        <v>Jan,2011</v>
      </c>
    </row>
    <row r="566" spans="1:19" ht="15.6" x14ac:dyDescent="0.3">
      <c r="A566" s="62">
        <v>533</v>
      </c>
      <c r="B566" s="63">
        <v>40567</v>
      </c>
      <c r="C566" s="64">
        <v>8</v>
      </c>
      <c r="D566" s="64" t="b">
        <f>IF(COUNTIF(AU$36:AU$52,Table8[[#This Row],[Date Day]]) &gt; 0, TRUE, FALSE)</f>
        <v>0</v>
      </c>
      <c r="E566" s="64">
        <f t="shared" si="16"/>
        <v>1</v>
      </c>
      <c r="F566" s="64">
        <v>1</v>
      </c>
      <c r="G566" s="65" t="str">
        <f>IF(Table8[[#This Row],[Weathersit]]=1, "BAD", IF(Table8[[#This Row],[Weathersit]]=2, "MODERATE", IF(Table8[[#This Row],[Weathersit]]=3, "GOOD")))</f>
        <v>BAD</v>
      </c>
      <c r="H566" s="64">
        <v>4</v>
      </c>
      <c r="I566" s="65" t="str">
        <f>IF(Table8[[#This Row],[Temp]]&lt;11, "COLD", IF(Table8[[#This Row],[Temp]]&lt;=25, "COMFORTABLE", "WARM"))</f>
        <v>COLD</v>
      </c>
      <c r="J566" s="64">
        <v>0.13639999999999999</v>
      </c>
      <c r="K566" s="64">
        <v>0.49</v>
      </c>
      <c r="L566" s="66">
        <v>20.485098360655737</v>
      </c>
      <c r="M566" s="75" t="s">
        <v>81</v>
      </c>
      <c r="N566" s="64">
        <v>6</v>
      </c>
      <c r="O566" s="64">
        <v>171</v>
      </c>
      <c r="P566" s="64">
        <v>177</v>
      </c>
      <c r="Q566" s="64"/>
      <c r="R566" s="65" t="str">
        <f t="shared" si="17"/>
        <v>Week 4</v>
      </c>
      <c r="S566" s="65" t="str">
        <f>TEXT(Table8[[#This Row],[Date Day]],"mmm,YYYY")</f>
        <v>Jan,2011</v>
      </c>
    </row>
    <row r="567" spans="1:19" ht="15.6" x14ac:dyDescent="0.3">
      <c r="A567" s="62">
        <v>534</v>
      </c>
      <c r="B567" s="63">
        <v>40567</v>
      </c>
      <c r="C567" s="64">
        <v>9</v>
      </c>
      <c r="D567" s="64" t="b">
        <f>IF(COUNTIF(AU$36:AU$52,Table8[[#This Row],[Date Day]]) &gt; 0, TRUE, FALSE)</f>
        <v>0</v>
      </c>
      <c r="E567" s="64">
        <f t="shared" si="16"/>
        <v>1</v>
      </c>
      <c r="F567" s="64">
        <v>1</v>
      </c>
      <c r="G567" s="65" t="str">
        <f>IF(Table8[[#This Row],[Weathersit]]=1, "BAD", IF(Table8[[#This Row],[Weathersit]]=2, "MODERATE", IF(Table8[[#This Row],[Weathersit]]=3, "GOOD")))</f>
        <v>BAD</v>
      </c>
      <c r="H567" s="64">
        <v>6</v>
      </c>
      <c r="I567" s="65" t="str">
        <f>IF(Table8[[#This Row],[Temp]]&lt;11, "COLD", IF(Table8[[#This Row],[Temp]]&lt;=25, "COMFORTABLE", "WARM"))</f>
        <v>COLD</v>
      </c>
      <c r="J567" s="64">
        <v>0.1515</v>
      </c>
      <c r="K567" s="64">
        <v>0.41</v>
      </c>
      <c r="L567" s="66">
        <v>20.485098360655737</v>
      </c>
      <c r="M567" s="75" t="s">
        <v>81</v>
      </c>
      <c r="N567" s="64">
        <v>4</v>
      </c>
      <c r="O567" s="64">
        <v>98</v>
      </c>
      <c r="P567" s="64">
        <v>102</v>
      </c>
      <c r="Q567" s="64"/>
      <c r="R567" s="65" t="str">
        <f t="shared" si="17"/>
        <v>Week 4</v>
      </c>
      <c r="S567" s="65" t="str">
        <f>TEXT(Table8[[#This Row],[Date Day]],"mmm,YYYY")</f>
        <v>Jan,2011</v>
      </c>
    </row>
    <row r="568" spans="1:19" ht="15.6" x14ac:dyDescent="0.3">
      <c r="A568" s="62">
        <v>535</v>
      </c>
      <c r="B568" s="63">
        <v>40567</v>
      </c>
      <c r="C568" s="64">
        <v>10</v>
      </c>
      <c r="D568" s="64" t="b">
        <f>IF(COUNTIF(AU$36:AU$52,Table8[[#This Row],[Date Day]]) &gt; 0, TRUE, FALSE)</f>
        <v>0</v>
      </c>
      <c r="E568" s="64">
        <f t="shared" si="16"/>
        <v>1</v>
      </c>
      <c r="F568" s="64">
        <v>1</v>
      </c>
      <c r="G568" s="65" t="str">
        <f>IF(Table8[[#This Row],[Weathersit]]=1, "BAD", IF(Table8[[#This Row],[Weathersit]]=2, "MODERATE", IF(Table8[[#This Row],[Weathersit]]=3, "GOOD")))</f>
        <v>BAD</v>
      </c>
      <c r="H568" s="64">
        <v>10</v>
      </c>
      <c r="I568" s="65" t="str">
        <f>IF(Table8[[#This Row],[Temp]]&lt;11, "COLD", IF(Table8[[#This Row],[Temp]]&lt;=25, "COMFORTABLE", "WARM"))</f>
        <v>COLD</v>
      </c>
      <c r="J568" s="64">
        <v>0.13639999999999999</v>
      </c>
      <c r="K568" s="64">
        <v>0.42</v>
      </c>
      <c r="L568" s="66">
        <v>20.485098360655737</v>
      </c>
      <c r="M568" s="75" t="s">
        <v>81</v>
      </c>
      <c r="N568" s="64">
        <v>6</v>
      </c>
      <c r="O568" s="64">
        <v>34</v>
      </c>
      <c r="P568" s="64">
        <v>40</v>
      </c>
      <c r="Q568" s="64"/>
      <c r="R568" s="65" t="str">
        <f t="shared" si="17"/>
        <v>Week 4</v>
      </c>
      <c r="S568" s="65" t="str">
        <f>TEXT(Table8[[#This Row],[Date Day]],"mmm,YYYY")</f>
        <v>Jan,2011</v>
      </c>
    </row>
    <row r="569" spans="1:19" ht="15.6" x14ac:dyDescent="0.3">
      <c r="A569" s="62">
        <v>536</v>
      </c>
      <c r="B569" s="63">
        <v>40567</v>
      </c>
      <c r="C569" s="64">
        <v>11</v>
      </c>
      <c r="D569" s="64" t="b">
        <f>IF(COUNTIF(AU$36:AU$52,Table8[[#This Row],[Date Day]]) &gt; 0, TRUE, FALSE)</f>
        <v>0</v>
      </c>
      <c r="E569" s="64">
        <f t="shared" si="16"/>
        <v>1</v>
      </c>
      <c r="F569" s="64">
        <v>1</v>
      </c>
      <c r="G569" s="65" t="str">
        <f>IF(Table8[[#This Row],[Weathersit]]=1, "BAD", IF(Table8[[#This Row],[Weathersit]]=2, "MODERATE", IF(Table8[[#This Row],[Weathersit]]=3, "GOOD")))</f>
        <v>BAD</v>
      </c>
      <c r="H569" s="64">
        <v>10</v>
      </c>
      <c r="I569" s="65" t="str">
        <f>IF(Table8[[#This Row],[Temp]]&lt;11, "COLD", IF(Table8[[#This Row],[Temp]]&lt;=25, "COMFORTABLE", "WARM"))</f>
        <v>COLD</v>
      </c>
      <c r="J569" s="64">
        <v>0.1212</v>
      </c>
      <c r="K569" s="64">
        <v>0.46</v>
      </c>
      <c r="L569" s="66">
        <v>13.43</v>
      </c>
      <c r="M569" s="75" t="s">
        <v>80</v>
      </c>
      <c r="N569" s="64">
        <v>3</v>
      </c>
      <c r="O569" s="64">
        <v>43</v>
      </c>
      <c r="P569" s="64">
        <v>46</v>
      </c>
      <c r="Q569" s="64"/>
      <c r="R569" s="65" t="str">
        <f t="shared" si="17"/>
        <v>Week 4</v>
      </c>
      <c r="S569" s="65" t="str">
        <f>TEXT(Table8[[#This Row],[Date Day]],"mmm,YYYY")</f>
        <v>Jan,2011</v>
      </c>
    </row>
    <row r="570" spans="1:19" ht="15.6" x14ac:dyDescent="0.3">
      <c r="A570" s="62">
        <v>537</v>
      </c>
      <c r="B570" s="63">
        <v>40567</v>
      </c>
      <c r="C570" s="64">
        <v>12</v>
      </c>
      <c r="D570" s="64" t="b">
        <f>IF(COUNTIF(AU$36:AU$52,Table8[[#This Row],[Date Day]]) &gt; 0, TRUE, FALSE)</f>
        <v>0</v>
      </c>
      <c r="E570" s="64">
        <f t="shared" si="16"/>
        <v>1</v>
      </c>
      <c r="F570" s="64">
        <v>2</v>
      </c>
      <c r="G570" s="65" t="str">
        <f>IF(Table8[[#This Row],[Weathersit]]=1, "BAD", IF(Table8[[#This Row],[Weathersit]]=2, "MODERATE", IF(Table8[[#This Row],[Weathersit]]=3, "GOOD")))</f>
        <v>MODERATE</v>
      </c>
      <c r="H570" s="64">
        <v>12</v>
      </c>
      <c r="I570" s="65" t="str">
        <f>IF(Table8[[#This Row],[Temp]]&lt;11, "COLD", IF(Table8[[#This Row],[Temp]]&lt;=25, "COMFORTABLE", "WARM"))</f>
        <v>COMFORTABLE</v>
      </c>
      <c r="J570" s="64">
        <v>0.13639999999999999</v>
      </c>
      <c r="K570" s="64">
        <v>0.42</v>
      </c>
      <c r="L570" s="66">
        <v>19.400000000000002</v>
      </c>
      <c r="M570" s="75" t="s">
        <v>80</v>
      </c>
      <c r="N570" s="64">
        <v>11</v>
      </c>
      <c r="O570" s="64">
        <v>52</v>
      </c>
      <c r="P570" s="64">
        <v>63</v>
      </c>
      <c r="Q570" s="64"/>
      <c r="R570" s="65" t="str">
        <f t="shared" si="17"/>
        <v>Week 4</v>
      </c>
      <c r="S570" s="65" t="str">
        <f>TEXT(Table8[[#This Row],[Date Day]],"mmm,YYYY")</f>
        <v>Jan,2011</v>
      </c>
    </row>
    <row r="571" spans="1:19" ht="15.6" x14ac:dyDescent="0.3">
      <c r="A571" s="62">
        <v>538</v>
      </c>
      <c r="B571" s="63">
        <v>40567</v>
      </c>
      <c r="C571" s="64">
        <v>13</v>
      </c>
      <c r="D571" s="64" t="b">
        <f>IF(COUNTIF(AU$36:AU$52,Table8[[#This Row],[Date Day]]) &gt; 0, TRUE, FALSE)</f>
        <v>0</v>
      </c>
      <c r="E571" s="64">
        <f t="shared" si="16"/>
        <v>1</v>
      </c>
      <c r="F571" s="64">
        <v>2</v>
      </c>
      <c r="G571" s="65" t="str">
        <f>IF(Table8[[#This Row],[Weathersit]]=1, "BAD", IF(Table8[[#This Row],[Weathersit]]=2, "MODERATE", IF(Table8[[#This Row],[Weathersit]]=3, "GOOD")))</f>
        <v>MODERATE</v>
      </c>
      <c r="H571" s="64">
        <v>14.000000000000002</v>
      </c>
      <c r="I571" s="65" t="str">
        <f>IF(Table8[[#This Row],[Temp]]&lt;11, "COLD", IF(Table8[[#This Row],[Temp]]&lt;=25, "COMFORTABLE", "WARM"))</f>
        <v>COMFORTABLE</v>
      </c>
      <c r="J571" s="64">
        <v>0.13639999999999999</v>
      </c>
      <c r="K571" s="64">
        <v>0.43</v>
      </c>
      <c r="L571" s="66">
        <v>22.39</v>
      </c>
      <c r="M571" s="75" t="s">
        <v>81</v>
      </c>
      <c r="N571" s="64">
        <v>6</v>
      </c>
      <c r="O571" s="64">
        <v>54</v>
      </c>
      <c r="P571" s="64">
        <v>60</v>
      </c>
      <c r="Q571" s="64"/>
      <c r="R571" s="65" t="str">
        <f t="shared" si="17"/>
        <v>Week 4</v>
      </c>
      <c r="S571" s="65" t="str">
        <f>TEXT(Table8[[#This Row],[Date Day]],"mmm,YYYY")</f>
        <v>Jan,2011</v>
      </c>
    </row>
    <row r="572" spans="1:19" ht="15.6" x14ac:dyDescent="0.3">
      <c r="A572" s="62">
        <v>539</v>
      </c>
      <c r="B572" s="63">
        <v>40567</v>
      </c>
      <c r="C572" s="64">
        <v>14</v>
      </c>
      <c r="D572" s="64" t="b">
        <f>IF(COUNTIF(AU$36:AU$52,Table8[[#This Row],[Date Day]]) &gt; 0, TRUE, FALSE)</f>
        <v>0</v>
      </c>
      <c r="E572" s="64">
        <f t="shared" si="16"/>
        <v>1</v>
      </c>
      <c r="F572" s="64">
        <v>2</v>
      </c>
      <c r="G572" s="65" t="str">
        <f>IF(Table8[[#This Row],[Weathersit]]=1, "BAD", IF(Table8[[#This Row],[Weathersit]]=2, "MODERATE", IF(Table8[[#This Row],[Weathersit]]=3, "GOOD")))</f>
        <v>MODERATE</v>
      </c>
      <c r="H572" s="64">
        <v>14.000000000000002</v>
      </c>
      <c r="I572" s="65" t="str">
        <f>IF(Table8[[#This Row],[Temp]]&lt;11, "COLD", IF(Table8[[#This Row],[Temp]]&lt;=25, "COMFORTABLE", "WARM"))</f>
        <v>COMFORTABLE</v>
      </c>
      <c r="J572" s="64">
        <v>0.13639999999999999</v>
      </c>
      <c r="K572" s="64">
        <v>0.46</v>
      </c>
      <c r="L572" s="66">
        <v>22.39</v>
      </c>
      <c r="M572" s="75" t="s">
        <v>81</v>
      </c>
      <c r="N572" s="64">
        <v>2</v>
      </c>
      <c r="O572" s="64">
        <v>43</v>
      </c>
      <c r="P572" s="64">
        <v>45</v>
      </c>
      <c r="Q572" s="64"/>
      <c r="R572" s="65" t="str">
        <f t="shared" si="17"/>
        <v>Week 4</v>
      </c>
      <c r="S572" s="65" t="str">
        <f>TEXT(Table8[[#This Row],[Date Day]],"mmm,YYYY")</f>
        <v>Jan,2011</v>
      </c>
    </row>
    <row r="573" spans="1:19" ht="15.6" x14ac:dyDescent="0.3">
      <c r="A573" s="62">
        <v>540</v>
      </c>
      <c r="B573" s="63">
        <v>40567</v>
      </c>
      <c r="C573" s="64">
        <v>15</v>
      </c>
      <c r="D573" s="64" t="b">
        <f>IF(COUNTIF(AU$36:AU$52,Table8[[#This Row],[Date Day]]) &gt; 0, TRUE, FALSE)</f>
        <v>0</v>
      </c>
      <c r="E573" s="64">
        <f t="shared" si="16"/>
        <v>1</v>
      </c>
      <c r="F573" s="64">
        <v>1</v>
      </c>
      <c r="G573" s="65" t="str">
        <f>IF(Table8[[#This Row],[Weathersit]]=1, "BAD", IF(Table8[[#This Row],[Weathersit]]=2, "MODERATE", IF(Table8[[#This Row],[Weathersit]]=3, "GOOD")))</f>
        <v>BAD</v>
      </c>
      <c r="H573" s="64">
        <v>16</v>
      </c>
      <c r="I573" s="65" t="str">
        <f>IF(Table8[[#This Row],[Temp]]&lt;11, "COLD", IF(Table8[[#This Row],[Temp]]&lt;=25, "COMFORTABLE", "WARM"))</f>
        <v>COMFORTABLE</v>
      </c>
      <c r="J573" s="64">
        <v>0.16669999999999999</v>
      </c>
      <c r="K573" s="64">
        <v>0.4</v>
      </c>
      <c r="L573" s="66">
        <v>16.420000000000002</v>
      </c>
      <c r="M573" s="75" t="s">
        <v>80</v>
      </c>
      <c r="N573" s="64">
        <v>7</v>
      </c>
      <c r="O573" s="64">
        <v>50</v>
      </c>
      <c r="P573" s="64">
        <v>57</v>
      </c>
      <c r="Q573" s="64"/>
      <c r="R573" s="65" t="str">
        <f t="shared" si="17"/>
        <v>Week 4</v>
      </c>
      <c r="S573" s="65" t="str">
        <f>TEXT(Table8[[#This Row],[Date Day]],"mmm,YYYY")</f>
        <v>Jan,2011</v>
      </c>
    </row>
    <row r="574" spans="1:19" ht="15.6" x14ac:dyDescent="0.3">
      <c r="A574" s="62">
        <v>541</v>
      </c>
      <c r="B574" s="63">
        <v>40567</v>
      </c>
      <c r="C574" s="64">
        <v>16</v>
      </c>
      <c r="D574" s="64" t="b">
        <f>IF(COUNTIF(AU$36:AU$52,Table8[[#This Row],[Date Day]]) &gt; 0, TRUE, FALSE)</f>
        <v>0</v>
      </c>
      <c r="E574" s="64">
        <f t="shared" si="16"/>
        <v>1</v>
      </c>
      <c r="F574" s="64">
        <v>1</v>
      </c>
      <c r="G574" s="65" t="str">
        <f>IF(Table8[[#This Row],[Weathersit]]=1, "BAD", IF(Table8[[#This Row],[Weathersit]]=2, "MODERATE", IF(Table8[[#This Row],[Weathersit]]=3, "GOOD")))</f>
        <v>BAD</v>
      </c>
      <c r="H574" s="64">
        <v>16</v>
      </c>
      <c r="I574" s="65" t="str">
        <f>IF(Table8[[#This Row],[Temp]]&lt;11, "COLD", IF(Table8[[#This Row],[Temp]]&lt;=25, "COMFORTABLE", "WARM"))</f>
        <v>COMFORTABLE</v>
      </c>
      <c r="J574" s="64">
        <v>0.1515</v>
      </c>
      <c r="K574" s="64">
        <v>0.47</v>
      </c>
      <c r="L574" s="66">
        <v>25.369999999999997</v>
      </c>
      <c r="M574" s="75" t="s">
        <v>81</v>
      </c>
      <c r="N574" s="64">
        <v>4</v>
      </c>
      <c r="O574" s="64">
        <v>66</v>
      </c>
      <c r="P574" s="64">
        <v>70</v>
      </c>
      <c r="Q574" s="64"/>
      <c r="R574" s="65" t="str">
        <f t="shared" si="17"/>
        <v>Week 4</v>
      </c>
      <c r="S574" s="65" t="str">
        <f>TEXT(Table8[[#This Row],[Date Day]],"mmm,YYYY")</f>
        <v>Jan,2011</v>
      </c>
    </row>
    <row r="575" spans="1:19" ht="15.6" x14ac:dyDescent="0.3">
      <c r="A575" s="62">
        <v>542</v>
      </c>
      <c r="B575" s="63">
        <v>40567</v>
      </c>
      <c r="C575" s="64">
        <v>17</v>
      </c>
      <c r="D575" s="64" t="b">
        <f>IF(COUNTIF(AU$36:AU$52,Table8[[#This Row],[Date Day]]) &gt; 0, TRUE, FALSE)</f>
        <v>0</v>
      </c>
      <c r="E575" s="64">
        <f t="shared" si="16"/>
        <v>1</v>
      </c>
      <c r="F575" s="64">
        <v>1</v>
      </c>
      <c r="G575" s="65" t="str">
        <f>IF(Table8[[#This Row],[Weathersit]]=1, "BAD", IF(Table8[[#This Row],[Weathersit]]=2, "MODERATE", IF(Table8[[#This Row],[Weathersit]]=3, "GOOD")))</f>
        <v>BAD</v>
      </c>
      <c r="H575" s="64">
        <v>14.000000000000002</v>
      </c>
      <c r="I575" s="65" t="str">
        <f>IF(Table8[[#This Row],[Temp]]&lt;11, "COLD", IF(Table8[[#This Row],[Temp]]&lt;=25, "COMFORTABLE", "WARM"))</f>
        <v>COMFORTABLE</v>
      </c>
      <c r="J575" s="64">
        <v>0.1212</v>
      </c>
      <c r="K575" s="64">
        <v>0.5</v>
      </c>
      <c r="L575" s="66">
        <v>25.369999999999997</v>
      </c>
      <c r="M575" s="75" t="s">
        <v>81</v>
      </c>
      <c r="N575" s="64">
        <v>6</v>
      </c>
      <c r="O575" s="64">
        <v>178</v>
      </c>
      <c r="P575" s="64">
        <v>184</v>
      </c>
      <c r="Q575" s="64"/>
      <c r="R575" s="65" t="str">
        <f t="shared" si="17"/>
        <v>Week 4</v>
      </c>
      <c r="S575" s="65" t="str">
        <f>TEXT(Table8[[#This Row],[Date Day]],"mmm,YYYY")</f>
        <v>Jan,2011</v>
      </c>
    </row>
    <row r="576" spans="1:19" ht="15.6" x14ac:dyDescent="0.3">
      <c r="A576" s="62">
        <v>543</v>
      </c>
      <c r="B576" s="63">
        <v>40567</v>
      </c>
      <c r="C576" s="64">
        <v>18</v>
      </c>
      <c r="D576" s="64" t="b">
        <f>IF(COUNTIF(AU$36:AU$52,Table8[[#This Row],[Date Day]]) &gt; 0, TRUE, FALSE)</f>
        <v>0</v>
      </c>
      <c r="E576" s="64">
        <f t="shared" si="16"/>
        <v>1</v>
      </c>
      <c r="F576" s="64">
        <v>1</v>
      </c>
      <c r="G576" s="65" t="str">
        <f>IF(Table8[[#This Row],[Weathersit]]=1, "BAD", IF(Table8[[#This Row],[Weathersit]]=2, "MODERATE", IF(Table8[[#This Row],[Weathersit]]=3, "GOOD")))</f>
        <v>BAD</v>
      </c>
      <c r="H576" s="64">
        <v>14.000000000000002</v>
      </c>
      <c r="I576" s="65" t="str">
        <f>IF(Table8[[#This Row],[Temp]]&lt;11, "COLD", IF(Table8[[#This Row],[Temp]]&lt;=25, "COMFORTABLE", "WARM"))</f>
        <v>COMFORTABLE</v>
      </c>
      <c r="J576" s="64">
        <v>0.13639999999999999</v>
      </c>
      <c r="K576" s="64">
        <v>0.59</v>
      </c>
      <c r="L576" s="66">
        <v>19.400000000000002</v>
      </c>
      <c r="M576" s="75" t="s">
        <v>80</v>
      </c>
      <c r="N576" s="64">
        <v>8</v>
      </c>
      <c r="O576" s="64">
        <v>145</v>
      </c>
      <c r="P576" s="64">
        <v>153</v>
      </c>
      <c r="Q576" s="64"/>
      <c r="R576" s="65" t="str">
        <f t="shared" si="17"/>
        <v>Week 4</v>
      </c>
      <c r="S576" s="65" t="str">
        <f>TEXT(Table8[[#This Row],[Date Day]],"mmm,YYYY")</f>
        <v>Jan,2011</v>
      </c>
    </row>
    <row r="577" spans="1:19" ht="15.6" x14ac:dyDescent="0.3">
      <c r="A577" s="62">
        <v>544</v>
      </c>
      <c r="B577" s="63">
        <v>40567</v>
      </c>
      <c r="C577" s="64">
        <v>19</v>
      </c>
      <c r="D577" s="64" t="b">
        <f>IF(COUNTIF(AU$36:AU$52,Table8[[#This Row],[Date Day]]) &gt; 0, TRUE, FALSE)</f>
        <v>0</v>
      </c>
      <c r="E577" s="64">
        <f t="shared" si="16"/>
        <v>1</v>
      </c>
      <c r="F577" s="64">
        <v>1</v>
      </c>
      <c r="G577" s="65" t="str">
        <f>IF(Table8[[#This Row],[Weathersit]]=1, "BAD", IF(Table8[[#This Row],[Weathersit]]=2, "MODERATE", IF(Table8[[#This Row],[Weathersit]]=3, "GOOD")))</f>
        <v>BAD</v>
      </c>
      <c r="H577" s="64">
        <v>14.000000000000002</v>
      </c>
      <c r="I577" s="65" t="str">
        <f>IF(Table8[[#This Row],[Temp]]&lt;11, "COLD", IF(Table8[[#This Row],[Temp]]&lt;=25, "COMFORTABLE", "WARM"))</f>
        <v>COMFORTABLE</v>
      </c>
      <c r="J577" s="64">
        <v>0.1515</v>
      </c>
      <c r="K577" s="64">
        <v>0.54</v>
      </c>
      <c r="L577" s="66">
        <v>16.420000000000002</v>
      </c>
      <c r="M577" s="75" t="s">
        <v>80</v>
      </c>
      <c r="N577" s="64">
        <v>5</v>
      </c>
      <c r="O577" s="64">
        <v>101</v>
      </c>
      <c r="P577" s="64">
        <v>106</v>
      </c>
      <c r="Q577" s="64"/>
      <c r="R577" s="65" t="str">
        <f t="shared" si="17"/>
        <v>Week 4</v>
      </c>
      <c r="S577" s="65" t="str">
        <f>TEXT(Table8[[#This Row],[Date Day]],"mmm,YYYY")</f>
        <v>Jan,2011</v>
      </c>
    </row>
    <row r="578" spans="1:19" ht="15.6" x14ac:dyDescent="0.3">
      <c r="A578" s="62">
        <v>545</v>
      </c>
      <c r="B578" s="63">
        <v>40567</v>
      </c>
      <c r="C578" s="64">
        <v>20</v>
      </c>
      <c r="D578" s="64" t="b">
        <f>IF(COUNTIF(AU$36:AU$52,Table8[[#This Row],[Date Day]]) &gt; 0, TRUE, FALSE)</f>
        <v>0</v>
      </c>
      <c r="E578" s="64">
        <f t="shared" si="16"/>
        <v>1</v>
      </c>
      <c r="F578" s="64">
        <v>1</v>
      </c>
      <c r="G578" s="65" t="str">
        <f>IF(Table8[[#This Row],[Weathersit]]=1, "BAD", IF(Table8[[#This Row],[Weathersit]]=2, "MODERATE", IF(Table8[[#This Row],[Weathersit]]=3, "GOOD")))</f>
        <v>BAD</v>
      </c>
      <c r="H578" s="64">
        <v>14.000000000000002</v>
      </c>
      <c r="I578" s="65" t="str">
        <f>IF(Table8[[#This Row],[Temp]]&lt;11, "COLD", IF(Table8[[#This Row],[Temp]]&lt;=25, "COMFORTABLE", "WARM"))</f>
        <v>COMFORTABLE</v>
      </c>
      <c r="J578" s="64">
        <v>0.13639999999999999</v>
      </c>
      <c r="K578" s="64">
        <v>0.59</v>
      </c>
      <c r="L578" s="66">
        <v>19.400000000000002</v>
      </c>
      <c r="M578" s="75" t="s">
        <v>80</v>
      </c>
      <c r="N578" s="64">
        <v>1</v>
      </c>
      <c r="O578" s="64">
        <v>80</v>
      </c>
      <c r="P578" s="64">
        <v>81</v>
      </c>
      <c r="Q578" s="64"/>
      <c r="R578" s="65" t="str">
        <f t="shared" si="17"/>
        <v>Week 4</v>
      </c>
      <c r="S578" s="65" t="str">
        <f>TEXT(Table8[[#This Row],[Date Day]],"mmm,YYYY")</f>
        <v>Jan,2011</v>
      </c>
    </row>
    <row r="579" spans="1:19" ht="15.6" x14ac:dyDescent="0.3">
      <c r="A579" s="62">
        <v>546</v>
      </c>
      <c r="B579" s="63">
        <v>40567</v>
      </c>
      <c r="C579" s="64">
        <v>21</v>
      </c>
      <c r="D579" s="64" t="b">
        <f>IF(COUNTIF(AU$36:AU$52,Table8[[#This Row],[Date Day]]) &gt; 0, TRUE, FALSE)</f>
        <v>0</v>
      </c>
      <c r="E579" s="64">
        <f t="shared" si="16"/>
        <v>1</v>
      </c>
      <c r="F579" s="64">
        <v>1</v>
      </c>
      <c r="G579" s="65" t="str">
        <f>IF(Table8[[#This Row],[Weathersit]]=1, "BAD", IF(Table8[[#This Row],[Weathersit]]=2, "MODERATE", IF(Table8[[#This Row],[Weathersit]]=3, "GOOD")))</f>
        <v>BAD</v>
      </c>
      <c r="H579" s="64">
        <v>14.000000000000002</v>
      </c>
      <c r="I579" s="65" t="str">
        <f>IF(Table8[[#This Row],[Temp]]&lt;11, "COLD", IF(Table8[[#This Row],[Temp]]&lt;=25, "COMFORTABLE", "WARM"))</f>
        <v>COMFORTABLE</v>
      </c>
      <c r="J579" s="64">
        <v>0.1515</v>
      </c>
      <c r="K579" s="64">
        <v>0.63</v>
      </c>
      <c r="L579" s="66">
        <v>16.420000000000002</v>
      </c>
      <c r="M579" s="75" t="s">
        <v>80</v>
      </c>
      <c r="N579" s="64">
        <v>6</v>
      </c>
      <c r="O579" s="64">
        <v>53</v>
      </c>
      <c r="P579" s="64">
        <v>59</v>
      </c>
      <c r="Q579" s="64"/>
      <c r="R579" s="65" t="str">
        <f t="shared" si="17"/>
        <v>Week 4</v>
      </c>
      <c r="S579" s="65" t="str">
        <f>TEXT(Table8[[#This Row],[Date Day]],"mmm,YYYY")</f>
        <v>Jan,2011</v>
      </c>
    </row>
    <row r="580" spans="1:19" ht="15.6" x14ac:dyDescent="0.3">
      <c r="A580" s="62">
        <v>547</v>
      </c>
      <c r="B580" s="63">
        <v>40567</v>
      </c>
      <c r="C580" s="64">
        <v>22</v>
      </c>
      <c r="D580" s="64" t="b">
        <f>IF(COUNTIF(AU$36:AU$52,Table8[[#This Row],[Date Day]]) &gt; 0, TRUE, FALSE)</f>
        <v>0</v>
      </c>
      <c r="E580" s="64">
        <f t="shared" si="16"/>
        <v>1</v>
      </c>
      <c r="F580" s="64">
        <v>2</v>
      </c>
      <c r="G580" s="65" t="str">
        <f>IF(Table8[[#This Row],[Weathersit]]=1, "BAD", IF(Table8[[#This Row],[Weathersit]]=2, "MODERATE", IF(Table8[[#This Row],[Weathersit]]=3, "GOOD")))</f>
        <v>MODERATE</v>
      </c>
      <c r="H580" s="64">
        <v>14.000000000000002</v>
      </c>
      <c r="I580" s="65" t="str">
        <f>IF(Table8[[#This Row],[Temp]]&lt;11, "COLD", IF(Table8[[#This Row],[Temp]]&lt;=25, "COMFORTABLE", "WARM"))</f>
        <v>COMFORTABLE</v>
      </c>
      <c r="J580" s="64">
        <v>0.13639999999999999</v>
      </c>
      <c r="K580" s="64">
        <v>0.63</v>
      </c>
      <c r="L580" s="66">
        <v>22.39</v>
      </c>
      <c r="M580" s="75" t="s">
        <v>81</v>
      </c>
      <c r="N580" s="64">
        <v>3</v>
      </c>
      <c r="O580" s="64">
        <v>32</v>
      </c>
      <c r="P580" s="64">
        <v>35</v>
      </c>
      <c r="Q580" s="64"/>
      <c r="R580" s="65" t="str">
        <f t="shared" si="17"/>
        <v>Week 4</v>
      </c>
      <c r="S580" s="65" t="str">
        <f>TEXT(Table8[[#This Row],[Date Day]],"mmm,YYYY")</f>
        <v>Jan,2011</v>
      </c>
    </row>
    <row r="581" spans="1:19" ht="15.6" x14ac:dyDescent="0.3">
      <c r="A581" s="62">
        <v>548</v>
      </c>
      <c r="B581" s="63">
        <v>40567</v>
      </c>
      <c r="C581" s="64">
        <v>23</v>
      </c>
      <c r="D581" s="64" t="b">
        <f>IF(COUNTIF(AU$36:AU$52,Table8[[#This Row],[Date Day]]) &gt; 0, TRUE, FALSE)</f>
        <v>0</v>
      </c>
      <c r="E581" s="64">
        <f t="shared" si="16"/>
        <v>1</v>
      </c>
      <c r="F581" s="64">
        <v>2</v>
      </c>
      <c r="G581" s="65" t="str">
        <f>IF(Table8[[#This Row],[Weathersit]]=1, "BAD", IF(Table8[[#This Row],[Weathersit]]=2, "MODERATE", IF(Table8[[#This Row],[Weathersit]]=3, "GOOD")))</f>
        <v>MODERATE</v>
      </c>
      <c r="H581" s="64">
        <v>16</v>
      </c>
      <c r="I581" s="65" t="str">
        <f>IF(Table8[[#This Row],[Temp]]&lt;11, "COLD", IF(Table8[[#This Row],[Temp]]&lt;=25, "COMFORTABLE", "WARM"))</f>
        <v>COMFORTABLE</v>
      </c>
      <c r="J581" s="64">
        <v>0.1515</v>
      </c>
      <c r="K581" s="64">
        <v>0.64</v>
      </c>
      <c r="L581" s="66">
        <v>25.369999999999997</v>
      </c>
      <c r="M581" s="75" t="s">
        <v>81</v>
      </c>
      <c r="N581" s="64">
        <v>3</v>
      </c>
      <c r="O581" s="64">
        <v>21</v>
      </c>
      <c r="P581" s="64">
        <v>24</v>
      </c>
      <c r="Q581" s="64"/>
      <c r="R581" s="65" t="str">
        <f t="shared" si="17"/>
        <v>Week 4</v>
      </c>
      <c r="S581" s="65" t="str">
        <f>TEXT(Table8[[#This Row],[Date Day]],"mmm,YYYY")</f>
        <v>Jan,2011</v>
      </c>
    </row>
    <row r="582" spans="1:19" ht="15.6" x14ac:dyDescent="0.3">
      <c r="A582" s="62">
        <v>549</v>
      </c>
      <c r="B582" s="63">
        <v>40568</v>
      </c>
      <c r="C582" s="64">
        <v>0</v>
      </c>
      <c r="D582" s="64" t="b">
        <f>IF(COUNTIF(AU$36:AU$52,Table8[[#This Row],[Date Day]]) &gt; 0, TRUE, FALSE)</f>
        <v>0</v>
      </c>
      <c r="E582" s="64">
        <f t="shared" si="16"/>
        <v>2</v>
      </c>
      <c r="F582" s="64">
        <v>2</v>
      </c>
      <c r="G582" s="65" t="str">
        <f>IF(Table8[[#This Row],[Weathersit]]=1, "BAD", IF(Table8[[#This Row],[Weathersit]]=2, "MODERATE", IF(Table8[[#This Row],[Weathersit]]=3, "GOOD")))</f>
        <v>MODERATE</v>
      </c>
      <c r="H582" s="64">
        <v>16</v>
      </c>
      <c r="I582" s="65" t="str">
        <f>IF(Table8[[#This Row],[Temp]]&lt;11, "COLD", IF(Table8[[#This Row],[Temp]]&lt;=25, "COMFORTABLE", "WARM"))</f>
        <v>COMFORTABLE</v>
      </c>
      <c r="J582" s="64">
        <v>0.13639999999999999</v>
      </c>
      <c r="K582" s="64">
        <v>0.69</v>
      </c>
      <c r="L582" s="66">
        <v>28.360000000000003</v>
      </c>
      <c r="M582" s="75" t="s">
        <v>81</v>
      </c>
      <c r="N582" s="64">
        <v>3</v>
      </c>
      <c r="O582" s="64">
        <v>6</v>
      </c>
      <c r="P582" s="64">
        <v>9</v>
      </c>
      <c r="Q582" s="64"/>
      <c r="R582" s="65" t="str">
        <f t="shared" si="17"/>
        <v>Week 4</v>
      </c>
      <c r="S582" s="65" t="str">
        <f>TEXT(Table8[[#This Row],[Date Day]],"mmm,YYYY")</f>
        <v>Jan,2011</v>
      </c>
    </row>
    <row r="583" spans="1:19" ht="15.6" x14ac:dyDescent="0.3">
      <c r="A583" s="62">
        <v>550</v>
      </c>
      <c r="B583" s="63">
        <v>40568</v>
      </c>
      <c r="C583" s="64">
        <v>1</v>
      </c>
      <c r="D583" s="64" t="b">
        <f>IF(COUNTIF(AU$36:AU$52,Table8[[#This Row],[Date Day]]) &gt; 0, TRUE, FALSE)</f>
        <v>0</v>
      </c>
      <c r="E583" s="64">
        <f t="shared" si="16"/>
        <v>2</v>
      </c>
      <c r="F583" s="64">
        <v>2</v>
      </c>
      <c r="G583" s="65" t="str">
        <f>IF(Table8[[#This Row],[Weathersit]]=1, "BAD", IF(Table8[[#This Row],[Weathersit]]=2, "MODERATE", IF(Table8[[#This Row],[Weathersit]]=3, "GOOD")))</f>
        <v>MODERATE</v>
      </c>
      <c r="H583" s="64">
        <v>16</v>
      </c>
      <c r="I583" s="65" t="str">
        <f>IF(Table8[[#This Row],[Temp]]&lt;11, "COLD", IF(Table8[[#This Row],[Temp]]&lt;=25, "COMFORTABLE", "WARM"))</f>
        <v>COMFORTABLE</v>
      </c>
      <c r="J583" s="64">
        <v>0.16669999999999999</v>
      </c>
      <c r="K583" s="64">
        <v>0.69</v>
      </c>
      <c r="L583" s="66">
        <v>16.420000000000002</v>
      </c>
      <c r="M583" s="75" t="s">
        <v>80</v>
      </c>
      <c r="N583" s="64">
        <v>0</v>
      </c>
      <c r="O583" s="64">
        <v>5</v>
      </c>
      <c r="P583" s="64">
        <v>5</v>
      </c>
      <c r="Q583" s="64"/>
      <c r="R583" s="65" t="str">
        <f t="shared" si="17"/>
        <v>Week 4</v>
      </c>
      <c r="S583" s="65" t="str">
        <f>TEXT(Table8[[#This Row],[Date Day]],"mmm,YYYY")</f>
        <v>Jan,2011</v>
      </c>
    </row>
    <row r="584" spans="1:19" ht="15.6" x14ac:dyDescent="0.3">
      <c r="A584" s="62">
        <v>551</v>
      </c>
      <c r="B584" s="63">
        <v>40568</v>
      </c>
      <c r="C584" s="64">
        <v>2</v>
      </c>
      <c r="D584" s="64" t="b">
        <f>IF(COUNTIF(AU$36:AU$52,Table8[[#This Row],[Date Day]]) &gt; 0, TRUE, FALSE)</f>
        <v>0</v>
      </c>
      <c r="E584" s="64">
        <f t="shared" si="16"/>
        <v>2</v>
      </c>
      <c r="F584" s="64">
        <v>1</v>
      </c>
      <c r="G584" s="65" t="str">
        <f>IF(Table8[[#This Row],[Weathersit]]=1, "BAD", IF(Table8[[#This Row],[Weathersit]]=2, "MODERATE", IF(Table8[[#This Row],[Weathersit]]=3, "GOOD")))</f>
        <v>BAD</v>
      </c>
      <c r="H584" s="64">
        <v>16</v>
      </c>
      <c r="I584" s="65" t="str">
        <f>IF(Table8[[#This Row],[Temp]]&lt;11, "COLD", IF(Table8[[#This Row],[Temp]]&lt;=25, "COMFORTABLE", "WARM"))</f>
        <v>COMFORTABLE</v>
      </c>
      <c r="J584" s="64">
        <v>0.1515</v>
      </c>
      <c r="K584" s="64">
        <v>0.69</v>
      </c>
      <c r="L584" s="66">
        <v>22.39</v>
      </c>
      <c r="M584" s="75" t="s">
        <v>81</v>
      </c>
      <c r="N584" s="64">
        <v>0</v>
      </c>
      <c r="O584" s="64">
        <v>2</v>
      </c>
      <c r="P584" s="64">
        <v>2</v>
      </c>
      <c r="Q584" s="64"/>
      <c r="R584" s="65" t="str">
        <f t="shared" si="17"/>
        <v>Week 4</v>
      </c>
      <c r="S584" s="65" t="str">
        <f>TEXT(Table8[[#This Row],[Date Day]],"mmm,YYYY")</f>
        <v>Jan,2011</v>
      </c>
    </row>
    <row r="585" spans="1:19" ht="15.6" x14ac:dyDescent="0.3">
      <c r="A585" s="62">
        <v>552</v>
      </c>
      <c r="B585" s="63">
        <v>40568</v>
      </c>
      <c r="C585" s="64">
        <v>4</v>
      </c>
      <c r="D585" s="64" t="b">
        <f>IF(COUNTIF(AU$36:AU$52,Table8[[#This Row],[Date Day]]) &gt; 0, TRUE, FALSE)</f>
        <v>0</v>
      </c>
      <c r="E585" s="64">
        <f t="shared" si="16"/>
        <v>2</v>
      </c>
      <c r="F585" s="64">
        <v>1</v>
      </c>
      <c r="G585" s="65" t="str">
        <f>IF(Table8[[#This Row],[Weathersit]]=1, "BAD", IF(Table8[[#This Row],[Weathersit]]=2, "MODERATE", IF(Table8[[#This Row],[Weathersit]]=3, "GOOD")))</f>
        <v>BAD</v>
      </c>
      <c r="H585" s="64">
        <v>14.000000000000002</v>
      </c>
      <c r="I585" s="65" t="str">
        <f>IF(Table8[[#This Row],[Temp]]&lt;11, "COLD", IF(Table8[[#This Row],[Temp]]&lt;=25, "COMFORTABLE", "WARM"))</f>
        <v>COMFORTABLE</v>
      </c>
      <c r="J585" s="64">
        <v>0.16669999999999999</v>
      </c>
      <c r="K585" s="64">
        <v>0.74</v>
      </c>
      <c r="L585" s="66">
        <v>10.45</v>
      </c>
      <c r="M585" s="75" t="s">
        <v>80</v>
      </c>
      <c r="N585" s="64">
        <v>0</v>
      </c>
      <c r="O585" s="64">
        <v>1</v>
      </c>
      <c r="P585" s="64">
        <v>1</v>
      </c>
      <c r="Q585" s="64"/>
      <c r="R585" s="65" t="str">
        <f t="shared" si="17"/>
        <v>Week 4</v>
      </c>
      <c r="S585" s="65" t="str">
        <f>TEXT(Table8[[#This Row],[Date Day]],"mmm,YYYY")</f>
        <v>Jan,2011</v>
      </c>
    </row>
    <row r="586" spans="1:19" ht="15.6" x14ac:dyDescent="0.3">
      <c r="A586" s="62">
        <v>553</v>
      </c>
      <c r="B586" s="63">
        <v>40568</v>
      </c>
      <c r="C586" s="64">
        <v>5</v>
      </c>
      <c r="D586" s="64" t="b">
        <f>IF(COUNTIF(AU$36:AU$52,Table8[[#This Row],[Date Day]]) &gt; 0, TRUE, FALSE)</f>
        <v>0</v>
      </c>
      <c r="E586" s="64">
        <f t="shared" si="16"/>
        <v>2</v>
      </c>
      <c r="F586" s="64">
        <v>1</v>
      </c>
      <c r="G586" s="65" t="str">
        <f>IF(Table8[[#This Row],[Weathersit]]=1, "BAD", IF(Table8[[#This Row],[Weathersit]]=2, "MODERATE", IF(Table8[[#This Row],[Weathersit]]=3, "GOOD")))</f>
        <v>BAD</v>
      </c>
      <c r="H586" s="64">
        <v>14.000000000000002</v>
      </c>
      <c r="I586" s="65" t="str">
        <f>IF(Table8[[#This Row],[Temp]]&lt;11, "COLD", IF(Table8[[#This Row],[Temp]]&lt;=25, "COMFORTABLE", "WARM"))</f>
        <v>COMFORTABLE</v>
      </c>
      <c r="J586" s="64">
        <v>0.13639999999999999</v>
      </c>
      <c r="K586" s="64">
        <v>0.74</v>
      </c>
      <c r="L586" s="66">
        <v>22.39</v>
      </c>
      <c r="M586" s="75" t="s">
        <v>81</v>
      </c>
      <c r="N586" s="64">
        <v>0</v>
      </c>
      <c r="O586" s="64">
        <v>9</v>
      </c>
      <c r="P586" s="64">
        <v>9</v>
      </c>
      <c r="Q586" s="64"/>
      <c r="R586" s="65" t="str">
        <f t="shared" si="17"/>
        <v>Week 4</v>
      </c>
      <c r="S586" s="65" t="str">
        <f>TEXT(Table8[[#This Row],[Date Day]],"mmm,YYYY")</f>
        <v>Jan,2011</v>
      </c>
    </row>
    <row r="587" spans="1:19" ht="15.6" x14ac:dyDescent="0.3">
      <c r="A587" s="62">
        <v>554</v>
      </c>
      <c r="B587" s="63">
        <v>40568</v>
      </c>
      <c r="C587" s="64">
        <v>6</v>
      </c>
      <c r="D587" s="64" t="b">
        <f>IF(COUNTIF(AU$36:AU$52,Table8[[#This Row],[Date Day]]) &gt; 0, TRUE, FALSE)</f>
        <v>0</v>
      </c>
      <c r="E587" s="64">
        <f t="shared" si="16"/>
        <v>2</v>
      </c>
      <c r="F587" s="64">
        <v>1</v>
      </c>
      <c r="G587" s="65" t="str">
        <f>IF(Table8[[#This Row],[Weathersit]]=1, "BAD", IF(Table8[[#This Row],[Weathersit]]=2, "MODERATE", IF(Table8[[#This Row],[Weathersit]]=3, "GOOD")))</f>
        <v>BAD</v>
      </c>
      <c r="H587" s="64">
        <v>16</v>
      </c>
      <c r="I587" s="65" t="str">
        <f>IF(Table8[[#This Row],[Temp]]&lt;11, "COLD", IF(Table8[[#This Row],[Temp]]&lt;=25, "COMFORTABLE", "WARM"))</f>
        <v>COMFORTABLE</v>
      </c>
      <c r="J587" s="64">
        <v>0.18179999999999999</v>
      </c>
      <c r="K587" s="64">
        <v>0.74</v>
      </c>
      <c r="L587" s="66">
        <v>10.45</v>
      </c>
      <c r="M587" s="75" t="s">
        <v>80</v>
      </c>
      <c r="N587" s="64">
        <v>1</v>
      </c>
      <c r="O587" s="64">
        <v>35</v>
      </c>
      <c r="P587" s="64">
        <v>36</v>
      </c>
      <c r="Q587" s="64"/>
      <c r="R587" s="65" t="str">
        <f t="shared" si="17"/>
        <v>Week 4</v>
      </c>
      <c r="S587" s="65" t="str">
        <f>TEXT(Table8[[#This Row],[Date Day]],"mmm,YYYY")</f>
        <v>Jan,2011</v>
      </c>
    </row>
    <row r="588" spans="1:19" ht="15.6" x14ac:dyDescent="0.3">
      <c r="A588" s="62">
        <v>555</v>
      </c>
      <c r="B588" s="63">
        <v>40568</v>
      </c>
      <c r="C588" s="64">
        <v>7</v>
      </c>
      <c r="D588" s="64" t="b">
        <f>IF(COUNTIF(AU$36:AU$52,Table8[[#This Row],[Date Day]]) &gt; 0, TRUE, FALSE)</f>
        <v>0</v>
      </c>
      <c r="E588" s="64">
        <f t="shared" si="16"/>
        <v>2</v>
      </c>
      <c r="F588" s="64">
        <v>1</v>
      </c>
      <c r="G588" s="65" t="str">
        <f>IF(Table8[[#This Row],[Weathersit]]=1, "BAD", IF(Table8[[#This Row],[Weathersit]]=2, "MODERATE", IF(Table8[[#This Row],[Weathersit]]=3, "GOOD")))</f>
        <v>BAD</v>
      </c>
      <c r="H588" s="64">
        <v>16</v>
      </c>
      <c r="I588" s="65" t="str">
        <f>IF(Table8[[#This Row],[Temp]]&lt;11, "COLD", IF(Table8[[#This Row],[Temp]]&lt;=25, "COMFORTABLE", "WARM"))</f>
        <v>COMFORTABLE</v>
      </c>
      <c r="J588" s="64">
        <v>0.1515</v>
      </c>
      <c r="K588" s="64">
        <v>0.74</v>
      </c>
      <c r="L588" s="66">
        <v>22.39</v>
      </c>
      <c r="M588" s="75" t="s">
        <v>81</v>
      </c>
      <c r="N588" s="64">
        <v>5</v>
      </c>
      <c r="O588" s="64">
        <v>103</v>
      </c>
      <c r="P588" s="64">
        <v>108</v>
      </c>
      <c r="Q588" s="64"/>
      <c r="R588" s="65" t="str">
        <f t="shared" si="17"/>
        <v>Week 4</v>
      </c>
      <c r="S588" s="65" t="str">
        <f>TEXT(Table8[[#This Row],[Date Day]],"mmm,YYYY")</f>
        <v>Jan,2011</v>
      </c>
    </row>
    <row r="589" spans="1:19" ht="15.6" x14ac:dyDescent="0.3">
      <c r="A589" s="62">
        <v>556</v>
      </c>
      <c r="B589" s="63">
        <v>40568</v>
      </c>
      <c r="C589" s="64">
        <v>8</v>
      </c>
      <c r="D589" s="64" t="b">
        <f>IF(COUNTIF(AU$36:AU$52,Table8[[#This Row],[Date Day]]) &gt; 0, TRUE, FALSE)</f>
        <v>0</v>
      </c>
      <c r="E589" s="64">
        <f t="shared" si="16"/>
        <v>2</v>
      </c>
      <c r="F589" s="64">
        <v>2</v>
      </c>
      <c r="G589" s="65" t="str">
        <f>IF(Table8[[#This Row],[Weathersit]]=1, "BAD", IF(Table8[[#This Row],[Weathersit]]=2, "MODERATE", IF(Table8[[#This Row],[Weathersit]]=3, "GOOD")))</f>
        <v>MODERATE</v>
      </c>
      <c r="H589" s="64">
        <v>16</v>
      </c>
      <c r="I589" s="65" t="str">
        <f>IF(Table8[[#This Row],[Temp]]&lt;11, "COLD", IF(Table8[[#This Row],[Temp]]&lt;=25, "COMFORTABLE", "WARM"))</f>
        <v>COMFORTABLE</v>
      </c>
      <c r="J589" s="64">
        <v>0.18179999999999999</v>
      </c>
      <c r="K589" s="64">
        <v>0.74</v>
      </c>
      <c r="L589" s="66">
        <v>13.43</v>
      </c>
      <c r="M589" s="75" t="s">
        <v>80</v>
      </c>
      <c r="N589" s="64">
        <v>5</v>
      </c>
      <c r="O589" s="64">
        <v>233</v>
      </c>
      <c r="P589" s="64">
        <v>238</v>
      </c>
      <c r="Q589" s="64"/>
      <c r="R589" s="65" t="str">
        <f t="shared" si="17"/>
        <v>Week 4</v>
      </c>
      <c r="S589" s="65" t="str">
        <f>TEXT(Table8[[#This Row],[Date Day]],"mmm,YYYY")</f>
        <v>Jan,2011</v>
      </c>
    </row>
    <row r="590" spans="1:19" ht="15.6" x14ac:dyDescent="0.3">
      <c r="A590" s="62">
        <v>557</v>
      </c>
      <c r="B590" s="63">
        <v>40568</v>
      </c>
      <c r="C590" s="64">
        <v>9</v>
      </c>
      <c r="D590" s="64" t="b">
        <f>IF(COUNTIF(AU$36:AU$52,Table8[[#This Row],[Date Day]]) &gt; 0, TRUE, FALSE)</f>
        <v>0</v>
      </c>
      <c r="E590" s="64">
        <f t="shared" si="16"/>
        <v>2</v>
      </c>
      <c r="F590" s="64">
        <v>2</v>
      </c>
      <c r="G590" s="65" t="str">
        <f>IF(Table8[[#This Row],[Weathersit]]=1, "BAD", IF(Table8[[#This Row],[Weathersit]]=2, "MODERATE", IF(Table8[[#This Row],[Weathersit]]=3, "GOOD")))</f>
        <v>MODERATE</v>
      </c>
      <c r="H590" s="64">
        <v>20</v>
      </c>
      <c r="I590" s="65" t="str">
        <f>IF(Table8[[#This Row],[Temp]]&lt;11, "COLD", IF(Table8[[#This Row],[Temp]]&lt;=25, "COMFORTABLE", "WARM"))</f>
        <v>COMFORTABLE</v>
      </c>
      <c r="J590" s="64">
        <v>0.2273</v>
      </c>
      <c r="K590" s="64">
        <v>0.64</v>
      </c>
      <c r="L590" s="66">
        <v>8.9599999999999991</v>
      </c>
      <c r="M590" s="75" t="s">
        <v>80</v>
      </c>
      <c r="N590" s="64">
        <v>10</v>
      </c>
      <c r="O590" s="64">
        <v>134</v>
      </c>
      <c r="P590" s="64">
        <v>144</v>
      </c>
      <c r="Q590" s="64"/>
      <c r="R590" s="65" t="str">
        <f t="shared" si="17"/>
        <v>Week 4</v>
      </c>
      <c r="S590" s="65" t="str">
        <f>TEXT(Table8[[#This Row],[Date Day]],"mmm,YYYY")</f>
        <v>Jan,2011</v>
      </c>
    </row>
    <row r="591" spans="1:19" ht="15.6" x14ac:dyDescent="0.3">
      <c r="A591" s="62">
        <v>558</v>
      </c>
      <c r="B591" s="63">
        <v>40568</v>
      </c>
      <c r="C591" s="64">
        <v>10</v>
      </c>
      <c r="D591" s="64" t="b">
        <f>IF(COUNTIF(AU$36:AU$52,Table8[[#This Row],[Date Day]]) &gt; 0, TRUE, FALSE)</f>
        <v>0</v>
      </c>
      <c r="E591" s="64">
        <f t="shared" si="16"/>
        <v>2</v>
      </c>
      <c r="F591" s="64">
        <v>2</v>
      </c>
      <c r="G591" s="65" t="str">
        <f>IF(Table8[[#This Row],[Weathersit]]=1, "BAD", IF(Table8[[#This Row],[Weathersit]]=2, "MODERATE", IF(Table8[[#This Row],[Weathersit]]=3, "GOOD")))</f>
        <v>MODERATE</v>
      </c>
      <c r="H591" s="64">
        <v>22</v>
      </c>
      <c r="I591" s="65" t="str">
        <f>IF(Table8[[#This Row],[Temp]]&lt;11, "COLD", IF(Table8[[#This Row],[Temp]]&lt;=25, "COMFORTABLE", "WARM"))</f>
        <v>COMFORTABLE</v>
      </c>
      <c r="J591" s="64">
        <v>0.2424</v>
      </c>
      <c r="K591" s="64">
        <v>0.6</v>
      </c>
      <c r="L591" s="66">
        <v>10.45</v>
      </c>
      <c r="M591" s="75" t="s">
        <v>80</v>
      </c>
      <c r="N591" s="64">
        <v>6</v>
      </c>
      <c r="O591" s="64">
        <v>49</v>
      </c>
      <c r="P591" s="64">
        <v>55</v>
      </c>
      <c r="Q591" s="64"/>
      <c r="R591" s="65" t="str">
        <f t="shared" si="17"/>
        <v>Week 4</v>
      </c>
      <c r="S591" s="65" t="str">
        <f>TEXT(Table8[[#This Row],[Date Day]],"mmm,YYYY")</f>
        <v>Jan,2011</v>
      </c>
    </row>
    <row r="592" spans="1:19" ht="15.6" x14ac:dyDescent="0.3">
      <c r="A592" s="62">
        <v>559</v>
      </c>
      <c r="B592" s="63">
        <v>40568</v>
      </c>
      <c r="C592" s="64">
        <v>11</v>
      </c>
      <c r="D592" s="64" t="b">
        <f>IF(COUNTIF(AU$36:AU$52,Table8[[#This Row],[Date Day]]) &gt; 0, TRUE, FALSE)</f>
        <v>0</v>
      </c>
      <c r="E592" s="64">
        <f t="shared" si="16"/>
        <v>2</v>
      </c>
      <c r="F592" s="64">
        <v>2</v>
      </c>
      <c r="G592" s="65" t="str">
        <f>IF(Table8[[#This Row],[Weathersit]]=1, "BAD", IF(Table8[[#This Row],[Weathersit]]=2, "MODERATE", IF(Table8[[#This Row],[Weathersit]]=3, "GOOD")))</f>
        <v>MODERATE</v>
      </c>
      <c r="H592" s="64">
        <v>24</v>
      </c>
      <c r="I592" s="65" t="str">
        <f>IF(Table8[[#This Row],[Temp]]&lt;11, "COLD", IF(Table8[[#This Row],[Temp]]&lt;=25, "COMFORTABLE", "WARM"))</f>
        <v>COMFORTABLE</v>
      </c>
      <c r="J592" s="64">
        <v>0.2424</v>
      </c>
      <c r="K592" s="64">
        <v>0.6</v>
      </c>
      <c r="L592" s="66">
        <v>13.43</v>
      </c>
      <c r="M592" s="75" t="s">
        <v>80</v>
      </c>
      <c r="N592" s="64">
        <v>6</v>
      </c>
      <c r="O592" s="64">
        <v>55</v>
      </c>
      <c r="P592" s="64">
        <v>61</v>
      </c>
      <c r="Q592" s="64"/>
      <c r="R592" s="65" t="str">
        <f t="shared" si="17"/>
        <v>Week 4</v>
      </c>
      <c r="S592" s="65" t="str">
        <f>TEXT(Table8[[#This Row],[Date Day]],"mmm,YYYY")</f>
        <v>Jan,2011</v>
      </c>
    </row>
    <row r="593" spans="1:19" ht="15.6" x14ac:dyDescent="0.3">
      <c r="A593" s="62">
        <v>560</v>
      </c>
      <c r="B593" s="63">
        <v>40568</v>
      </c>
      <c r="C593" s="64">
        <v>12</v>
      </c>
      <c r="D593" s="64" t="b">
        <f>IF(COUNTIF(AU$36:AU$52,Table8[[#This Row],[Date Day]]) &gt; 0, TRUE, FALSE)</f>
        <v>0</v>
      </c>
      <c r="E593" s="64">
        <f t="shared" si="16"/>
        <v>2</v>
      </c>
      <c r="F593" s="64">
        <v>2</v>
      </c>
      <c r="G593" s="65" t="str">
        <f>IF(Table8[[#This Row],[Weathersit]]=1, "BAD", IF(Table8[[#This Row],[Weathersit]]=2, "MODERATE", IF(Table8[[#This Row],[Weathersit]]=3, "GOOD")))</f>
        <v>MODERATE</v>
      </c>
      <c r="H593" s="64">
        <v>26</v>
      </c>
      <c r="I593" s="65" t="str">
        <f>IF(Table8[[#This Row],[Temp]]&lt;11, "COLD", IF(Table8[[#This Row],[Temp]]&lt;=25, "COMFORTABLE", "WARM"))</f>
        <v>WARM</v>
      </c>
      <c r="J593" s="64">
        <v>0.28789999999999999</v>
      </c>
      <c r="K593" s="64">
        <v>0.56000000000000005</v>
      </c>
      <c r="L593" s="66">
        <v>8.9599999999999991</v>
      </c>
      <c r="M593" s="75" t="s">
        <v>80</v>
      </c>
      <c r="N593" s="64">
        <v>21</v>
      </c>
      <c r="O593" s="64">
        <v>85</v>
      </c>
      <c r="P593" s="64">
        <v>106</v>
      </c>
      <c r="Q593" s="64"/>
      <c r="R593" s="65" t="str">
        <f t="shared" si="17"/>
        <v>Week 4</v>
      </c>
      <c r="S593" s="65" t="str">
        <f>TEXT(Table8[[#This Row],[Date Day]],"mmm,YYYY")</f>
        <v>Jan,2011</v>
      </c>
    </row>
    <row r="594" spans="1:19" ht="15.6" x14ac:dyDescent="0.3">
      <c r="A594" s="62">
        <v>561</v>
      </c>
      <c r="B594" s="63">
        <v>40568</v>
      </c>
      <c r="C594" s="64">
        <v>13</v>
      </c>
      <c r="D594" s="64" t="b">
        <f>IF(COUNTIF(AU$36:AU$52,Table8[[#This Row],[Date Day]]) &gt; 0, TRUE, FALSE)</f>
        <v>0</v>
      </c>
      <c r="E594" s="64">
        <f t="shared" si="16"/>
        <v>2</v>
      </c>
      <c r="F594" s="64">
        <v>2</v>
      </c>
      <c r="G594" s="65" t="str">
        <f>IF(Table8[[#This Row],[Weathersit]]=1, "BAD", IF(Table8[[#This Row],[Weathersit]]=2, "MODERATE", IF(Table8[[#This Row],[Weathersit]]=3, "GOOD")))</f>
        <v>MODERATE</v>
      </c>
      <c r="H594" s="64">
        <v>26</v>
      </c>
      <c r="I594" s="65" t="str">
        <f>IF(Table8[[#This Row],[Temp]]&lt;11, "COLD", IF(Table8[[#This Row],[Temp]]&lt;=25, "COMFORTABLE", "WARM"))</f>
        <v>WARM</v>
      </c>
      <c r="J594" s="64">
        <v>0.2727</v>
      </c>
      <c r="K594" s="64">
        <v>0.56000000000000005</v>
      </c>
      <c r="L594" s="66">
        <v>13.43</v>
      </c>
      <c r="M594" s="75" t="s">
        <v>80</v>
      </c>
      <c r="N594" s="64">
        <v>21</v>
      </c>
      <c r="O594" s="64">
        <v>72</v>
      </c>
      <c r="P594" s="64">
        <v>93</v>
      </c>
      <c r="Q594" s="64"/>
      <c r="R594" s="65" t="str">
        <f t="shared" si="17"/>
        <v>Week 4</v>
      </c>
      <c r="S594" s="65" t="str">
        <f>TEXT(Table8[[#This Row],[Date Day]],"mmm,YYYY")</f>
        <v>Jan,2011</v>
      </c>
    </row>
    <row r="595" spans="1:19" ht="15.6" x14ac:dyDescent="0.3">
      <c r="A595" s="62">
        <v>562</v>
      </c>
      <c r="B595" s="63">
        <v>40568</v>
      </c>
      <c r="C595" s="64">
        <v>14</v>
      </c>
      <c r="D595" s="64" t="b">
        <f>IF(COUNTIF(AU$36:AU$52,Table8[[#This Row],[Date Day]]) &gt; 0, TRUE, FALSE)</f>
        <v>0</v>
      </c>
      <c r="E595" s="64">
        <f t="shared" si="16"/>
        <v>2</v>
      </c>
      <c r="F595" s="64">
        <v>2</v>
      </c>
      <c r="G595" s="65" t="str">
        <f>IF(Table8[[#This Row],[Weathersit]]=1, "BAD", IF(Table8[[#This Row],[Weathersit]]=2, "MODERATE", IF(Table8[[#This Row],[Weathersit]]=3, "GOOD")))</f>
        <v>MODERATE</v>
      </c>
      <c r="H595" s="64">
        <v>30</v>
      </c>
      <c r="I595" s="65" t="str">
        <f>IF(Table8[[#This Row],[Temp]]&lt;11, "COLD", IF(Table8[[#This Row],[Temp]]&lt;=25, "COMFORTABLE", "WARM"))</f>
        <v>WARM</v>
      </c>
      <c r="J595" s="64">
        <v>0.33329999999999999</v>
      </c>
      <c r="K595" s="64">
        <v>0.45</v>
      </c>
      <c r="L595" s="66">
        <v>20.485098360655737</v>
      </c>
      <c r="M595" s="75" t="s">
        <v>81</v>
      </c>
      <c r="N595" s="64">
        <v>11</v>
      </c>
      <c r="O595" s="64">
        <v>57</v>
      </c>
      <c r="P595" s="64">
        <v>68</v>
      </c>
      <c r="Q595" s="64"/>
      <c r="R595" s="65" t="str">
        <f t="shared" si="17"/>
        <v>Week 4</v>
      </c>
      <c r="S595" s="65" t="str">
        <f>TEXT(Table8[[#This Row],[Date Day]],"mmm,YYYY")</f>
        <v>Jan,2011</v>
      </c>
    </row>
    <row r="596" spans="1:19" ht="15.6" x14ac:dyDescent="0.3">
      <c r="A596" s="62">
        <v>563</v>
      </c>
      <c r="B596" s="63">
        <v>40568</v>
      </c>
      <c r="C596" s="64">
        <v>15</v>
      </c>
      <c r="D596" s="64" t="b">
        <f>IF(COUNTIF(AU$36:AU$52,Table8[[#This Row],[Date Day]]) &gt; 0, TRUE, FALSE)</f>
        <v>0</v>
      </c>
      <c r="E596" s="64">
        <f t="shared" si="16"/>
        <v>2</v>
      </c>
      <c r="F596" s="64">
        <v>2</v>
      </c>
      <c r="G596" s="65" t="str">
        <f>IF(Table8[[#This Row],[Weathersit]]=1, "BAD", IF(Table8[[#This Row],[Weathersit]]=2, "MODERATE", IF(Table8[[#This Row],[Weathersit]]=3, "GOOD")))</f>
        <v>MODERATE</v>
      </c>
      <c r="H596" s="64">
        <v>32</v>
      </c>
      <c r="I596" s="65" t="str">
        <f>IF(Table8[[#This Row],[Temp]]&lt;11, "COLD", IF(Table8[[#This Row],[Temp]]&lt;=25, "COMFORTABLE", "WARM"))</f>
        <v>WARM</v>
      </c>
      <c r="J596" s="64">
        <v>0.34849999999999998</v>
      </c>
      <c r="K596" s="64">
        <v>0.42</v>
      </c>
      <c r="L596" s="66">
        <v>20.485098360655737</v>
      </c>
      <c r="M596" s="75" t="s">
        <v>81</v>
      </c>
      <c r="N596" s="64">
        <v>21</v>
      </c>
      <c r="O596" s="64">
        <v>63</v>
      </c>
      <c r="P596" s="64">
        <v>84</v>
      </c>
      <c r="Q596" s="64"/>
      <c r="R596" s="65" t="str">
        <f t="shared" si="17"/>
        <v>Week 4</v>
      </c>
      <c r="S596" s="65" t="str">
        <f>TEXT(Table8[[#This Row],[Date Day]],"mmm,YYYY")</f>
        <v>Jan,2011</v>
      </c>
    </row>
    <row r="597" spans="1:19" ht="15.6" x14ac:dyDescent="0.3">
      <c r="A597" s="62">
        <v>564</v>
      </c>
      <c r="B597" s="63">
        <v>40568</v>
      </c>
      <c r="C597" s="64">
        <v>16</v>
      </c>
      <c r="D597" s="64" t="b">
        <f>IF(COUNTIF(AU$36:AU$52,Table8[[#This Row],[Date Day]]) &gt; 0, TRUE, FALSE)</f>
        <v>0</v>
      </c>
      <c r="E597" s="64">
        <f t="shared" si="16"/>
        <v>2</v>
      </c>
      <c r="F597" s="64">
        <v>2</v>
      </c>
      <c r="G597" s="65" t="str">
        <f>IF(Table8[[#This Row],[Weathersit]]=1, "BAD", IF(Table8[[#This Row],[Weathersit]]=2, "MODERATE", IF(Table8[[#This Row],[Weathersit]]=3, "GOOD")))</f>
        <v>MODERATE</v>
      </c>
      <c r="H597" s="64">
        <v>32</v>
      </c>
      <c r="I597" s="65" t="str">
        <f>IF(Table8[[#This Row],[Temp]]&lt;11, "COLD", IF(Table8[[#This Row],[Temp]]&lt;=25, "COMFORTABLE", "WARM"))</f>
        <v>WARM</v>
      </c>
      <c r="J597" s="64">
        <v>0.34849999999999998</v>
      </c>
      <c r="K597" s="64">
        <v>0.42</v>
      </c>
      <c r="L597" s="66">
        <v>20.485098360655737</v>
      </c>
      <c r="M597" s="75" t="s">
        <v>81</v>
      </c>
      <c r="N597" s="64">
        <v>14</v>
      </c>
      <c r="O597" s="64">
        <v>102</v>
      </c>
      <c r="P597" s="64">
        <v>116</v>
      </c>
      <c r="Q597" s="64"/>
      <c r="R597" s="65" t="str">
        <f t="shared" si="17"/>
        <v>Week 4</v>
      </c>
      <c r="S597" s="65" t="str">
        <f>TEXT(Table8[[#This Row],[Date Day]],"mmm,YYYY")</f>
        <v>Jan,2011</v>
      </c>
    </row>
    <row r="598" spans="1:19" ht="15.6" x14ac:dyDescent="0.3">
      <c r="A598" s="62">
        <v>565</v>
      </c>
      <c r="B598" s="63">
        <v>40568</v>
      </c>
      <c r="C598" s="64">
        <v>17</v>
      </c>
      <c r="D598" s="64" t="b">
        <f>IF(COUNTIF(AU$36:AU$52,Table8[[#This Row],[Date Day]]) &gt; 0, TRUE, FALSE)</f>
        <v>0</v>
      </c>
      <c r="E598" s="64">
        <f t="shared" si="16"/>
        <v>2</v>
      </c>
      <c r="F598" s="64">
        <v>1</v>
      </c>
      <c r="G598" s="65" t="str">
        <f>IF(Table8[[#This Row],[Weathersit]]=1, "BAD", IF(Table8[[#This Row],[Weathersit]]=2, "MODERATE", IF(Table8[[#This Row],[Weathersit]]=3, "GOOD")))</f>
        <v>BAD</v>
      </c>
      <c r="H598" s="64">
        <v>30</v>
      </c>
      <c r="I598" s="65" t="str">
        <f>IF(Table8[[#This Row],[Temp]]&lt;11, "COLD", IF(Table8[[#This Row],[Temp]]&lt;=25, "COMFORTABLE", "WARM"))</f>
        <v>WARM</v>
      </c>
      <c r="J598" s="64">
        <v>0.33329999999999999</v>
      </c>
      <c r="K598" s="64">
        <v>0.45</v>
      </c>
      <c r="L598" s="66">
        <v>20.485098360655737</v>
      </c>
      <c r="M598" s="75" t="s">
        <v>81</v>
      </c>
      <c r="N598" s="64">
        <v>14</v>
      </c>
      <c r="O598" s="64">
        <v>208</v>
      </c>
      <c r="P598" s="64">
        <v>222</v>
      </c>
      <c r="Q598" s="64"/>
      <c r="R598" s="65" t="str">
        <f t="shared" si="17"/>
        <v>Week 4</v>
      </c>
      <c r="S598" s="65" t="str">
        <f>TEXT(Table8[[#This Row],[Date Day]],"mmm,YYYY")</f>
        <v>Jan,2011</v>
      </c>
    </row>
    <row r="599" spans="1:19" ht="15.6" x14ac:dyDescent="0.3">
      <c r="A599" s="62">
        <v>566</v>
      </c>
      <c r="B599" s="63">
        <v>40568</v>
      </c>
      <c r="C599" s="64">
        <v>18</v>
      </c>
      <c r="D599" s="64" t="b">
        <f>IF(COUNTIF(AU$36:AU$52,Table8[[#This Row],[Date Day]]) &gt; 0, TRUE, FALSE)</f>
        <v>0</v>
      </c>
      <c r="E599" s="64">
        <f t="shared" si="16"/>
        <v>2</v>
      </c>
      <c r="F599" s="64">
        <v>2</v>
      </c>
      <c r="G599" s="65" t="str">
        <f>IF(Table8[[#This Row],[Weathersit]]=1, "BAD", IF(Table8[[#This Row],[Weathersit]]=2, "MODERATE", IF(Table8[[#This Row],[Weathersit]]=3, "GOOD")))</f>
        <v>MODERATE</v>
      </c>
      <c r="H599" s="64">
        <v>30</v>
      </c>
      <c r="I599" s="65" t="str">
        <f>IF(Table8[[#This Row],[Temp]]&lt;11, "COLD", IF(Table8[[#This Row],[Temp]]&lt;=25, "COMFORTABLE", "WARM"))</f>
        <v>WARM</v>
      </c>
      <c r="J599" s="64">
        <v>0.31819999999999998</v>
      </c>
      <c r="K599" s="64">
        <v>0.49</v>
      </c>
      <c r="L599" s="66">
        <v>8.9599999999999991</v>
      </c>
      <c r="M599" s="75" t="s">
        <v>80</v>
      </c>
      <c r="N599" s="64">
        <v>7</v>
      </c>
      <c r="O599" s="64">
        <v>218</v>
      </c>
      <c r="P599" s="64">
        <v>225</v>
      </c>
      <c r="Q599" s="64"/>
      <c r="R599" s="65" t="str">
        <f t="shared" si="17"/>
        <v>Week 4</v>
      </c>
      <c r="S599" s="65" t="str">
        <f>TEXT(Table8[[#This Row],[Date Day]],"mmm,YYYY")</f>
        <v>Jan,2011</v>
      </c>
    </row>
    <row r="600" spans="1:19" ht="15.6" x14ac:dyDescent="0.3">
      <c r="A600" s="62">
        <v>567</v>
      </c>
      <c r="B600" s="63">
        <v>40568</v>
      </c>
      <c r="C600" s="64">
        <v>19</v>
      </c>
      <c r="D600" s="64" t="b">
        <f>IF(COUNTIF(AU$36:AU$52,Table8[[#This Row],[Date Day]]) &gt; 0, TRUE, FALSE)</f>
        <v>0</v>
      </c>
      <c r="E600" s="64">
        <f t="shared" si="16"/>
        <v>2</v>
      </c>
      <c r="F600" s="64">
        <v>2</v>
      </c>
      <c r="G600" s="65" t="str">
        <f>IF(Table8[[#This Row],[Weathersit]]=1, "BAD", IF(Table8[[#This Row],[Weathersit]]=2, "MODERATE", IF(Table8[[#This Row],[Weathersit]]=3, "GOOD")))</f>
        <v>MODERATE</v>
      </c>
      <c r="H600" s="64">
        <v>26</v>
      </c>
      <c r="I600" s="65" t="str">
        <f>IF(Table8[[#This Row],[Temp]]&lt;11, "COLD", IF(Table8[[#This Row],[Temp]]&lt;=25, "COMFORTABLE", "WARM"))</f>
        <v>WARM</v>
      </c>
      <c r="J600" s="64">
        <v>0.2576</v>
      </c>
      <c r="K600" s="64">
        <v>0.65</v>
      </c>
      <c r="L600" s="66">
        <v>16.420000000000002</v>
      </c>
      <c r="M600" s="75" t="s">
        <v>80</v>
      </c>
      <c r="N600" s="64">
        <v>13</v>
      </c>
      <c r="O600" s="64">
        <v>133</v>
      </c>
      <c r="P600" s="64">
        <v>146</v>
      </c>
      <c r="Q600" s="64"/>
      <c r="R600" s="65" t="str">
        <f t="shared" si="17"/>
        <v>Week 4</v>
      </c>
      <c r="S600" s="65" t="str">
        <f>TEXT(Table8[[#This Row],[Date Day]],"mmm,YYYY")</f>
        <v>Jan,2011</v>
      </c>
    </row>
    <row r="601" spans="1:19" ht="15.6" x14ac:dyDescent="0.3">
      <c r="A601" s="62">
        <v>568</v>
      </c>
      <c r="B601" s="63">
        <v>40568</v>
      </c>
      <c r="C601" s="64">
        <v>20</v>
      </c>
      <c r="D601" s="64" t="b">
        <f>IF(COUNTIF(AU$36:AU$52,Table8[[#This Row],[Date Day]]) &gt; 0, TRUE, FALSE)</f>
        <v>0</v>
      </c>
      <c r="E601" s="64">
        <f t="shared" si="16"/>
        <v>2</v>
      </c>
      <c r="F601" s="64">
        <v>1</v>
      </c>
      <c r="G601" s="65" t="str">
        <f>IF(Table8[[#This Row],[Weathersit]]=1, "BAD", IF(Table8[[#This Row],[Weathersit]]=2, "MODERATE", IF(Table8[[#This Row],[Weathersit]]=3, "GOOD")))</f>
        <v>BAD</v>
      </c>
      <c r="H601" s="64">
        <v>24</v>
      </c>
      <c r="I601" s="65" t="str">
        <f>IF(Table8[[#This Row],[Temp]]&lt;11, "COLD", IF(Table8[[#This Row],[Temp]]&lt;=25, "COMFORTABLE", "WARM"))</f>
        <v>COMFORTABLE</v>
      </c>
      <c r="J601" s="64">
        <v>0.2273</v>
      </c>
      <c r="K601" s="64">
        <v>0.65</v>
      </c>
      <c r="L601" s="66">
        <v>19.400000000000002</v>
      </c>
      <c r="M601" s="75" t="s">
        <v>80</v>
      </c>
      <c r="N601" s="64">
        <v>16</v>
      </c>
      <c r="O601" s="64">
        <v>103</v>
      </c>
      <c r="P601" s="64">
        <v>119</v>
      </c>
      <c r="Q601" s="64"/>
      <c r="R601" s="65" t="str">
        <f t="shared" si="17"/>
        <v>Week 4</v>
      </c>
      <c r="S601" s="65" t="str">
        <f>TEXT(Table8[[#This Row],[Date Day]],"mmm,YYYY")</f>
        <v>Jan,2011</v>
      </c>
    </row>
    <row r="602" spans="1:19" ht="15.6" x14ac:dyDescent="0.3">
      <c r="A602" s="62">
        <v>569</v>
      </c>
      <c r="B602" s="63">
        <v>40568</v>
      </c>
      <c r="C602" s="64">
        <v>21</v>
      </c>
      <c r="D602" s="64" t="b">
        <f>IF(COUNTIF(AU$36:AU$52,Table8[[#This Row],[Date Day]]) &gt; 0, TRUE, FALSE)</f>
        <v>0</v>
      </c>
      <c r="E602" s="64">
        <f t="shared" si="16"/>
        <v>2</v>
      </c>
      <c r="F602" s="64">
        <v>1</v>
      </c>
      <c r="G602" s="65" t="str">
        <f>IF(Table8[[#This Row],[Weathersit]]=1, "BAD", IF(Table8[[#This Row],[Weathersit]]=2, "MODERATE", IF(Table8[[#This Row],[Weathersit]]=3, "GOOD")))</f>
        <v>BAD</v>
      </c>
      <c r="H602" s="64">
        <v>24</v>
      </c>
      <c r="I602" s="65" t="str">
        <f>IF(Table8[[#This Row],[Temp]]&lt;11, "COLD", IF(Table8[[#This Row],[Temp]]&lt;=25, "COMFORTABLE", "WARM"))</f>
        <v>COMFORTABLE</v>
      </c>
      <c r="J602" s="64">
        <v>0.2273</v>
      </c>
      <c r="K602" s="64">
        <v>0.65</v>
      </c>
      <c r="L602" s="66">
        <v>19.400000000000002</v>
      </c>
      <c r="M602" s="75" t="s">
        <v>80</v>
      </c>
      <c r="N602" s="64">
        <v>5</v>
      </c>
      <c r="O602" s="64">
        <v>40</v>
      </c>
      <c r="P602" s="64">
        <v>45</v>
      </c>
      <c r="Q602" s="64"/>
      <c r="R602" s="65" t="str">
        <f t="shared" si="17"/>
        <v>Week 4</v>
      </c>
      <c r="S602" s="65" t="str">
        <f>TEXT(Table8[[#This Row],[Date Day]],"mmm,YYYY")</f>
        <v>Jan,2011</v>
      </c>
    </row>
    <row r="603" spans="1:19" ht="15.6" x14ac:dyDescent="0.3">
      <c r="A603" s="62">
        <v>570</v>
      </c>
      <c r="B603" s="63">
        <v>40568</v>
      </c>
      <c r="C603" s="64">
        <v>22</v>
      </c>
      <c r="D603" s="64" t="b">
        <f>IF(COUNTIF(AU$36:AU$52,Table8[[#This Row],[Date Day]]) &gt; 0, TRUE, FALSE)</f>
        <v>0</v>
      </c>
      <c r="E603" s="64">
        <f t="shared" si="16"/>
        <v>2</v>
      </c>
      <c r="F603" s="64">
        <v>1</v>
      </c>
      <c r="G603" s="65" t="str">
        <f>IF(Table8[[#This Row],[Weathersit]]=1, "BAD", IF(Table8[[#This Row],[Weathersit]]=2, "MODERATE", IF(Table8[[#This Row],[Weathersit]]=3, "GOOD")))</f>
        <v>BAD</v>
      </c>
      <c r="H603" s="64">
        <v>22</v>
      </c>
      <c r="I603" s="65" t="str">
        <f>IF(Table8[[#This Row],[Temp]]&lt;11, "COLD", IF(Table8[[#This Row],[Temp]]&lt;=25, "COMFORTABLE", "WARM"))</f>
        <v>COMFORTABLE</v>
      </c>
      <c r="J603" s="64">
        <v>0.2273</v>
      </c>
      <c r="K603" s="64">
        <v>0.64</v>
      </c>
      <c r="L603" s="66">
        <v>16.420000000000002</v>
      </c>
      <c r="M603" s="75" t="s">
        <v>80</v>
      </c>
      <c r="N603" s="64">
        <v>4</v>
      </c>
      <c r="O603" s="64">
        <v>49</v>
      </c>
      <c r="P603" s="64">
        <v>53</v>
      </c>
      <c r="Q603" s="64"/>
      <c r="R603" s="65" t="str">
        <f t="shared" si="17"/>
        <v>Week 4</v>
      </c>
      <c r="S603" s="65" t="str">
        <f>TEXT(Table8[[#This Row],[Date Day]],"mmm,YYYY")</f>
        <v>Jan,2011</v>
      </c>
    </row>
    <row r="604" spans="1:19" ht="15.6" x14ac:dyDescent="0.3">
      <c r="A604" s="62">
        <v>571</v>
      </c>
      <c r="B604" s="63">
        <v>40568</v>
      </c>
      <c r="C604" s="64">
        <v>23</v>
      </c>
      <c r="D604" s="64" t="b">
        <f>IF(COUNTIF(AU$36:AU$52,Table8[[#This Row],[Date Day]]) &gt; 0, TRUE, FALSE)</f>
        <v>0</v>
      </c>
      <c r="E604" s="64">
        <f t="shared" si="16"/>
        <v>2</v>
      </c>
      <c r="F604" s="64">
        <v>2</v>
      </c>
      <c r="G604" s="65" t="str">
        <f>IF(Table8[[#This Row],[Weathersit]]=1, "BAD", IF(Table8[[#This Row],[Weathersit]]=2, "MODERATE", IF(Table8[[#This Row],[Weathersit]]=3, "GOOD")))</f>
        <v>MODERATE</v>
      </c>
      <c r="H604" s="64">
        <v>22</v>
      </c>
      <c r="I604" s="65" t="str">
        <f>IF(Table8[[#This Row],[Temp]]&lt;11, "COLD", IF(Table8[[#This Row],[Temp]]&lt;=25, "COMFORTABLE", "WARM"))</f>
        <v>COMFORTABLE</v>
      </c>
      <c r="J604" s="64">
        <v>0.2273</v>
      </c>
      <c r="K604" s="64">
        <v>0.64</v>
      </c>
      <c r="L604" s="66">
        <v>16.420000000000002</v>
      </c>
      <c r="M604" s="75" t="s">
        <v>80</v>
      </c>
      <c r="N604" s="64">
        <v>3</v>
      </c>
      <c r="O604" s="64">
        <v>37</v>
      </c>
      <c r="P604" s="64">
        <v>40</v>
      </c>
      <c r="Q604" s="64"/>
      <c r="R604" s="65" t="str">
        <f t="shared" si="17"/>
        <v>Week 4</v>
      </c>
      <c r="S604" s="65" t="str">
        <f>TEXT(Table8[[#This Row],[Date Day]],"mmm,YYYY")</f>
        <v>Jan,2011</v>
      </c>
    </row>
    <row r="605" spans="1:19" ht="15.6" x14ac:dyDescent="0.3">
      <c r="A605" s="62">
        <v>572</v>
      </c>
      <c r="B605" s="63">
        <v>40569</v>
      </c>
      <c r="C605" s="64">
        <v>0</v>
      </c>
      <c r="D605" s="64" t="b">
        <f>IF(COUNTIF(AU$36:AU$52,Table8[[#This Row],[Date Day]]) &gt; 0, TRUE, FALSE)</f>
        <v>1</v>
      </c>
      <c r="E605" s="64">
        <f t="shared" si="16"/>
        <v>3</v>
      </c>
      <c r="F605" s="64">
        <v>2</v>
      </c>
      <c r="G605" s="65" t="str">
        <f>IF(Table8[[#This Row],[Weathersit]]=1, "BAD", IF(Table8[[#This Row],[Weathersit]]=2, "MODERATE", IF(Table8[[#This Row],[Weathersit]]=3, "GOOD")))</f>
        <v>MODERATE</v>
      </c>
      <c r="H605" s="64">
        <v>22</v>
      </c>
      <c r="I605" s="65" t="str">
        <f>IF(Table8[[#This Row],[Temp]]&lt;11, "COLD", IF(Table8[[#This Row],[Temp]]&lt;=25, "COMFORTABLE", "WARM"))</f>
        <v>COMFORTABLE</v>
      </c>
      <c r="J605" s="64">
        <v>0.2273</v>
      </c>
      <c r="K605" s="64">
        <v>0.69</v>
      </c>
      <c r="L605" s="66">
        <v>13.43</v>
      </c>
      <c r="M605" s="75" t="s">
        <v>80</v>
      </c>
      <c r="N605" s="64">
        <v>3</v>
      </c>
      <c r="O605" s="64">
        <v>14</v>
      </c>
      <c r="P605" s="64">
        <v>17</v>
      </c>
      <c r="Q605" s="64"/>
      <c r="R605" s="65" t="str">
        <f t="shared" si="17"/>
        <v>Week 4</v>
      </c>
      <c r="S605" s="65" t="str">
        <f>TEXT(Table8[[#This Row],[Date Day]],"mmm,YYYY")</f>
        <v>Jan,2011</v>
      </c>
    </row>
    <row r="606" spans="1:19" ht="15.6" x14ac:dyDescent="0.3">
      <c r="A606" s="62">
        <v>573</v>
      </c>
      <c r="B606" s="63">
        <v>40569</v>
      </c>
      <c r="C606" s="64">
        <v>1</v>
      </c>
      <c r="D606" s="64" t="b">
        <f>IF(COUNTIF(AU$36:AU$52,Table8[[#This Row],[Date Day]]) &gt; 0, TRUE, FALSE)</f>
        <v>1</v>
      </c>
      <c r="E606" s="64">
        <f t="shared" si="16"/>
        <v>3</v>
      </c>
      <c r="F606" s="64">
        <v>2</v>
      </c>
      <c r="G606" s="65" t="str">
        <f>IF(Table8[[#This Row],[Weathersit]]=1, "BAD", IF(Table8[[#This Row],[Weathersit]]=2, "MODERATE", IF(Table8[[#This Row],[Weathersit]]=3, "GOOD")))</f>
        <v>MODERATE</v>
      </c>
      <c r="H606" s="64">
        <v>24</v>
      </c>
      <c r="I606" s="65" t="str">
        <f>IF(Table8[[#This Row],[Temp]]&lt;11, "COLD", IF(Table8[[#This Row],[Temp]]&lt;=25, "COMFORTABLE", "WARM"))</f>
        <v>COMFORTABLE</v>
      </c>
      <c r="J606" s="64">
        <v>0.2424</v>
      </c>
      <c r="K606" s="64">
        <v>0.65</v>
      </c>
      <c r="L606" s="66">
        <v>13.43</v>
      </c>
      <c r="M606" s="75" t="s">
        <v>80</v>
      </c>
      <c r="N606" s="64">
        <v>0</v>
      </c>
      <c r="O606" s="64">
        <v>5</v>
      </c>
      <c r="P606" s="64">
        <v>5</v>
      </c>
      <c r="Q606" s="64"/>
      <c r="R606" s="65" t="str">
        <f t="shared" si="17"/>
        <v>Week 4</v>
      </c>
      <c r="S606" s="65" t="str">
        <f>TEXT(Table8[[#This Row],[Date Day]],"mmm,YYYY")</f>
        <v>Jan,2011</v>
      </c>
    </row>
    <row r="607" spans="1:19" ht="15.6" x14ac:dyDescent="0.3">
      <c r="A607" s="62">
        <v>574</v>
      </c>
      <c r="B607" s="63">
        <v>40569</v>
      </c>
      <c r="C607" s="64">
        <v>2</v>
      </c>
      <c r="D607" s="64" t="b">
        <f>IF(COUNTIF(AU$36:AU$52,Table8[[#This Row],[Date Day]]) &gt; 0, TRUE, FALSE)</f>
        <v>1</v>
      </c>
      <c r="E607" s="64">
        <f t="shared" si="16"/>
        <v>3</v>
      </c>
      <c r="F607" s="64">
        <v>3</v>
      </c>
      <c r="G607" s="65" t="str">
        <f>IF(Table8[[#This Row],[Weathersit]]=1, "BAD", IF(Table8[[#This Row],[Weathersit]]=2, "MODERATE", IF(Table8[[#This Row],[Weathersit]]=3, "GOOD")))</f>
        <v>GOOD</v>
      </c>
      <c r="H607" s="64">
        <v>22</v>
      </c>
      <c r="I607" s="65" t="str">
        <f>IF(Table8[[#This Row],[Temp]]&lt;11, "COLD", IF(Table8[[#This Row],[Temp]]&lt;=25, "COMFORTABLE", "WARM"))</f>
        <v>COMFORTABLE</v>
      </c>
      <c r="J607" s="64">
        <v>0.2273</v>
      </c>
      <c r="K607" s="64">
        <v>0.69</v>
      </c>
      <c r="L607" s="66">
        <v>19.400000000000002</v>
      </c>
      <c r="M607" s="75" t="s">
        <v>80</v>
      </c>
      <c r="N607" s="64">
        <v>3</v>
      </c>
      <c r="O607" s="64">
        <v>7</v>
      </c>
      <c r="P607" s="64">
        <v>10</v>
      </c>
      <c r="Q607" s="64"/>
      <c r="R607" s="65" t="str">
        <f t="shared" si="17"/>
        <v>Week 4</v>
      </c>
      <c r="S607" s="65" t="str">
        <f>TEXT(Table8[[#This Row],[Date Day]],"mmm,YYYY")</f>
        <v>Jan,2011</v>
      </c>
    </row>
    <row r="608" spans="1:19" ht="15.6" x14ac:dyDescent="0.3">
      <c r="A608" s="62">
        <v>575</v>
      </c>
      <c r="B608" s="63">
        <v>40569</v>
      </c>
      <c r="C608" s="64">
        <v>5</v>
      </c>
      <c r="D608" s="64" t="b">
        <f>IF(COUNTIF(AU$36:AU$52,Table8[[#This Row],[Date Day]]) &gt; 0, TRUE, FALSE)</f>
        <v>1</v>
      </c>
      <c r="E608" s="64">
        <f t="shared" si="16"/>
        <v>3</v>
      </c>
      <c r="F608" s="64">
        <v>3</v>
      </c>
      <c r="G608" s="65" t="str">
        <f>IF(Table8[[#This Row],[Weathersit]]=1, "BAD", IF(Table8[[#This Row],[Weathersit]]=2, "MODERATE", IF(Table8[[#This Row],[Weathersit]]=3, "GOOD")))</f>
        <v>GOOD</v>
      </c>
      <c r="H608" s="64">
        <v>20</v>
      </c>
      <c r="I608" s="65" t="str">
        <f>IF(Table8[[#This Row],[Temp]]&lt;11, "COLD", IF(Table8[[#This Row],[Temp]]&lt;=25, "COMFORTABLE", "WARM"))</f>
        <v>COMFORTABLE</v>
      </c>
      <c r="J608" s="64">
        <v>0.18179999999999999</v>
      </c>
      <c r="K608" s="64">
        <v>0.86</v>
      </c>
      <c r="L608" s="66">
        <v>28.360000000000003</v>
      </c>
      <c r="M608" s="75" t="s">
        <v>81</v>
      </c>
      <c r="N608" s="64">
        <v>0</v>
      </c>
      <c r="O608" s="64">
        <v>1</v>
      </c>
      <c r="P608" s="64">
        <v>1</v>
      </c>
      <c r="Q608" s="64"/>
      <c r="R608" s="65" t="str">
        <f t="shared" si="17"/>
        <v>Week 4</v>
      </c>
      <c r="S608" s="65" t="str">
        <f>TEXT(Table8[[#This Row],[Date Day]],"mmm,YYYY")</f>
        <v>Jan,2011</v>
      </c>
    </row>
    <row r="609" spans="1:19" ht="15.6" x14ac:dyDescent="0.3">
      <c r="A609" s="62">
        <v>576</v>
      </c>
      <c r="B609" s="63">
        <v>40569</v>
      </c>
      <c r="C609" s="64">
        <v>6</v>
      </c>
      <c r="D609" s="64" t="b">
        <f>IF(COUNTIF(AU$36:AU$52,Table8[[#This Row],[Date Day]]) &gt; 0, TRUE, FALSE)</f>
        <v>1</v>
      </c>
      <c r="E609" s="64">
        <f t="shared" si="16"/>
        <v>3</v>
      </c>
      <c r="F609" s="64">
        <v>3</v>
      </c>
      <c r="G609" s="65" t="str">
        <f>IF(Table8[[#This Row],[Weathersit]]=1, "BAD", IF(Table8[[#This Row],[Weathersit]]=2, "MODERATE", IF(Table8[[#This Row],[Weathersit]]=3, "GOOD")))</f>
        <v>GOOD</v>
      </c>
      <c r="H609" s="64">
        <v>20</v>
      </c>
      <c r="I609" s="65" t="str">
        <f>IF(Table8[[#This Row],[Temp]]&lt;11, "COLD", IF(Table8[[#This Row],[Temp]]&lt;=25, "COMFORTABLE", "WARM"))</f>
        <v>COMFORTABLE</v>
      </c>
      <c r="J609" s="64">
        <v>0.18179999999999999</v>
      </c>
      <c r="K609" s="64">
        <v>0.86</v>
      </c>
      <c r="L609" s="66">
        <v>28.360000000000003</v>
      </c>
      <c r="M609" s="75" t="s">
        <v>81</v>
      </c>
      <c r="N609" s="64">
        <v>0</v>
      </c>
      <c r="O609" s="64">
        <v>8</v>
      </c>
      <c r="P609" s="64">
        <v>8</v>
      </c>
      <c r="Q609" s="64"/>
      <c r="R609" s="65" t="str">
        <f t="shared" si="17"/>
        <v>Week 4</v>
      </c>
      <c r="S609" s="65" t="str">
        <f>TEXT(Table8[[#This Row],[Date Day]],"mmm,YYYY")</f>
        <v>Jan,2011</v>
      </c>
    </row>
    <row r="610" spans="1:19" ht="15.6" x14ac:dyDescent="0.3">
      <c r="A610" s="62">
        <v>577</v>
      </c>
      <c r="B610" s="63">
        <v>40569</v>
      </c>
      <c r="C610" s="64">
        <v>7</v>
      </c>
      <c r="D610" s="64" t="b">
        <f>IF(COUNTIF(AU$36:AU$52,Table8[[#This Row],[Date Day]]) &gt; 0, TRUE, FALSE)</f>
        <v>1</v>
      </c>
      <c r="E610" s="64">
        <f t="shared" ref="E610:E673" si="18">WEEKDAY(B:B,2)</f>
        <v>3</v>
      </c>
      <c r="F610" s="64">
        <v>3</v>
      </c>
      <c r="G610" s="65" t="str">
        <f>IF(Table8[[#This Row],[Weathersit]]=1, "BAD", IF(Table8[[#This Row],[Weathersit]]=2, "MODERATE", IF(Table8[[#This Row],[Weathersit]]=3, "GOOD")))</f>
        <v>GOOD</v>
      </c>
      <c r="H610" s="64">
        <v>22</v>
      </c>
      <c r="I610" s="65" t="str">
        <f>IF(Table8[[#This Row],[Temp]]&lt;11, "COLD", IF(Table8[[#This Row],[Temp]]&lt;=25, "COMFORTABLE", "WARM"))</f>
        <v>COMFORTABLE</v>
      </c>
      <c r="J610" s="64">
        <v>0.21210000000000001</v>
      </c>
      <c r="K610" s="64">
        <v>0.87</v>
      </c>
      <c r="L610" s="66">
        <v>29.849999999999998</v>
      </c>
      <c r="M610" s="75" t="s">
        <v>81</v>
      </c>
      <c r="N610" s="64">
        <v>1</v>
      </c>
      <c r="O610" s="64">
        <v>29</v>
      </c>
      <c r="P610" s="64">
        <v>30</v>
      </c>
      <c r="Q610" s="64"/>
      <c r="R610" s="65" t="str">
        <f t="shared" ref="R610:R673" si="19">"Week " &amp; INT((DAY(B610)-1)/7)+1</f>
        <v>Week 4</v>
      </c>
      <c r="S610" s="65" t="str">
        <f>TEXT(Table8[[#This Row],[Date Day]],"mmm,YYYY")</f>
        <v>Jan,2011</v>
      </c>
    </row>
    <row r="611" spans="1:19" ht="15.6" x14ac:dyDescent="0.3">
      <c r="A611" s="62">
        <v>578</v>
      </c>
      <c r="B611" s="63">
        <v>40569</v>
      </c>
      <c r="C611" s="64">
        <v>8</v>
      </c>
      <c r="D611" s="64" t="b">
        <f>IF(COUNTIF(AU$36:AU$52,Table8[[#This Row],[Date Day]]) &gt; 0, TRUE, FALSE)</f>
        <v>1</v>
      </c>
      <c r="E611" s="64">
        <f t="shared" si="18"/>
        <v>3</v>
      </c>
      <c r="F611" s="64">
        <v>3</v>
      </c>
      <c r="G611" s="65" t="str">
        <f>IF(Table8[[#This Row],[Weathersit]]=1, "BAD", IF(Table8[[#This Row],[Weathersit]]=2, "MODERATE", IF(Table8[[#This Row],[Weathersit]]=3, "GOOD")))</f>
        <v>GOOD</v>
      </c>
      <c r="H611" s="64">
        <v>22</v>
      </c>
      <c r="I611" s="65" t="str">
        <f>IF(Table8[[#This Row],[Temp]]&lt;11, "COLD", IF(Table8[[#This Row],[Temp]]&lt;=25, "COMFORTABLE", "WARM"))</f>
        <v>COMFORTABLE</v>
      </c>
      <c r="J611" s="64">
        <v>0.21210000000000001</v>
      </c>
      <c r="K611" s="64">
        <v>0.87</v>
      </c>
      <c r="L611" s="66">
        <v>29.849999999999998</v>
      </c>
      <c r="M611" s="75" t="s">
        <v>81</v>
      </c>
      <c r="N611" s="64">
        <v>3</v>
      </c>
      <c r="O611" s="64">
        <v>69</v>
      </c>
      <c r="P611" s="64">
        <v>72</v>
      </c>
      <c r="Q611" s="64"/>
      <c r="R611" s="65" t="str">
        <f t="shared" si="19"/>
        <v>Week 4</v>
      </c>
      <c r="S611" s="65" t="str">
        <f>TEXT(Table8[[#This Row],[Date Day]],"mmm,YYYY")</f>
        <v>Jan,2011</v>
      </c>
    </row>
    <row r="612" spans="1:19" ht="15.6" x14ac:dyDescent="0.3">
      <c r="A612" s="62">
        <v>579</v>
      </c>
      <c r="B612" s="63">
        <v>40569</v>
      </c>
      <c r="C612" s="64">
        <v>9</v>
      </c>
      <c r="D612" s="64" t="b">
        <f>IF(COUNTIF(AU$36:AU$52,Table8[[#This Row],[Date Day]]) &gt; 0, TRUE, FALSE)</f>
        <v>1</v>
      </c>
      <c r="E612" s="64">
        <f t="shared" si="18"/>
        <v>3</v>
      </c>
      <c r="F612" s="64">
        <v>3</v>
      </c>
      <c r="G612" s="65" t="str">
        <f>IF(Table8[[#This Row],[Weathersit]]=1, "BAD", IF(Table8[[#This Row],[Weathersit]]=2, "MODERATE", IF(Table8[[#This Row],[Weathersit]]=3, "GOOD")))</f>
        <v>GOOD</v>
      </c>
      <c r="H612" s="64">
        <v>22</v>
      </c>
      <c r="I612" s="65" t="str">
        <f>IF(Table8[[#This Row],[Temp]]&lt;11, "COLD", IF(Table8[[#This Row],[Temp]]&lt;=25, "COMFORTABLE", "WARM"))</f>
        <v>COMFORTABLE</v>
      </c>
      <c r="J612" s="64">
        <v>0.21210000000000001</v>
      </c>
      <c r="K612" s="64">
        <v>0.87</v>
      </c>
      <c r="L612" s="66">
        <v>29.849999999999998</v>
      </c>
      <c r="M612" s="75" t="s">
        <v>81</v>
      </c>
      <c r="N612" s="64">
        <v>3</v>
      </c>
      <c r="O612" s="64">
        <v>55</v>
      </c>
      <c r="P612" s="64">
        <v>58</v>
      </c>
      <c r="Q612" s="64"/>
      <c r="R612" s="65" t="str">
        <f t="shared" si="19"/>
        <v>Week 4</v>
      </c>
      <c r="S612" s="65" t="str">
        <f>TEXT(Table8[[#This Row],[Date Day]],"mmm,YYYY")</f>
        <v>Jan,2011</v>
      </c>
    </row>
    <row r="613" spans="1:19" ht="15.6" x14ac:dyDescent="0.3">
      <c r="A613" s="62">
        <v>580</v>
      </c>
      <c r="B613" s="63">
        <v>40569</v>
      </c>
      <c r="C613" s="64">
        <v>10</v>
      </c>
      <c r="D613" s="64" t="b">
        <f>IF(COUNTIF(AU$36:AU$52,Table8[[#This Row],[Date Day]]) &gt; 0, TRUE, FALSE)</f>
        <v>1</v>
      </c>
      <c r="E613" s="64">
        <f t="shared" si="18"/>
        <v>3</v>
      </c>
      <c r="F613" s="64">
        <v>3</v>
      </c>
      <c r="G613" s="65" t="str">
        <f>IF(Table8[[#This Row],[Weathersit]]=1, "BAD", IF(Table8[[#This Row],[Weathersit]]=2, "MODERATE", IF(Table8[[#This Row],[Weathersit]]=3, "GOOD")))</f>
        <v>GOOD</v>
      </c>
      <c r="H613" s="64">
        <v>22</v>
      </c>
      <c r="I613" s="65" t="str">
        <f>IF(Table8[[#This Row],[Temp]]&lt;11, "COLD", IF(Table8[[#This Row],[Temp]]&lt;=25, "COMFORTABLE", "WARM"))</f>
        <v>COMFORTABLE</v>
      </c>
      <c r="J613" s="64">
        <v>0.21210000000000001</v>
      </c>
      <c r="K613" s="64">
        <v>0.93</v>
      </c>
      <c r="L613" s="66">
        <v>28.360000000000003</v>
      </c>
      <c r="M613" s="75" t="s">
        <v>81</v>
      </c>
      <c r="N613" s="64">
        <v>2</v>
      </c>
      <c r="O613" s="64">
        <v>26</v>
      </c>
      <c r="P613" s="64">
        <v>28</v>
      </c>
      <c r="Q613" s="64"/>
      <c r="R613" s="65" t="str">
        <f t="shared" si="19"/>
        <v>Week 4</v>
      </c>
      <c r="S613" s="65" t="str">
        <f>TEXT(Table8[[#This Row],[Date Day]],"mmm,YYYY")</f>
        <v>Jan,2011</v>
      </c>
    </row>
    <row r="614" spans="1:19" ht="15.6" x14ac:dyDescent="0.3">
      <c r="A614" s="62">
        <v>581</v>
      </c>
      <c r="B614" s="63">
        <v>40569</v>
      </c>
      <c r="C614" s="64">
        <v>11</v>
      </c>
      <c r="D614" s="64" t="b">
        <f>IF(COUNTIF(AU$36:AU$52,Table8[[#This Row],[Date Day]]) &gt; 0, TRUE, FALSE)</f>
        <v>1</v>
      </c>
      <c r="E614" s="64">
        <f t="shared" si="18"/>
        <v>3</v>
      </c>
      <c r="F614" s="64">
        <v>3</v>
      </c>
      <c r="G614" s="65" t="str">
        <f>IF(Table8[[#This Row],[Weathersit]]=1, "BAD", IF(Table8[[#This Row],[Weathersit]]=2, "MODERATE", IF(Table8[[#This Row],[Weathersit]]=3, "GOOD")))</f>
        <v>GOOD</v>
      </c>
      <c r="H614" s="64">
        <v>22</v>
      </c>
      <c r="I614" s="65" t="str">
        <f>IF(Table8[[#This Row],[Temp]]&lt;11, "COLD", IF(Table8[[#This Row],[Temp]]&lt;=25, "COMFORTABLE", "WARM"))</f>
        <v>COMFORTABLE</v>
      </c>
      <c r="J614" s="64">
        <v>0.19700000000000001</v>
      </c>
      <c r="K614" s="64">
        <v>0.93</v>
      </c>
      <c r="L614" s="66">
        <v>32.840000000000003</v>
      </c>
      <c r="M614" s="75" t="s">
        <v>84</v>
      </c>
      <c r="N614" s="64">
        <v>6</v>
      </c>
      <c r="O614" s="64">
        <v>35</v>
      </c>
      <c r="P614" s="64">
        <v>41</v>
      </c>
      <c r="Q614" s="64"/>
      <c r="R614" s="65" t="str">
        <f t="shared" si="19"/>
        <v>Week 4</v>
      </c>
      <c r="S614" s="65" t="str">
        <f>TEXT(Table8[[#This Row],[Date Day]],"mmm,YYYY")</f>
        <v>Jan,2011</v>
      </c>
    </row>
    <row r="615" spans="1:19" ht="15.6" x14ac:dyDescent="0.3">
      <c r="A615" s="62">
        <v>582</v>
      </c>
      <c r="B615" s="63">
        <v>40569</v>
      </c>
      <c r="C615" s="64">
        <v>12</v>
      </c>
      <c r="D615" s="64" t="b">
        <f>IF(COUNTIF(AU$36:AU$52,Table8[[#This Row],[Date Day]]) &gt; 0, TRUE, FALSE)</f>
        <v>1</v>
      </c>
      <c r="E615" s="64">
        <f t="shared" si="18"/>
        <v>3</v>
      </c>
      <c r="F615" s="64">
        <v>3</v>
      </c>
      <c r="G615" s="65" t="str">
        <f>IF(Table8[[#This Row],[Weathersit]]=1, "BAD", IF(Table8[[#This Row],[Weathersit]]=2, "MODERATE", IF(Table8[[#This Row],[Weathersit]]=3, "GOOD")))</f>
        <v>GOOD</v>
      </c>
      <c r="H615" s="64">
        <v>22</v>
      </c>
      <c r="I615" s="65" t="str">
        <f>IF(Table8[[#This Row],[Temp]]&lt;11, "COLD", IF(Table8[[#This Row],[Temp]]&lt;=25, "COMFORTABLE", "WARM"))</f>
        <v>COMFORTABLE</v>
      </c>
      <c r="J615" s="64">
        <v>0.19700000000000001</v>
      </c>
      <c r="K615" s="64">
        <v>0.93</v>
      </c>
      <c r="L615" s="66">
        <v>32.840000000000003</v>
      </c>
      <c r="M615" s="75" t="s">
        <v>84</v>
      </c>
      <c r="N615" s="64">
        <v>7</v>
      </c>
      <c r="O615" s="64">
        <v>41</v>
      </c>
      <c r="P615" s="64">
        <v>48</v>
      </c>
      <c r="Q615" s="64"/>
      <c r="R615" s="65" t="str">
        <f t="shared" si="19"/>
        <v>Week 4</v>
      </c>
      <c r="S615" s="65" t="str">
        <f>TEXT(Table8[[#This Row],[Date Day]],"mmm,YYYY")</f>
        <v>Jan,2011</v>
      </c>
    </row>
    <row r="616" spans="1:19" ht="15.6" x14ac:dyDescent="0.3">
      <c r="A616" s="62">
        <v>583</v>
      </c>
      <c r="B616" s="63">
        <v>40569</v>
      </c>
      <c r="C616" s="64">
        <v>13</v>
      </c>
      <c r="D616" s="64" t="b">
        <f>IF(COUNTIF(AU$36:AU$52,Table8[[#This Row],[Date Day]]) &gt; 0, TRUE, FALSE)</f>
        <v>1</v>
      </c>
      <c r="E616" s="64">
        <f t="shared" si="18"/>
        <v>3</v>
      </c>
      <c r="F616" s="64">
        <v>3</v>
      </c>
      <c r="G616" s="65" t="str">
        <f>IF(Table8[[#This Row],[Weathersit]]=1, "BAD", IF(Table8[[#This Row],[Weathersit]]=2, "MODERATE", IF(Table8[[#This Row],[Weathersit]]=3, "GOOD")))</f>
        <v>GOOD</v>
      </c>
      <c r="H616" s="64">
        <v>22</v>
      </c>
      <c r="I616" s="65" t="str">
        <f>IF(Table8[[#This Row],[Temp]]&lt;11, "COLD", IF(Table8[[#This Row],[Temp]]&lt;=25, "COMFORTABLE", "WARM"))</f>
        <v>COMFORTABLE</v>
      </c>
      <c r="J616" s="64">
        <v>0.19700000000000001</v>
      </c>
      <c r="K616" s="64">
        <v>0.93</v>
      </c>
      <c r="L616" s="66">
        <v>32.840000000000003</v>
      </c>
      <c r="M616" s="75" t="s">
        <v>84</v>
      </c>
      <c r="N616" s="64">
        <v>4</v>
      </c>
      <c r="O616" s="64">
        <v>43</v>
      </c>
      <c r="P616" s="64">
        <v>47</v>
      </c>
      <c r="Q616" s="64"/>
      <c r="R616" s="65" t="str">
        <f t="shared" si="19"/>
        <v>Week 4</v>
      </c>
      <c r="S616" s="65" t="str">
        <f>TEXT(Table8[[#This Row],[Date Day]],"mmm,YYYY")</f>
        <v>Jan,2011</v>
      </c>
    </row>
    <row r="617" spans="1:19" ht="15.6" x14ac:dyDescent="0.3">
      <c r="A617" s="62">
        <v>584</v>
      </c>
      <c r="B617" s="63">
        <v>40569</v>
      </c>
      <c r="C617" s="64">
        <v>14</v>
      </c>
      <c r="D617" s="64" t="b">
        <f>IF(COUNTIF(AU$36:AU$52,Table8[[#This Row],[Date Day]]) &gt; 0, TRUE, FALSE)</f>
        <v>1</v>
      </c>
      <c r="E617" s="64">
        <f t="shared" si="18"/>
        <v>3</v>
      </c>
      <c r="F617" s="64">
        <v>3</v>
      </c>
      <c r="G617" s="65" t="str">
        <f>IF(Table8[[#This Row],[Weathersit]]=1, "BAD", IF(Table8[[#This Row],[Weathersit]]=2, "MODERATE", IF(Table8[[#This Row],[Weathersit]]=3, "GOOD")))</f>
        <v>GOOD</v>
      </c>
      <c r="H617" s="64">
        <v>22</v>
      </c>
      <c r="I617" s="65" t="str">
        <f>IF(Table8[[#This Row],[Temp]]&lt;11, "COLD", IF(Table8[[#This Row],[Temp]]&lt;=25, "COMFORTABLE", "WARM"))</f>
        <v>COMFORTABLE</v>
      </c>
      <c r="J617" s="64">
        <v>0.19700000000000001</v>
      </c>
      <c r="K617" s="64">
        <v>0.93</v>
      </c>
      <c r="L617" s="66">
        <v>35.82</v>
      </c>
      <c r="M617" s="75" t="s">
        <v>84</v>
      </c>
      <c r="N617" s="64">
        <v>0</v>
      </c>
      <c r="O617" s="64">
        <v>36</v>
      </c>
      <c r="P617" s="64">
        <v>36</v>
      </c>
      <c r="Q617" s="64"/>
      <c r="R617" s="65" t="str">
        <f t="shared" si="19"/>
        <v>Week 4</v>
      </c>
      <c r="S617" s="65" t="str">
        <f>TEXT(Table8[[#This Row],[Date Day]],"mmm,YYYY")</f>
        <v>Jan,2011</v>
      </c>
    </row>
    <row r="618" spans="1:19" ht="15.6" x14ac:dyDescent="0.3">
      <c r="A618" s="62">
        <v>585</v>
      </c>
      <c r="B618" s="63">
        <v>40569</v>
      </c>
      <c r="C618" s="64">
        <v>15</v>
      </c>
      <c r="D618" s="64" t="b">
        <f>IF(COUNTIF(AU$36:AU$52,Table8[[#This Row],[Date Day]]) &gt; 0, TRUE, FALSE)</f>
        <v>1</v>
      </c>
      <c r="E618" s="64">
        <f t="shared" si="18"/>
        <v>3</v>
      </c>
      <c r="F618" s="64">
        <v>3</v>
      </c>
      <c r="G618" s="65" t="str">
        <f>IF(Table8[[#This Row],[Weathersit]]=1, "BAD", IF(Table8[[#This Row],[Weathersit]]=2, "MODERATE", IF(Table8[[#This Row],[Weathersit]]=3, "GOOD")))</f>
        <v>GOOD</v>
      </c>
      <c r="H618" s="64">
        <v>22</v>
      </c>
      <c r="I618" s="65" t="str">
        <f>IF(Table8[[#This Row],[Temp]]&lt;11, "COLD", IF(Table8[[#This Row],[Temp]]&lt;=25, "COMFORTABLE", "WARM"))</f>
        <v>COMFORTABLE</v>
      </c>
      <c r="J618" s="64">
        <v>0.18179999999999999</v>
      </c>
      <c r="K618" s="64">
        <v>0.93</v>
      </c>
      <c r="L618" s="66">
        <v>46.27</v>
      </c>
      <c r="M618" s="75" t="s">
        <v>84</v>
      </c>
      <c r="N618" s="64">
        <v>1</v>
      </c>
      <c r="O618" s="64">
        <v>42</v>
      </c>
      <c r="P618" s="64">
        <v>43</v>
      </c>
      <c r="Q618" s="64"/>
      <c r="R618" s="65" t="str">
        <f t="shared" si="19"/>
        <v>Week 4</v>
      </c>
      <c r="S618" s="65" t="str">
        <f>TEXT(Table8[[#This Row],[Date Day]],"mmm,YYYY")</f>
        <v>Jan,2011</v>
      </c>
    </row>
    <row r="619" spans="1:19" ht="15.6" x14ac:dyDescent="0.3">
      <c r="A619" s="62">
        <v>586</v>
      </c>
      <c r="B619" s="63">
        <v>40569</v>
      </c>
      <c r="C619" s="64">
        <v>16</v>
      </c>
      <c r="D619" s="64" t="b">
        <f>IF(COUNTIF(AU$36:AU$52,Table8[[#This Row],[Date Day]]) &gt; 0, TRUE, FALSE)</f>
        <v>1</v>
      </c>
      <c r="E619" s="64">
        <f t="shared" si="18"/>
        <v>3</v>
      </c>
      <c r="F619" s="64">
        <v>3</v>
      </c>
      <c r="G619" s="65" t="str">
        <f>IF(Table8[[#This Row],[Weathersit]]=1, "BAD", IF(Table8[[#This Row],[Weathersit]]=2, "MODERATE", IF(Table8[[#This Row],[Weathersit]]=3, "GOOD")))</f>
        <v>GOOD</v>
      </c>
      <c r="H619" s="64">
        <v>22</v>
      </c>
      <c r="I619" s="65" t="str">
        <f>IF(Table8[[#This Row],[Temp]]&lt;11, "COLD", IF(Table8[[#This Row],[Temp]]&lt;=25, "COMFORTABLE", "WARM"))</f>
        <v>COMFORTABLE</v>
      </c>
      <c r="J619" s="64">
        <v>0.19700000000000001</v>
      </c>
      <c r="K619" s="64">
        <v>0.93</v>
      </c>
      <c r="L619" s="66">
        <v>32.840000000000003</v>
      </c>
      <c r="M619" s="75" t="s">
        <v>84</v>
      </c>
      <c r="N619" s="64">
        <v>1</v>
      </c>
      <c r="O619" s="64">
        <v>35</v>
      </c>
      <c r="P619" s="64">
        <v>36</v>
      </c>
      <c r="Q619" s="64"/>
      <c r="R619" s="65" t="str">
        <f t="shared" si="19"/>
        <v>Week 4</v>
      </c>
      <c r="S619" s="65" t="str">
        <f>TEXT(Table8[[#This Row],[Date Day]],"mmm,YYYY")</f>
        <v>Jan,2011</v>
      </c>
    </row>
    <row r="620" spans="1:19" ht="15.6" x14ac:dyDescent="0.3">
      <c r="A620" s="62">
        <v>587</v>
      </c>
      <c r="B620" s="63">
        <v>40569</v>
      </c>
      <c r="C620" s="64">
        <v>17</v>
      </c>
      <c r="D620" s="64" t="b">
        <f>IF(COUNTIF(AU$36:AU$52,Table8[[#This Row],[Date Day]]) &gt; 0, TRUE, FALSE)</f>
        <v>1</v>
      </c>
      <c r="E620" s="64">
        <f t="shared" si="18"/>
        <v>3</v>
      </c>
      <c r="F620" s="64">
        <v>3</v>
      </c>
      <c r="G620" s="65" t="str">
        <f>IF(Table8[[#This Row],[Weathersit]]=1, "BAD", IF(Table8[[#This Row],[Weathersit]]=2, "MODERATE", IF(Table8[[#This Row],[Weathersit]]=3, "GOOD")))</f>
        <v>GOOD</v>
      </c>
      <c r="H620" s="64">
        <v>20</v>
      </c>
      <c r="I620" s="65" t="str">
        <f>IF(Table8[[#This Row],[Temp]]&lt;11, "COLD", IF(Table8[[#This Row],[Temp]]&lt;=25, "COMFORTABLE", "WARM"))</f>
        <v>COMFORTABLE</v>
      </c>
      <c r="J620" s="64">
        <v>0.18179999999999999</v>
      </c>
      <c r="K620" s="64">
        <v>0.93</v>
      </c>
      <c r="L620" s="66">
        <v>35.82</v>
      </c>
      <c r="M620" s="75" t="s">
        <v>84</v>
      </c>
      <c r="N620" s="64">
        <v>0</v>
      </c>
      <c r="O620" s="64">
        <v>26</v>
      </c>
      <c r="P620" s="64">
        <v>26</v>
      </c>
      <c r="Q620" s="64"/>
      <c r="R620" s="65" t="str">
        <f t="shared" si="19"/>
        <v>Week 4</v>
      </c>
      <c r="S620" s="65" t="str">
        <f>TEXT(Table8[[#This Row],[Date Day]],"mmm,YYYY")</f>
        <v>Jan,2011</v>
      </c>
    </row>
    <row r="621" spans="1:19" ht="15.6" x14ac:dyDescent="0.3">
      <c r="A621" s="62">
        <v>588</v>
      </c>
      <c r="B621" s="63">
        <v>40569</v>
      </c>
      <c r="C621" s="64">
        <v>16</v>
      </c>
      <c r="D621" s="64" t="b">
        <f>IF(COUNTIF(AU$36:AU$52,Table8[[#This Row],[Date Day]]) &gt; 0, TRUE, FALSE)</f>
        <v>1</v>
      </c>
      <c r="E621" s="64">
        <f t="shared" si="18"/>
        <v>3</v>
      </c>
      <c r="F621" s="64">
        <v>1</v>
      </c>
      <c r="G621" s="65" t="str">
        <f>IF(Table8[[#This Row],[Weathersit]]=1, "BAD", IF(Table8[[#This Row],[Weathersit]]=2, "MODERATE", IF(Table8[[#This Row],[Weathersit]]=3, "GOOD")))</f>
        <v>BAD</v>
      </c>
      <c r="H621" s="64">
        <v>22</v>
      </c>
      <c r="I621" s="65" t="str">
        <f>IF(Table8[[#This Row],[Temp]]&lt;11, "COLD", IF(Table8[[#This Row],[Temp]]&lt;=25, "COMFORTABLE", "WARM"))</f>
        <v>COMFORTABLE</v>
      </c>
      <c r="J621" s="64">
        <v>0.2273</v>
      </c>
      <c r="K621" s="64">
        <v>0.55000000000000004</v>
      </c>
      <c r="L621" s="66">
        <v>19.400000000000002</v>
      </c>
      <c r="M621" s="75" t="s">
        <v>80</v>
      </c>
      <c r="N621" s="64">
        <v>1</v>
      </c>
      <c r="O621" s="64">
        <v>23</v>
      </c>
      <c r="P621" s="64">
        <v>24</v>
      </c>
      <c r="Q621" s="64"/>
      <c r="R621" s="65" t="str">
        <f t="shared" si="19"/>
        <v>Week 4</v>
      </c>
      <c r="S621" s="65" t="str">
        <f>TEXT(Table8[[#This Row],[Date Day]],"mmm,YYYY")</f>
        <v>Jan,2011</v>
      </c>
    </row>
    <row r="622" spans="1:19" ht="15.6" x14ac:dyDescent="0.3">
      <c r="A622" s="62">
        <v>589</v>
      </c>
      <c r="B622" s="63">
        <v>40569</v>
      </c>
      <c r="C622" s="64">
        <v>17</v>
      </c>
      <c r="D622" s="64" t="b">
        <f>IF(COUNTIF(AU$36:AU$52,Table8[[#This Row],[Date Day]]) &gt; 0, TRUE, FALSE)</f>
        <v>1</v>
      </c>
      <c r="E622" s="64">
        <f t="shared" si="18"/>
        <v>3</v>
      </c>
      <c r="F622" s="64">
        <v>1</v>
      </c>
      <c r="G622" s="65" t="str">
        <f>IF(Table8[[#This Row],[Weathersit]]=1, "BAD", IF(Table8[[#This Row],[Weathersit]]=2, "MODERATE", IF(Table8[[#This Row],[Weathersit]]=3, "GOOD")))</f>
        <v>BAD</v>
      </c>
      <c r="H622" s="64">
        <v>22</v>
      </c>
      <c r="I622" s="65" t="str">
        <f>IF(Table8[[#This Row],[Temp]]&lt;11, "COLD", IF(Table8[[#This Row],[Temp]]&lt;=25, "COMFORTABLE", "WARM"))</f>
        <v>COMFORTABLE</v>
      </c>
      <c r="J622" s="64">
        <v>0.2424</v>
      </c>
      <c r="K622" s="64">
        <v>0.55000000000000004</v>
      </c>
      <c r="L622" s="66">
        <v>10.45</v>
      </c>
      <c r="M622" s="75" t="s">
        <v>80</v>
      </c>
      <c r="N622" s="64">
        <v>2</v>
      </c>
      <c r="O622" s="64">
        <v>82</v>
      </c>
      <c r="P622" s="64">
        <v>84</v>
      </c>
      <c r="Q622" s="64"/>
      <c r="R622" s="65" t="str">
        <f t="shared" si="19"/>
        <v>Week 4</v>
      </c>
      <c r="S622" s="65" t="str">
        <f>TEXT(Table8[[#This Row],[Date Day]],"mmm,YYYY")</f>
        <v>Jan,2011</v>
      </c>
    </row>
    <row r="623" spans="1:19" ht="15.6" x14ac:dyDescent="0.3">
      <c r="A623" s="62">
        <v>590</v>
      </c>
      <c r="B623" s="63">
        <v>40569</v>
      </c>
      <c r="C623" s="64">
        <v>18</v>
      </c>
      <c r="D623" s="64" t="b">
        <f>IF(COUNTIF(AU$36:AU$52,Table8[[#This Row],[Date Day]]) &gt; 0, TRUE, FALSE)</f>
        <v>1</v>
      </c>
      <c r="E623" s="64">
        <f t="shared" si="18"/>
        <v>3</v>
      </c>
      <c r="F623" s="64">
        <v>1</v>
      </c>
      <c r="G623" s="65" t="str">
        <f>IF(Table8[[#This Row],[Weathersit]]=1, "BAD", IF(Table8[[#This Row],[Weathersit]]=2, "MODERATE", IF(Table8[[#This Row],[Weathersit]]=3, "GOOD")))</f>
        <v>BAD</v>
      </c>
      <c r="H623" s="64">
        <v>20</v>
      </c>
      <c r="I623" s="65" t="str">
        <f>IF(Table8[[#This Row],[Temp]]&lt;11, "COLD", IF(Table8[[#This Row],[Temp]]&lt;=25, "COMFORTABLE", "WARM"))</f>
        <v>COMFORTABLE</v>
      </c>
      <c r="J623" s="64">
        <v>0.2273</v>
      </c>
      <c r="K623" s="64">
        <v>0.69</v>
      </c>
      <c r="L623" s="66">
        <v>8.9599999999999991</v>
      </c>
      <c r="M623" s="75" t="s">
        <v>80</v>
      </c>
      <c r="N623" s="64">
        <v>3</v>
      </c>
      <c r="O623" s="64">
        <v>101</v>
      </c>
      <c r="P623" s="64">
        <v>104</v>
      </c>
      <c r="Q623" s="64"/>
      <c r="R623" s="65" t="str">
        <f t="shared" si="19"/>
        <v>Week 4</v>
      </c>
      <c r="S623" s="65" t="str">
        <f>TEXT(Table8[[#This Row],[Date Day]],"mmm,YYYY")</f>
        <v>Jan,2011</v>
      </c>
    </row>
    <row r="624" spans="1:19" ht="15.6" x14ac:dyDescent="0.3">
      <c r="A624" s="62">
        <v>591</v>
      </c>
      <c r="B624" s="63">
        <v>40569</v>
      </c>
      <c r="C624" s="64">
        <v>19</v>
      </c>
      <c r="D624" s="64" t="b">
        <f>IF(COUNTIF(AU$36:AU$52,Table8[[#This Row],[Date Day]]) &gt; 0, TRUE, FALSE)</f>
        <v>1</v>
      </c>
      <c r="E624" s="64">
        <f t="shared" si="18"/>
        <v>3</v>
      </c>
      <c r="F624" s="64">
        <v>1</v>
      </c>
      <c r="G624" s="65" t="str">
        <f>IF(Table8[[#This Row],[Weathersit]]=1, "BAD", IF(Table8[[#This Row],[Weathersit]]=2, "MODERATE", IF(Table8[[#This Row],[Weathersit]]=3, "GOOD")))</f>
        <v>BAD</v>
      </c>
      <c r="H624" s="64">
        <v>20</v>
      </c>
      <c r="I624" s="65" t="str">
        <f>IF(Table8[[#This Row],[Temp]]&lt;11, "COLD", IF(Table8[[#This Row],[Temp]]&lt;=25, "COMFORTABLE", "WARM"))</f>
        <v>COMFORTABLE</v>
      </c>
      <c r="J624" s="64">
        <v>0.2273</v>
      </c>
      <c r="K624" s="64">
        <v>0.69</v>
      </c>
      <c r="L624" s="66">
        <v>8.9599999999999991</v>
      </c>
      <c r="M624" s="75" t="s">
        <v>80</v>
      </c>
      <c r="N624" s="64">
        <v>3</v>
      </c>
      <c r="O624" s="64">
        <v>76</v>
      </c>
      <c r="P624" s="64">
        <v>79</v>
      </c>
      <c r="Q624" s="64"/>
      <c r="R624" s="65" t="str">
        <f t="shared" si="19"/>
        <v>Week 4</v>
      </c>
      <c r="S624" s="65" t="str">
        <f>TEXT(Table8[[#This Row],[Date Day]],"mmm,YYYY")</f>
        <v>Jan,2011</v>
      </c>
    </row>
    <row r="625" spans="1:19" ht="15.6" x14ac:dyDescent="0.3">
      <c r="A625" s="62">
        <v>592</v>
      </c>
      <c r="B625" s="63">
        <v>40569</v>
      </c>
      <c r="C625" s="64">
        <v>20</v>
      </c>
      <c r="D625" s="64" t="b">
        <f>IF(COUNTIF(AU$36:AU$52,Table8[[#This Row],[Date Day]]) &gt; 0, TRUE, FALSE)</f>
        <v>1</v>
      </c>
      <c r="E625" s="64">
        <f t="shared" si="18"/>
        <v>3</v>
      </c>
      <c r="F625" s="64">
        <v>1</v>
      </c>
      <c r="G625" s="65" t="str">
        <f>IF(Table8[[#This Row],[Weathersit]]=1, "BAD", IF(Table8[[#This Row],[Weathersit]]=2, "MODERATE", IF(Table8[[#This Row],[Weathersit]]=3, "GOOD")))</f>
        <v>BAD</v>
      </c>
      <c r="H625" s="64">
        <v>18</v>
      </c>
      <c r="I625" s="65" t="str">
        <f>IF(Table8[[#This Row],[Temp]]&lt;11, "COLD", IF(Table8[[#This Row],[Temp]]&lt;=25, "COMFORTABLE", "WARM"))</f>
        <v>COMFORTABLE</v>
      </c>
      <c r="J625" s="64">
        <v>0.21210000000000001</v>
      </c>
      <c r="K625" s="64">
        <v>0.74</v>
      </c>
      <c r="L625" s="66">
        <v>8.9599999999999991</v>
      </c>
      <c r="M625" s="75" t="s">
        <v>80</v>
      </c>
      <c r="N625" s="64">
        <v>4</v>
      </c>
      <c r="O625" s="64">
        <v>55</v>
      </c>
      <c r="P625" s="64">
        <v>59</v>
      </c>
      <c r="Q625" s="64"/>
      <c r="R625" s="65" t="str">
        <f t="shared" si="19"/>
        <v>Week 4</v>
      </c>
      <c r="S625" s="65" t="str">
        <f>TEXT(Table8[[#This Row],[Date Day]],"mmm,YYYY")</f>
        <v>Jan,2011</v>
      </c>
    </row>
    <row r="626" spans="1:19" ht="15.6" x14ac:dyDescent="0.3">
      <c r="A626" s="62">
        <v>593</v>
      </c>
      <c r="B626" s="63">
        <v>40569</v>
      </c>
      <c r="C626" s="64">
        <v>21</v>
      </c>
      <c r="D626" s="64" t="b">
        <f>IF(COUNTIF(AU$36:AU$52,Table8[[#This Row],[Date Day]]) &gt; 0, TRUE, FALSE)</f>
        <v>1</v>
      </c>
      <c r="E626" s="64">
        <f t="shared" si="18"/>
        <v>3</v>
      </c>
      <c r="F626" s="64">
        <v>1</v>
      </c>
      <c r="G626" s="65" t="str">
        <f>IF(Table8[[#This Row],[Weathersit]]=1, "BAD", IF(Table8[[#This Row],[Weathersit]]=2, "MODERATE", IF(Table8[[#This Row],[Weathersit]]=3, "GOOD")))</f>
        <v>BAD</v>
      </c>
      <c r="H626" s="64">
        <v>18</v>
      </c>
      <c r="I626" s="65" t="str">
        <f>IF(Table8[[#This Row],[Temp]]&lt;11, "COLD", IF(Table8[[#This Row],[Temp]]&lt;=25, "COMFORTABLE", "WARM"))</f>
        <v>COMFORTABLE</v>
      </c>
      <c r="J626" s="64">
        <v>0.21210000000000001</v>
      </c>
      <c r="K626" s="64">
        <v>0.74</v>
      </c>
      <c r="L626" s="66">
        <v>8.9599999999999991</v>
      </c>
      <c r="M626" s="75" t="s">
        <v>80</v>
      </c>
      <c r="N626" s="64">
        <v>2</v>
      </c>
      <c r="O626" s="64">
        <v>36</v>
      </c>
      <c r="P626" s="64">
        <v>38</v>
      </c>
      <c r="Q626" s="64"/>
      <c r="R626" s="65" t="str">
        <f t="shared" si="19"/>
        <v>Week 4</v>
      </c>
      <c r="S626" s="65" t="str">
        <f>TEXT(Table8[[#This Row],[Date Day]],"mmm,YYYY")</f>
        <v>Jan,2011</v>
      </c>
    </row>
    <row r="627" spans="1:19" ht="15.6" x14ac:dyDescent="0.3">
      <c r="A627" s="62">
        <v>594</v>
      </c>
      <c r="B627" s="63">
        <v>40569</v>
      </c>
      <c r="C627" s="64">
        <v>22</v>
      </c>
      <c r="D627" s="64" t="b">
        <f>IF(COUNTIF(AU$36:AU$52,Table8[[#This Row],[Date Day]]) &gt; 0, TRUE, FALSE)</f>
        <v>1</v>
      </c>
      <c r="E627" s="64">
        <f t="shared" si="18"/>
        <v>3</v>
      </c>
      <c r="F627" s="64">
        <v>1</v>
      </c>
      <c r="G627" s="65" t="str">
        <f>IF(Table8[[#This Row],[Weathersit]]=1, "BAD", IF(Table8[[#This Row],[Weathersit]]=2, "MODERATE", IF(Table8[[#This Row],[Weathersit]]=3, "GOOD")))</f>
        <v>BAD</v>
      </c>
      <c r="H627" s="64">
        <v>18</v>
      </c>
      <c r="I627" s="65" t="str">
        <f>IF(Table8[[#This Row],[Temp]]&lt;11, "COLD", IF(Table8[[#This Row],[Temp]]&lt;=25, "COMFORTABLE", "WARM"))</f>
        <v>COMFORTABLE</v>
      </c>
      <c r="J627" s="64">
        <v>0.21210000000000001</v>
      </c>
      <c r="K627" s="64">
        <v>0.74</v>
      </c>
      <c r="L627" s="66">
        <v>8.9599999999999991</v>
      </c>
      <c r="M627" s="75" t="s">
        <v>80</v>
      </c>
      <c r="N627" s="64">
        <v>0</v>
      </c>
      <c r="O627" s="64">
        <v>27</v>
      </c>
      <c r="P627" s="64">
        <v>27</v>
      </c>
      <c r="Q627" s="64"/>
      <c r="R627" s="65" t="str">
        <f t="shared" si="19"/>
        <v>Week 4</v>
      </c>
      <c r="S627" s="65" t="str">
        <f>TEXT(Table8[[#This Row],[Date Day]],"mmm,YYYY")</f>
        <v>Jan,2011</v>
      </c>
    </row>
    <row r="628" spans="1:19" ht="15.6" x14ac:dyDescent="0.3">
      <c r="A628" s="62">
        <v>595</v>
      </c>
      <c r="B628" s="63">
        <v>40569</v>
      </c>
      <c r="C628" s="64">
        <v>23</v>
      </c>
      <c r="D628" s="64" t="b">
        <f>IF(COUNTIF(AU$36:AU$52,Table8[[#This Row],[Date Day]]) &gt; 0, TRUE, FALSE)</f>
        <v>1</v>
      </c>
      <c r="E628" s="64">
        <f t="shared" si="18"/>
        <v>3</v>
      </c>
      <c r="F628" s="64">
        <v>1</v>
      </c>
      <c r="G628" s="65" t="str">
        <f>IF(Table8[[#This Row],[Weathersit]]=1, "BAD", IF(Table8[[#This Row],[Weathersit]]=2, "MODERATE", IF(Table8[[#This Row],[Weathersit]]=3, "GOOD")))</f>
        <v>BAD</v>
      </c>
      <c r="H628" s="64">
        <v>18</v>
      </c>
      <c r="I628" s="65" t="str">
        <f>IF(Table8[[#This Row],[Temp]]&lt;11, "COLD", IF(Table8[[#This Row],[Temp]]&lt;=25, "COMFORTABLE", "WARM"))</f>
        <v>COMFORTABLE</v>
      </c>
      <c r="J628" s="64">
        <v>0.19700000000000001</v>
      </c>
      <c r="K628" s="64">
        <v>0.8</v>
      </c>
      <c r="L628" s="66">
        <v>16.420000000000002</v>
      </c>
      <c r="M628" s="75" t="s">
        <v>80</v>
      </c>
      <c r="N628" s="64">
        <v>0</v>
      </c>
      <c r="O628" s="64">
        <v>16</v>
      </c>
      <c r="P628" s="64">
        <v>16</v>
      </c>
      <c r="Q628" s="64"/>
      <c r="R628" s="65" t="str">
        <f t="shared" si="19"/>
        <v>Week 4</v>
      </c>
      <c r="S628" s="65" t="str">
        <f>TEXT(Table8[[#This Row],[Date Day]],"mmm,YYYY")</f>
        <v>Jan,2011</v>
      </c>
    </row>
    <row r="629" spans="1:19" ht="15.6" x14ac:dyDescent="0.3">
      <c r="A629" s="62">
        <v>596</v>
      </c>
      <c r="B629" s="63">
        <v>40570</v>
      </c>
      <c r="C629" s="64">
        <v>0</v>
      </c>
      <c r="D629" s="64" t="b">
        <f>IF(COUNTIF(AU$36:AU$52,Table8[[#This Row],[Date Day]]) &gt; 0, TRUE, FALSE)</f>
        <v>0</v>
      </c>
      <c r="E629" s="64">
        <f t="shared" si="18"/>
        <v>4</v>
      </c>
      <c r="F629" s="64">
        <v>2</v>
      </c>
      <c r="G629" s="65" t="str">
        <f>IF(Table8[[#This Row],[Weathersit]]=1, "BAD", IF(Table8[[#This Row],[Weathersit]]=2, "MODERATE", IF(Table8[[#This Row],[Weathersit]]=3, "GOOD")))</f>
        <v>MODERATE</v>
      </c>
      <c r="H629" s="64">
        <v>20</v>
      </c>
      <c r="I629" s="65" t="str">
        <f>IF(Table8[[#This Row],[Temp]]&lt;11, "COLD", IF(Table8[[#This Row],[Temp]]&lt;=25, "COMFORTABLE", "WARM"))</f>
        <v>COMFORTABLE</v>
      </c>
      <c r="J629" s="64">
        <v>0.21210000000000001</v>
      </c>
      <c r="K629" s="64">
        <v>0.75</v>
      </c>
      <c r="L629" s="66">
        <v>13.43</v>
      </c>
      <c r="M629" s="75" t="s">
        <v>80</v>
      </c>
      <c r="N629" s="64">
        <v>0</v>
      </c>
      <c r="O629" s="64">
        <v>9</v>
      </c>
      <c r="P629" s="64">
        <v>9</v>
      </c>
      <c r="Q629" s="64"/>
      <c r="R629" s="65" t="str">
        <f t="shared" si="19"/>
        <v>Week 4</v>
      </c>
      <c r="S629" s="65" t="str">
        <f>TEXT(Table8[[#This Row],[Date Day]],"mmm,YYYY")</f>
        <v>Jan,2011</v>
      </c>
    </row>
    <row r="630" spans="1:19" ht="15.6" x14ac:dyDescent="0.3">
      <c r="A630" s="62">
        <v>597</v>
      </c>
      <c r="B630" s="63">
        <v>40570</v>
      </c>
      <c r="C630" s="64">
        <v>1</v>
      </c>
      <c r="D630" s="64" t="b">
        <f>IF(COUNTIF(AU$36:AU$52,Table8[[#This Row],[Date Day]]) &gt; 0, TRUE, FALSE)</f>
        <v>0</v>
      </c>
      <c r="E630" s="64">
        <f t="shared" si="18"/>
        <v>4</v>
      </c>
      <c r="F630" s="64">
        <v>2</v>
      </c>
      <c r="G630" s="65" t="str">
        <f>IF(Table8[[#This Row],[Weathersit]]=1, "BAD", IF(Table8[[#This Row],[Weathersit]]=2, "MODERATE", IF(Table8[[#This Row],[Weathersit]]=3, "GOOD")))</f>
        <v>MODERATE</v>
      </c>
      <c r="H630" s="64">
        <v>20</v>
      </c>
      <c r="I630" s="65" t="str">
        <f>IF(Table8[[#This Row],[Temp]]&lt;11, "COLD", IF(Table8[[#This Row],[Temp]]&lt;=25, "COMFORTABLE", "WARM"))</f>
        <v>COMFORTABLE</v>
      </c>
      <c r="J630" s="64">
        <v>0.21210000000000001</v>
      </c>
      <c r="K630" s="64">
        <v>0.75</v>
      </c>
      <c r="L630" s="66">
        <v>13.43</v>
      </c>
      <c r="M630" s="75" t="s">
        <v>80</v>
      </c>
      <c r="N630" s="64">
        <v>1</v>
      </c>
      <c r="O630" s="64">
        <v>2</v>
      </c>
      <c r="P630" s="64">
        <v>3</v>
      </c>
      <c r="Q630" s="64"/>
      <c r="R630" s="65" t="str">
        <f t="shared" si="19"/>
        <v>Week 4</v>
      </c>
      <c r="S630" s="65" t="str">
        <f>TEXT(Table8[[#This Row],[Date Day]],"mmm,YYYY")</f>
        <v>Jan,2011</v>
      </c>
    </row>
    <row r="631" spans="1:19" ht="15.6" x14ac:dyDescent="0.3">
      <c r="A631" s="62">
        <v>598</v>
      </c>
      <c r="B631" s="63">
        <v>40570</v>
      </c>
      <c r="C631" s="64">
        <v>2</v>
      </c>
      <c r="D631" s="64" t="b">
        <f>IF(COUNTIF(AU$36:AU$52,Table8[[#This Row],[Date Day]]) &gt; 0, TRUE, FALSE)</f>
        <v>0</v>
      </c>
      <c r="E631" s="64">
        <f t="shared" si="18"/>
        <v>4</v>
      </c>
      <c r="F631" s="64">
        <v>2</v>
      </c>
      <c r="G631" s="65" t="str">
        <f>IF(Table8[[#This Row],[Weathersit]]=1, "BAD", IF(Table8[[#This Row],[Weathersit]]=2, "MODERATE", IF(Table8[[#This Row],[Weathersit]]=3, "GOOD")))</f>
        <v>MODERATE</v>
      </c>
      <c r="H631" s="64">
        <v>20</v>
      </c>
      <c r="I631" s="65" t="str">
        <f>IF(Table8[[#This Row],[Temp]]&lt;11, "COLD", IF(Table8[[#This Row],[Temp]]&lt;=25, "COMFORTABLE", "WARM"))</f>
        <v>COMFORTABLE</v>
      </c>
      <c r="J631" s="64">
        <v>0.21210000000000001</v>
      </c>
      <c r="K631" s="64">
        <v>0.75</v>
      </c>
      <c r="L631" s="66">
        <v>16.420000000000002</v>
      </c>
      <c r="M631" s="75" t="s">
        <v>80</v>
      </c>
      <c r="N631" s="64">
        <v>0</v>
      </c>
      <c r="O631" s="64">
        <v>2</v>
      </c>
      <c r="P631" s="64">
        <v>2</v>
      </c>
      <c r="Q631" s="64"/>
      <c r="R631" s="65" t="str">
        <f t="shared" si="19"/>
        <v>Week 4</v>
      </c>
      <c r="S631" s="65" t="str">
        <f>TEXT(Table8[[#This Row],[Date Day]],"mmm,YYYY")</f>
        <v>Jan,2011</v>
      </c>
    </row>
    <row r="632" spans="1:19" ht="15.6" x14ac:dyDescent="0.3">
      <c r="A632" s="62">
        <v>599</v>
      </c>
      <c r="B632" s="63">
        <v>40570</v>
      </c>
      <c r="C632" s="64">
        <v>3</v>
      </c>
      <c r="D632" s="64" t="b">
        <f>IF(COUNTIF(AU$36:AU$52,Table8[[#This Row],[Date Day]]) &gt; 0, TRUE, FALSE)</f>
        <v>0</v>
      </c>
      <c r="E632" s="64">
        <f t="shared" si="18"/>
        <v>4</v>
      </c>
      <c r="F632" s="64">
        <v>2</v>
      </c>
      <c r="G632" s="65" t="str">
        <f>IF(Table8[[#This Row],[Weathersit]]=1, "BAD", IF(Table8[[#This Row],[Weathersit]]=2, "MODERATE", IF(Table8[[#This Row],[Weathersit]]=3, "GOOD")))</f>
        <v>MODERATE</v>
      </c>
      <c r="H632" s="64">
        <v>20</v>
      </c>
      <c r="I632" s="65" t="str">
        <f>IF(Table8[[#This Row],[Temp]]&lt;11, "COLD", IF(Table8[[#This Row],[Temp]]&lt;=25, "COMFORTABLE", "WARM"))</f>
        <v>COMFORTABLE</v>
      </c>
      <c r="J632" s="64">
        <v>0.2273</v>
      </c>
      <c r="K632" s="64">
        <v>0.75</v>
      </c>
      <c r="L632" s="66">
        <v>10.45</v>
      </c>
      <c r="M632" s="75" t="s">
        <v>80</v>
      </c>
      <c r="N632" s="64">
        <v>1</v>
      </c>
      <c r="O632" s="64">
        <v>0</v>
      </c>
      <c r="P632" s="64">
        <v>1</v>
      </c>
      <c r="Q632" s="64"/>
      <c r="R632" s="65" t="str">
        <f t="shared" si="19"/>
        <v>Week 4</v>
      </c>
      <c r="S632" s="65" t="str">
        <f>TEXT(Table8[[#This Row],[Date Day]],"mmm,YYYY")</f>
        <v>Jan,2011</v>
      </c>
    </row>
    <row r="633" spans="1:19" ht="15.6" x14ac:dyDescent="0.3">
      <c r="A633" s="62">
        <v>600</v>
      </c>
      <c r="B633" s="63">
        <v>40570</v>
      </c>
      <c r="C633" s="64">
        <v>5</v>
      </c>
      <c r="D633" s="64" t="b">
        <f>IF(COUNTIF(AU$36:AU$52,Table8[[#This Row],[Date Day]]) &gt; 0, TRUE, FALSE)</f>
        <v>0</v>
      </c>
      <c r="E633" s="64">
        <f t="shared" si="18"/>
        <v>4</v>
      </c>
      <c r="F633" s="64">
        <v>2</v>
      </c>
      <c r="G633" s="65" t="str">
        <f>IF(Table8[[#This Row],[Weathersit]]=1, "BAD", IF(Table8[[#This Row],[Weathersit]]=2, "MODERATE", IF(Table8[[#This Row],[Weathersit]]=3, "GOOD")))</f>
        <v>MODERATE</v>
      </c>
      <c r="H633" s="64">
        <v>18</v>
      </c>
      <c r="I633" s="65" t="str">
        <f>IF(Table8[[#This Row],[Temp]]&lt;11, "COLD", IF(Table8[[#This Row],[Temp]]&lt;=25, "COMFORTABLE", "WARM"))</f>
        <v>COMFORTABLE</v>
      </c>
      <c r="J633" s="64">
        <v>0.21210000000000001</v>
      </c>
      <c r="K633" s="64">
        <v>0.8</v>
      </c>
      <c r="L633" s="66">
        <v>10.45</v>
      </c>
      <c r="M633" s="75" t="s">
        <v>80</v>
      </c>
      <c r="N633" s="64">
        <v>0</v>
      </c>
      <c r="O633" s="64">
        <v>4</v>
      </c>
      <c r="P633" s="64">
        <v>4</v>
      </c>
      <c r="Q633" s="64"/>
      <c r="R633" s="65" t="str">
        <f t="shared" si="19"/>
        <v>Week 4</v>
      </c>
      <c r="S633" s="65" t="str">
        <f>TEXT(Table8[[#This Row],[Date Day]],"mmm,YYYY")</f>
        <v>Jan,2011</v>
      </c>
    </row>
    <row r="634" spans="1:19" ht="15.6" x14ac:dyDescent="0.3">
      <c r="A634" s="62">
        <v>601</v>
      </c>
      <c r="B634" s="63">
        <v>40570</v>
      </c>
      <c r="C634" s="64">
        <v>6</v>
      </c>
      <c r="D634" s="64" t="b">
        <f>IF(COUNTIF(AU$36:AU$52,Table8[[#This Row],[Date Day]]) &gt; 0, TRUE, FALSE)</f>
        <v>0</v>
      </c>
      <c r="E634" s="64">
        <f t="shared" si="18"/>
        <v>4</v>
      </c>
      <c r="F634" s="64">
        <v>2</v>
      </c>
      <c r="G634" s="65" t="str">
        <f>IF(Table8[[#This Row],[Weathersit]]=1, "BAD", IF(Table8[[#This Row],[Weathersit]]=2, "MODERATE", IF(Table8[[#This Row],[Weathersit]]=3, "GOOD")))</f>
        <v>MODERATE</v>
      </c>
      <c r="H634" s="64">
        <v>18</v>
      </c>
      <c r="I634" s="65" t="str">
        <f>IF(Table8[[#This Row],[Temp]]&lt;11, "COLD", IF(Table8[[#This Row],[Temp]]&lt;=25, "COMFORTABLE", "WARM"))</f>
        <v>COMFORTABLE</v>
      </c>
      <c r="J634" s="64">
        <v>0.19700000000000001</v>
      </c>
      <c r="K634" s="64">
        <v>0.8</v>
      </c>
      <c r="L634" s="66">
        <v>13.43</v>
      </c>
      <c r="M634" s="75" t="s">
        <v>80</v>
      </c>
      <c r="N634" s="64">
        <v>0</v>
      </c>
      <c r="O634" s="64">
        <v>16</v>
      </c>
      <c r="P634" s="64">
        <v>16</v>
      </c>
      <c r="Q634" s="64"/>
      <c r="R634" s="65" t="str">
        <f t="shared" si="19"/>
        <v>Week 4</v>
      </c>
      <c r="S634" s="65" t="str">
        <f>TEXT(Table8[[#This Row],[Date Day]],"mmm,YYYY")</f>
        <v>Jan,2011</v>
      </c>
    </row>
    <row r="635" spans="1:19" ht="15.6" x14ac:dyDescent="0.3">
      <c r="A635" s="62">
        <v>602</v>
      </c>
      <c r="B635" s="63">
        <v>40570</v>
      </c>
      <c r="C635" s="64">
        <v>7</v>
      </c>
      <c r="D635" s="64" t="b">
        <f>IF(COUNTIF(AU$36:AU$52,Table8[[#This Row],[Date Day]]) &gt; 0, TRUE, FALSE)</f>
        <v>0</v>
      </c>
      <c r="E635" s="64">
        <f t="shared" si="18"/>
        <v>4</v>
      </c>
      <c r="F635" s="64">
        <v>2</v>
      </c>
      <c r="G635" s="65" t="str">
        <f>IF(Table8[[#This Row],[Weathersit]]=1, "BAD", IF(Table8[[#This Row],[Weathersit]]=2, "MODERATE", IF(Table8[[#This Row],[Weathersit]]=3, "GOOD")))</f>
        <v>MODERATE</v>
      </c>
      <c r="H635" s="64">
        <v>16</v>
      </c>
      <c r="I635" s="65" t="str">
        <f>IF(Table8[[#This Row],[Temp]]&lt;11, "COLD", IF(Table8[[#This Row],[Temp]]&lt;=25, "COMFORTABLE", "WARM"))</f>
        <v>COMFORTABLE</v>
      </c>
      <c r="J635" s="64">
        <v>0.19700000000000001</v>
      </c>
      <c r="K635" s="64">
        <v>0.86</v>
      </c>
      <c r="L635" s="66">
        <v>8.9599999999999991</v>
      </c>
      <c r="M635" s="75" t="s">
        <v>80</v>
      </c>
      <c r="N635" s="64">
        <v>2</v>
      </c>
      <c r="O635" s="64">
        <v>58</v>
      </c>
      <c r="P635" s="64">
        <v>60</v>
      </c>
      <c r="Q635" s="64"/>
      <c r="R635" s="65" t="str">
        <f t="shared" si="19"/>
        <v>Week 4</v>
      </c>
      <c r="S635" s="65" t="str">
        <f>TEXT(Table8[[#This Row],[Date Day]],"mmm,YYYY")</f>
        <v>Jan,2011</v>
      </c>
    </row>
    <row r="636" spans="1:19" ht="15.6" x14ac:dyDescent="0.3">
      <c r="A636" s="62">
        <v>603</v>
      </c>
      <c r="B636" s="63">
        <v>40570</v>
      </c>
      <c r="C636" s="64">
        <v>8</v>
      </c>
      <c r="D636" s="64" t="b">
        <f>IF(COUNTIF(AU$36:AU$52,Table8[[#This Row],[Date Day]]) &gt; 0, TRUE, FALSE)</f>
        <v>0</v>
      </c>
      <c r="E636" s="64">
        <f t="shared" si="18"/>
        <v>4</v>
      </c>
      <c r="F636" s="64">
        <v>2</v>
      </c>
      <c r="G636" s="65" t="str">
        <f>IF(Table8[[#This Row],[Weathersit]]=1, "BAD", IF(Table8[[#This Row],[Weathersit]]=2, "MODERATE", IF(Table8[[#This Row],[Weathersit]]=3, "GOOD")))</f>
        <v>MODERATE</v>
      </c>
      <c r="H636" s="64">
        <v>16</v>
      </c>
      <c r="I636" s="65" t="str">
        <f>IF(Table8[[#This Row],[Temp]]&lt;11, "COLD", IF(Table8[[#This Row],[Temp]]&lt;=25, "COMFORTABLE", "WARM"))</f>
        <v>COMFORTABLE</v>
      </c>
      <c r="J636" s="64">
        <v>0.19700000000000001</v>
      </c>
      <c r="K636" s="64">
        <v>0.86</v>
      </c>
      <c r="L636" s="66">
        <v>8.9599999999999991</v>
      </c>
      <c r="M636" s="75" t="s">
        <v>80</v>
      </c>
      <c r="N636" s="64">
        <v>2</v>
      </c>
      <c r="O636" s="64">
        <v>155</v>
      </c>
      <c r="P636" s="64">
        <v>157</v>
      </c>
      <c r="Q636" s="64"/>
      <c r="R636" s="65" t="str">
        <f t="shared" si="19"/>
        <v>Week 4</v>
      </c>
      <c r="S636" s="65" t="str">
        <f>TEXT(Table8[[#This Row],[Date Day]],"mmm,YYYY")</f>
        <v>Jan,2011</v>
      </c>
    </row>
    <row r="637" spans="1:19" ht="15.6" x14ac:dyDescent="0.3">
      <c r="A637" s="62">
        <v>604</v>
      </c>
      <c r="B637" s="63">
        <v>40570</v>
      </c>
      <c r="C637" s="64">
        <v>9</v>
      </c>
      <c r="D637" s="64" t="b">
        <f>IF(COUNTIF(AU$36:AU$52,Table8[[#This Row],[Date Day]]) &gt; 0, TRUE, FALSE)</f>
        <v>0</v>
      </c>
      <c r="E637" s="64">
        <f t="shared" si="18"/>
        <v>4</v>
      </c>
      <c r="F637" s="64">
        <v>3</v>
      </c>
      <c r="G637" s="65" t="str">
        <f>IF(Table8[[#This Row],[Weathersit]]=1, "BAD", IF(Table8[[#This Row],[Weathersit]]=2, "MODERATE", IF(Table8[[#This Row],[Weathersit]]=3, "GOOD")))</f>
        <v>GOOD</v>
      </c>
      <c r="H637" s="64">
        <v>18</v>
      </c>
      <c r="I637" s="65" t="str">
        <f>IF(Table8[[#This Row],[Temp]]&lt;11, "COLD", IF(Table8[[#This Row],[Temp]]&lt;=25, "COMFORTABLE", "WARM"))</f>
        <v>COMFORTABLE</v>
      </c>
      <c r="J637" s="64">
        <v>0.21210000000000001</v>
      </c>
      <c r="K637" s="64">
        <v>0.86</v>
      </c>
      <c r="L637" s="66">
        <v>8.9599999999999991</v>
      </c>
      <c r="M637" s="75" t="s">
        <v>80</v>
      </c>
      <c r="N637" s="64">
        <v>6</v>
      </c>
      <c r="O637" s="64">
        <v>95</v>
      </c>
      <c r="P637" s="64">
        <v>101</v>
      </c>
      <c r="Q637" s="64"/>
      <c r="R637" s="65" t="str">
        <f t="shared" si="19"/>
        <v>Week 4</v>
      </c>
      <c r="S637" s="65" t="str">
        <f>TEXT(Table8[[#This Row],[Date Day]],"mmm,YYYY")</f>
        <v>Jan,2011</v>
      </c>
    </row>
    <row r="638" spans="1:19" ht="15.6" x14ac:dyDescent="0.3">
      <c r="A638" s="62">
        <v>605</v>
      </c>
      <c r="B638" s="63">
        <v>40570</v>
      </c>
      <c r="C638" s="64">
        <v>10</v>
      </c>
      <c r="D638" s="64" t="b">
        <f>IF(COUNTIF(AU$36:AU$52,Table8[[#This Row],[Date Day]]) &gt; 0, TRUE, FALSE)</f>
        <v>0</v>
      </c>
      <c r="E638" s="64">
        <f t="shared" si="18"/>
        <v>4</v>
      </c>
      <c r="F638" s="64">
        <v>3</v>
      </c>
      <c r="G638" s="65" t="str">
        <f>IF(Table8[[#This Row],[Weathersit]]=1, "BAD", IF(Table8[[#This Row],[Weathersit]]=2, "MODERATE", IF(Table8[[#This Row],[Weathersit]]=3, "GOOD")))</f>
        <v>GOOD</v>
      </c>
      <c r="H638" s="64">
        <v>18</v>
      </c>
      <c r="I638" s="65" t="str">
        <f>IF(Table8[[#This Row],[Temp]]&lt;11, "COLD", IF(Table8[[#This Row],[Temp]]&lt;=25, "COMFORTABLE", "WARM"))</f>
        <v>COMFORTABLE</v>
      </c>
      <c r="J638" s="64">
        <v>0.21210000000000001</v>
      </c>
      <c r="K638" s="64">
        <v>0.86</v>
      </c>
      <c r="L638" s="66">
        <v>10.45</v>
      </c>
      <c r="M638" s="75" t="s">
        <v>80</v>
      </c>
      <c r="N638" s="64">
        <v>0</v>
      </c>
      <c r="O638" s="64">
        <v>49</v>
      </c>
      <c r="P638" s="64">
        <v>49</v>
      </c>
      <c r="Q638" s="64"/>
      <c r="R638" s="65" t="str">
        <f t="shared" si="19"/>
        <v>Week 4</v>
      </c>
      <c r="S638" s="65" t="str">
        <f>TEXT(Table8[[#This Row],[Date Day]],"mmm,YYYY")</f>
        <v>Jan,2011</v>
      </c>
    </row>
    <row r="639" spans="1:19" ht="15.6" x14ac:dyDescent="0.3">
      <c r="A639" s="62">
        <v>606</v>
      </c>
      <c r="B639" s="63">
        <v>40570</v>
      </c>
      <c r="C639" s="64">
        <v>11</v>
      </c>
      <c r="D639" s="64" t="b">
        <f>IF(COUNTIF(AU$36:AU$52,Table8[[#This Row],[Date Day]]) &gt; 0, TRUE, FALSE)</f>
        <v>0</v>
      </c>
      <c r="E639" s="64">
        <f t="shared" si="18"/>
        <v>4</v>
      </c>
      <c r="F639" s="64">
        <v>3</v>
      </c>
      <c r="G639" s="65" t="str">
        <f>IF(Table8[[#This Row],[Weathersit]]=1, "BAD", IF(Table8[[#This Row],[Weathersit]]=2, "MODERATE", IF(Table8[[#This Row],[Weathersit]]=3, "GOOD")))</f>
        <v>GOOD</v>
      </c>
      <c r="H639" s="64">
        <v>18</v>
      </c>
      <c r="I639" s="65" t="str">
        <f>IF(Table8[[#This Row],[Temp]]&lt;11, "COLD", IF(Table8[[#This Row],[Temp]]&lt;=25, "COMFORTABLE", "WARM"))</f>
        <v>COMFORTABLE</v>
      </c>
      <c r="J639" s="64">
        <v>0.21210000000000001</v>
      </c>
      <c r="K639" s="64">
        <v>0.93</v>
      </c>
      <c r="L639" s="66">
        <v>10.45</v>
      </c>
      <c r="M639" s="75" t="s">
        <v>80</v>
      </c>
      <c r="N639" s="64">
        <v>0</v>
      </c>
      <c r="O639" s="64">
        <v>30</v>
      </c>
      <c r="P639" s="64">
        <v>30</v>
      </c>
      <c r="Q639" s="64"/>
      <c r="R639" s="65" t="str">
        <f t="shared" si="19"/>
        <v>Week 4</v>
      </c>
      <c r="S639" s="65" t="str">
        <f>TEXT(Table8[[#This Row],[Date Day]],"mmm,YYYY")</f>
        <v>Jan,2011</v>
      </c>
    </row>
    <row r="640" spans="1:19" ht="15.6" x14ac:dyDescent="0.3">
      <c r="A640" s="62">
        <v>607</v>
      </c>
      <c r="B640" s="63">
        <v>40570</v>
      </c>
      <c r="C640" s="64">
        <v>12</v>
      </c>
      <c r="D640" s="64" t="b">
        <f>IF(COUNTIF(AU$36:AU$52,Table8[[#This Row],[Date Day]]) &gt; 0, TRUE, FALSE)</f>
        <v>0</v>
      </c>
      <c r="E640" s="64">
        <f t="shared" si="18"/>
        <v>4</v>
      </c>
      <c r="F640" s="64">
        <v>3</v>
      </c>
      <c r="G640" s="65" t="str">
        <f>IF(Table8[[#This Row],[Weathersit]]=1, "BAD", IF(Table8[[#This Row],[Weathersit]]=2, "MODERATE", IF(Table8[[#This Row],[Weathersit]]=3, "GOOD")))</f>
        <v>GOOD</v>
      </c>
      <c r="H640" s="64">
        <v>18</v>
      </c>
      <c r="I640" s="65" t="str">
        <f>IF(Table8[[#This Row],[Temp]]&lt;11, "COLD", IF(Table8[[#This Row],[Temp]]&lt;=25, "COMFORTABLE", "WARM"))</f>
        <v>COMFORTABLE</v>
      </c>
      <c r="J640" s="64">
        <v>0.21210000000000001</v>
      </c>
      <c r="K640" s="64">
        <v>0.93</v>
      </c>
      <c r="L640" s="66">
        <v>10.45</v>
      </c>
      <c r="M640" s="75" t="s">
        <v>80</v>
      </c>
      <c r="N640" s="64">
        <v>1</v>
      </c>
      <c r="O640" s="64">
        <v>28</v>
      </c>
      <c r="P640" s="64">
        <v>29</v>
      </c>
      <c r="Q640" s="64"/>
      <c r="R640" s="65" t="str">
        <f t="shared" si="19"/>
        <v>Week 4</v>
      </c>
      <c r="S640" s="65" t="str">
        <f>TEXT(Table8[[#This Row],[Date Day]],"mmm,YYYY")</f>
        <v>Jan,2011</v>
      </c>
    </row>
    <row r="641" spans="1:19" ht="15.6" x14ac:dyDescent="0.3">
      <c r="A641" s="62">
        <v>608</v>
      </c>
      <c r="B641" s="63">
        <v>40570</v>
      </c>
      <c r="C641" s="64">
        <v>13</v>
      </c>
      <c r="D641" s="64" t="b">
        <f>IF(COUNTIF(AU$36:AU$52,Table8[[#This Row],[Date Day]]) &gt; 0, TRUE, FALSE)</f>
        <v>0</v>
      </c>
      <c r="E641" s="64">
        <f t="shared" si="18"/>
        <v>4</v>
      </c>
      <c r="F641" s="64">
        <v>3</v>
      </c>
      <c r="G641" s="65" t="str">
        <f>IF(Table8[[#This Row],[Weathersit]]=1, "BAD", IF(Table8[[#This Row],[Weathersit]]=2, "MODERATE", IF(Table8[[#This Row],[Weathersit]]=3, "GOOD")))</f>
        <v>GOOD</v>
      </c>
      <c r="H641" s="64">
        <v>18</v>
      </c>
      <c r="I641" s="65" t="str">
        <f>IF(Table8[[#This Row],[Temp]]&lt;11, "COLD", IF(Table8[[#This Row],[Temp]]&lt;=25, "COMFORTABLE", "WARM"))</f>
        <v>COMFORTABLE</v>
      </c>
      <c r="J641" s="64">
        <v>0.21210000000000001</v>
      </c>
      <c r="K641" s="64">
        <v>0.93</v>
      </c>
      <c r="L641" s="66">
        <v>10.45</v>
      </c>
      <c r="M641" s="75" t="s">
        <v>80</v>
      </c>
      <c r="N641" s="64">
        <v>0</v>
      </c>
      <c r="O641" s="64">
        <v>31</v>
      </c>
      <c r="P641" s="64">
        <v>31</v>
      </c>
      <c r="Q641" s="64"/>
      <c r="R641" s="65" t="str">
        <f t="shared" si="19"/>
        <v>Week 4</v>
      </c>
      <c r="S641" s="65" t="str">
        <f>TEXT(Table8[[#This Row],[Date Day]],"mmm,YYYY")</f>
        <v>Jan,2011</v>
      </c>
    </row>
    <row r="642" spans="1:19" ht="15.6" x14ac:dyDescent="0.3">
      <c r="A642" s="62">
        <v>609</v>
      </c>
      <c r="B642" s="63">
        <v>40570</v>
      </c>
      <c r="C642" s="64">
        <v>14</v>
      </c>
      <c r="D642" s="64" t="b">
        <f>IF(COUNTIF(AU$36:AU$52,Table8[[#This Row],[Date Day]]) &gt; 0, TRUE, FALSE)</f>
        <v>0</v>
      </c>
      <c r="E642" s="64">
        <f t="shared" si="18"/>
        <v>4</v>
      </c>
      <c r="F642" s="64">
        <v>3</v>
      </c>
      <c r="G642" s="65" t="str">
        <f>IF(Table8[[#This Row],[Weathersit]]=1, "BAD", IF(Table8[[#This Row],[Weathersit]]=2, "MODERATE", IF(Table8[[#This Row],[Weathersit]]=3, "GOOD")))</f>
        <v>GOOD</v>
      </c>
      <c r="H642" s="64">
        <v>22</v>
      </c>
      <c r="I642" s="65" t="str">
        <f>IF(Table8[[#This Row],[Temp]]&lt;11, "COLD", IF(Table8[[#This Row],[Temp]]&lt;=25, "COMFORTABLE", "WARM"))</f>
        <v>COMFORTABLE</v>
      </c>
      <c r="J642" s="64">
        <v>0.2727</v>
      </c>
      <c r="K642" s="64">
        <v>0.8</v>
      </c>
      <c r="L642" s="66">
        <v>20.485098360655737</v>
      </c>
      <c r="M642" s="75" t="s">
        <v>81</v>
      </c>
      <c r="N642" s="64">
        <v>2</v>
      </c>
      <c r="O642" s="64">
        <v>36</v>
      </c>
      <c r="P642" s="64">
        <v>38</v>
      </c>
      <c r="Q642" s="64"/>
      <c r="R642" s="65" t="str">
        <f t="shared" si="19"/>
        <v>Week 4</v>
      </c>
      <c r="S642" s="65" t="str">
        <f>TEXT(Table8[[#This Row],[Date Day]],"mmm,YYYY")</f>
        <v>Jan,2011</v>
      </c>
    </row>
    <row r="643" spans="1:19" ht="15.6" x14ac:dyDescent="0.3">
      <c r="A643" s="62">
        <v>610</v>
      </c>
      <c r="B643" s="63">
        <v>40570</v>
      </c>
      <c r="C643" s="64">
        <v>15</v>
      </c>
      <c r="D643" s="64" t="b">
        <f>IF(COUNTIF(AU$36:AU$52,Table8[[#This Row],[Date Day]]) &gt; 0, TRUE, FALSE)</f>
        <v>0</v>
      </c>
      <c r="E643" s="64">
        <f t="shared" si="18"/>
        <v>4</v>
      </c>
      <c r="F643" s="64">
        <v>2</v>
      </c>
      <c r="G643" s="65" t="str">
        <f>IF(Table8[[#This Row],[Weathersit]]=1, "BAD", IF(Table8[[#This Row],[Weathersit]]=2, "MODERATE", IF(Table8[[#This Row],[Weathersit]]=3, "GOOD")))</f>
        <v>MODERATE</v>
      </c>
      <c r="H643" s="64">
        <v>20</v>
      </c>
      <c r="I643" s="65" t="str">
        <f>IF(Table8[[#This Row],[Temp]]&lt;11, "COLD", IF(Table8[[#This Row],[Temp]]&lt;=25, "COMFORTABLE", "WARM"))</f>
        <v>COMFORTABLE</v>
      </c>
      <c r="J643" s="64">
        <v>0.2576</v>
      </c>
      <c r="K643" s="64">
        <v>0.86</v>
      </c>
      <c r="L643" s="66">
        <v>20.485098360655737</v>
      </c>
      <c r="M643" s="75" t="s">
        <v>81</v>
      </c>
      <c r="N643" s="64">
        <v>1</v>
      </c>
      <c r="O643" s="64">
        <v>40</v>
      </c>
      <c r="P643" s="64">
        <v>41</v>
      </c>
      <c r="Q643" s="64"/>
      <c r="R643" s="65" t="str">
        <f t="shared" si="19"/>
        <v>Week 4</v>
      </c>
      <c r="S643" s="65" t="str">
        <f>TEXT(Table8[[#This Row],[Date Day]],"mmm,YYYY")</f>
        <v>Jan,2011</v>
      </c>
    </row>
    <row r="644" spans="1:19" ht="15.6" x14ac:dyDescent="0.3">
      <c r="A644" s="62">
        <v>611</v>
      </c>
      <c r="B644" s="63">
        <v>40570</v>
      </c>
      <c r="C644" s="64">
        <v>16</v>
      </c>
      <c r="D644" s="64" t="b">
        <f>IF(COUNTIF(AU$36:AU$52,Table8[[#This Row],[Date Day]]) &gt; 0, TRUE, FALSE)</f>
        <v>0</v>
      </c>
      <c r="E644" s="64">
        <f t="shared" si="18"/>
        <v>4</v>
      </c>
      <c r="F644" s="64">
        <v>1</v>
      </c>
      <c r="G644" s="65" t="str">
        <f>IF(Table8[[#This Row],[Weathersit]]=1, "BAD", IF(Table8[[#This Row],[Weathersit]]=2, "MODERATE", IF(Table8[[#This Row],[Weathersit]]=3, "GOOD")))</f>
        <v>BAD</v>
      </c>
      <c r="H644" s="64">
        <v>22</v>
      </c>
      <c r="I644" s="65" t="str">
        <f>IF(Table8[[#This Row],[Temp]]&lt;11, "COLD", IF(Table8[[#This Row],[Temp]]&lt;=25, "COMFORTABLE", "WARM"))</f>
        <v>COMFORTABLE</v>
      </c>
      <c r="J644" s="64">
        <v>0.2727</v>
      </c>
      <c r="K644" s="64">
        <v>0.8</v>
      </c>
      <c r="L644" s="66">
        <v>17.94158974358977</v>
      </c>
      <c r="M644" s="75" t="s">
        <v>80</v>
      </c>
      <c r="N644" s="64">
        <v>10</v>
      </c>
      <c r="O644" s="64">
        <v>70</v>
      </c>
      <c r="P644" s="64">
        <v>80</v>
      </c>
      <c r="Q644" s="64"/>
      <c r="R644" s="65" t="str">
        <f t="shared" si="19"/>
        <v>Week 4</v>
      </c>
      <c r="S644" s="65" t="str">
        <f>TEXT(Table8[[#This Row],[Date Day]],"mmm,YYYY")</f>
        <v>Jan,2011</v>
      </c>
    </row>
    <row r="645" spans="1:19" ht="15.6" x14ac:dyDescent="0.3">
      <c r="A645" s="62">
        <v>612</v>
      </c>
      <c r="B645" s="63">
        <v>40570</v>
      </c>
      <c r="C645" s="64">
        <v>17</v>
      </c>
      <c r="D645" s="64" t="b">
        <f>IF(COUNTIF(AU$36:AU$52,Table8[[#This Row],[Date Day]]) &gt; 0, TRUE, FALSE)</f>
        <v>0</v>
      </c>
      <c r="E645" s="64">
        <f t="shared" si="18"/>
        <v>4</v>
      </c>
      <c r="F645" s="64">
        <v>1</v>
      </c>
      <c r="G645" s="65" t="str">
        <f>IF(Table8[[#This Row],[Weathersit]]=1, "BAD", IF(Table8[[#This Row],[Weathersit]]=2, "MODERATE", IF(Table8[[#This Row],[Weathersit]]=3, "GOOD")))</f>
        <v>BAD</v>
      </c>
      <c r="H645" s="64">
        <v>24</v>
      </c>
      <c r="I645" s="65" t="str">
        <f>IF(Table8[[#This Row],[Temp]]&lt;11, "COLD", IF(Table8[[#This Row],[Temp]]&lt;=25, "COMFORTABLE", "WARM"))</f>
        <v>COMFORTABLE</v>
      </c>
      <c r="J645" s="64">
        <v>0.2424</v>
      </c>
      <c r="K645" s="64">
        <v>0.75</v>
      </c>
      <c r="L645" s="66">
        <v>13.43</v>
      </c>
      <c r="M645" s="75" t="s">
        <v>80</v>
      </c>
      <c r="N645" s="64">
        <v>2</v>
      </c>
      <c r="O645" s="64">
        <v>147</v>
      </c>
      <c r="P645" s="64">
        <v>149</v>
      </c>
      <c r="Q645" s="64"/>
      <c r="R645" s="65" t="str">
        <f t="shared" si="19"/>
        <v>Week 4</v>
      </c>
      <c r="S645" s="65" t="str">
        <f>TEXT(Table8[[#This Row],[Date Day]],"mmm,YYYY")</f>
        <v>Jan,2011</v>
      </c>
    </row>
    <row r="646" spans="1:19" ht="15.6" x14ac:dyDescent="0.3">
      <c r="A646" s="62">
        <v>613</v>
      </c>
      <c r="B646" s="63">
        <v>40570</v>
      </c>
      <c r="C646" s="64">
        <v>18</v>
      </c>
      <c r="D646" s="64" t="b">
        <f>IF(COUNTIF(AU$36:AU$52,Table8[[#This Row],[Date Day]]) &gt; 0, TRUE, FALSE)</f>
        <v>0</v>
      </c>
      <c r="E646" s="64">
        <f t="shared" si="18"/>
        <v>4</v>
      </c>
      <c r="F646" s="64">
        <v>1</v>
      </c>
      <c r="G646" s="65" t="str">
        <f>IF(Table8[[#This Row],[Weathersit]]=1, "BAD", IF(Table8[[#This Row],[Weathersit]]=2, "MODERATE", IF(Table8[[#This Row],[Weathersit]]=3, "GOOD")))</f>
        <v>BAD</v>
      </c>
      <c r="H646" s="64">
        <v>24</v>
      </c>
      <c r="I646" s="65" t="str">
        <f>IF(Table8[[#This Row],[Temp]]&lt;11, "COLD", IF(Table8[[#This Row],[Temp]]&lt;=25, "COMFORTABLE", "WARM"))</f>
        <v>COMFORTABLE</v>
      </c>
      <c r="J646" s="64">
        <v>0.2273</v>
      </c>
      <c r="K646" s="64">
        <v>0.75</v>
      </c>
      <c r="L646" s="66">
        <v>19.400000000000002</v>
      </c>
      <c r="M646" s="75" t="s">
        <v>80</v>
      </c>
      <c r="N646" s="64">
        <v>2</v>
      </c>
      <c r="O646" s="64">
        <v>107</v>
      </c>
      <c r="P646" s="64">
        <v>109</v>
      </c>
      <c r="Q646" s="64"/>
      <c r="R646" s="65" t="str">
        <f t="shared" si="19"/>
        <v>Week 4</v>
      </c>
      <c r="S646" s="65" t="str">
        <f>TEXT(Table8[[#This Row],[Date Day]],"mmm,YYYY")</f>
        <v>Jan,2011</v>
      </c>
    </row>
    <row r="647" spans="1:19" ht="15.6" x14ac:dyDescent="0.3">
      <c r="A647" s="62">
        <v>614</v>
      </c>
      <c r="B647" s="63">
        <v>40570</v>
      </c>
      <c r="C647" s="64">
        <v>19</v>
      </c>
      <c r="D647" s="64" t="b">
        <f>IF(COUNTIF(AU$36:AU$52,Table8[[#This Row],[Date Day]]) &gt; 0, TRUE, FALSE)</f>
        <v>0</v>
      </c>
      <c r="E647" s="64">
        <f t="shared" si="18"/>
        <v>4</v>
      </c>
      <c r="F647" s="64">
        <v>2</v>
      </c>
      <c r="G647" s="65" t="str">
        <f>IF(Table8[[#This Row],[Weathersit]]=1, "BAD", IF(Table8[[#This Row],[Weathersit]]=2, "MODERATE", IF(Table8[[#This Row],[Weathersit]]=3, "GOOD")))</f>
        <v>MODERATE</v>
      </c>
      <c r="H647" s="64">
        <v>24</v>
      </c>
      <c r="I647" s="65" t="str">
        <f>IF(Table8[[#This Row],[Temp]]&lt;11, "COLD", IF(Table8[[#This Row],[Temp]]&lt;=25, "COMFORTABLE", "WARM"))</f>
        <v>COMFORTABLE</v>
      </c>
      <c r="J647" s="64">
        <v>0.2424</v>
      </c>
      <c r="K647" s="64">
        <v>0.75</v>
      </c>
      <c r="L647" s="66">
        <v>13.43</v>
      </c>
      <c r="M647" s="75" t="s">
        <v>80</v>
      </c>
      <c r="N647" s="64">
        <v>5</v>
      </c>
      <c r="O647" s="64">
        <v>84</v>
      </c>
      <c r="P647" s="64">
        <v>89</v>
      </c>
      <c r="Q647" s="64"/>
      <c r="R647" s="65" t="str">
        <f t="shared" si="19"/>
        <v>Week 4</v>
      </c>
      <c r="S647" s="65" t="str">
        <f>TEXT(Table8[[#This Row],[Date Day]],"mmm,YYYY")</f>
        <v>Jan,2011</v>
      </c>
    </row>
    <row r="648" spans="1:19" ht="15.6" x14ac:dyDescent="0.3">
      <c r="A648" s="62">
        <v>615</v>
      </c>
      <c r="B648" s="63">
        <v>40570</v>
      </c>
      <c r="C648" s="64">
        <v>20</v>
      </c>
      <c r="D648" s="64" t="b">
        <f>IF(COUNTIF(AU$36:AU$52,Table8[[#This Row],[Date Day]]) &gt; 0, TRUE, FALSE)</f>
        <v>0</v>
      </c>
      <c r="E648" s="64">
        <f t="shared" si="18"/>
        <v>4</v>
      </c>
      <c r="F648" s="64">
        <v>2</v>
      </c>
      <c r="G648" s="65" t="str">
        <f>IF(Table8[[#This Row],[Weathersit]]=1, "BAD", IF(Table8[[#This Row],[Weathersit]]=2, "MODERATE", IF(Table8[[#This Row],[Weathersit]]=3, "GOOD")))</f>
        <v>MODERATE</v>
      </c>
      <c r="H648" s="64">
        <v>24</v>
      </c>
      <c r="I648" s="65" t="str">
        <f>IF(Table8[[#This Row],[Temp]]&lt;11, "COLD", IF(Table8[[#This Row],[Temp]]&lt;=25, "COMFORTABLE", "WARM"))</f>
        <v>COMFORTABLE</v>
      </c>
      <c r="J648" s="64">
        <v>0.2273</v>
      </c>
      <c r="K648" s="64">
        <v>0.7</v>
      </c>
      <c r="L648" s="66">
        <v>19.400000000000002</v>
      </c>
      <c r="M648" s="75" t="s">
        <v>80</v>
      </c>
      <c r="N648" s="64">
        <v>1</v>
      </c>
      <c r="O648" s="64">
        <v>61</v>
      </c>
      <c r="P648" s="64">
        <v>62</v>
      </c>
      <c r="Q648" s="64"/>
      <c r="R648" s="65" t="str">
        <f t="shared" si="19"/>
        <v>Week 4</v>
      </c>
      <c r="S648" s="65" t="str">
        <f>TEXT(Table8[[#This Row],[Date Day]],"mmm,YYYY")</f>
        <v>Jan,2011</v>
      </c>
    </row>
    <row r="649" spans="1:19" ht="15.6" x14ac:dyDescent="0.3">
      <c r="A649" s="62">
        <v>616</v>
      </c>
      <c r="B649" s="63">
        <v>40570</v>
      </c>
      <c r="C649" s="64">
        <v>21</v>
      </c>
      <c r="D649" s="64" t="b">
        <f>IF(COUNTIF(AU$36:AU$52,Table8[[#This Row],[Date Day]]) &gt; 0, TRUE, FALSE)</f>
        <v>0</v>
      </c>
      <c r="E649" s="64">
        <f t="shared" si="18"/>
        <v>4</v>
      </c>
      <c r="F649" s="64">
        <v>2</v>
      </c>
      <c r="G649" s="65" t="str">
        <f>IF(Table8[[#This Row],[Weathersit]]=1, "BAD", IF(Table8[[#This Row],[Weathersit]]=2, "MODERATE", IF(Table8[[#This Row],[Weathersit]]=3, "GOOD")))</f>
        <v>MODERATE</v>
      </c>
      <c r="H649" s="64">
        <v>22</v>
      </c>
      <c r="I649" s="65" t="str">
        <f>IF(Table8[[#This Row],[Temp]]&lt;11, "COLD", IF(Table8[[#This Row],[Temp]]&lt;=25, "COMFORTABLE", "WARM"))</f>
        <v>COMFORTABLE</v>
      </c>
      <c r="J649" s="64">
        <v>0.2273</v>
      </c>
      <c r="K649" s="64">
        <v>0.75</v>
      </c>
      <c r="L649" s="66">
        <v>13.43</v>
      </c>
      <c r="M649" s="75" t="s">
        <v>80</v>
      </c>
      <c r="N649" s="64">
        <v>1</v>
      </c>
      <c r="O649" s="64">
        <v>57</v>
      </c>
      <c r="P649" s="64">
        <v>58</v>
      </c>
      <c r="Q649" s="64"/>
      <c r="R649" s="65" t="str">
        <f t="shared" si="19"/>
        <v>Week 4</v>
      </c>
      <c r="S649" s="65" t="str">
        <f>TEXT(Table8[[#This Row],[Date Day]],"mmm,YYYY")</f>
        <v>Jan,2011</v>
      </c>
    </row>
    <row r="650" spans="1:19" ht="15.6" x14ac:dyDescent="0.3">
      <c r="A650" s="62">
        <v>617</v>
      </c>
      <c r="B650" s="63">
        <v>40570</v>
      </c>
      <c r="C650" s="64">
        <v>22</v>
      </c>
      <c r="D650" s="64" t="b">
        <f>IF(COUNTIF(AU$36:AU$52,Table8[[#This Row],[Date Day]]) &gt; 0, TRUE, FALSE)</f>
        <v>0</v>
      </c>
      <c r="E650" s="64">
        <f t="shared" si="18"/>
        <v>4</v>
      </c>
      <c r="F650" s="64">
        <v>1</v>
      </c>
      <c r="G650" s="65" t="str">
        <f>IF(Table8[[#This Row],[Weathersit]]=1, "BAD", IF(Table8[[#This Row],[Weathersit]]=2, "MODERATE", IF(Table8[[#This Row],[Weathersit]]=3, "GOOD")))</f>
        <v>BAD</v>
      </c>
      <c r="H650" s="64">
        <v>24</v>
      </c>
      <c r="I650" s="65" t="str">
        <f>IF(Table8[[#This Row],[Temp]]&lt;11, "COLD", IF(Table8[[#This Row],[Temp]]&lt;=25, "COMFORTABLE", "WARM"))</f>
        <v>COMFORTABLE</v>
      </c>
      <c r="J650" s="64">
        <v>0.21210000000000001</v>
      </c>
      <c r="K650" s="64">
        <v>0.65</v>
      </c>
      <c r="L650" s="66">
        <v>35.82</v>
      </c>
      <c r="M650" s="75" t="s">
        <v>84</v>
      </c>
      <c r="N650" s="64">
        <v>0</v>
      </c>
      <c r="O650" s="64">
        <v>26</v>
      </c>
      <c r="P650" s="64">
        <v>26</v>
      </c>
      <c r="Q650" s="64"/>
      <c r="R650" s="65" t="str">
        <f t="shared" si="19"/>
        <v>Week 4</v>
      </c>
      <c r="S650" s="65" t="str">
        <f>TEXT(Table8[[#This Row],[Date Day]],"mmm,YYYY")</f>
        <v>Jan,2011</v>
      </c>
    </row>
    <row r="651" spans="1:19" ht="15.6" x14ac:dyDescent="0.3">
      <c r="A651" s="62">
        <v>618</v>
      </c>
      <c r="B651" s="63">
        <v>40570</v>
      </c>
      <c r="C651" s="64">
        <v>23</v>
      </c>
      <c r="D651" s="64" t="b">
        <f>IF(COUNTIF(AU$36:AU$52,Table8[[#This Row],[Date Day]]) &gt; 0, TRUE, FALSE)</f>
        <v>0</v>
      </c>
      <c r="E651" s="64">
        <f t="shared" si="18"/>
        <v>4</v>
      </c>
      <c r="F651" s="64">
        <v>1</v>
      </c>
      <c r="G651" s="65" t="str">
        <f>IF(Table8[[#This Row],[Weathersit]]=1, "BAD", IF(Table8[[#This Row],[Weathersit]]=2, "MODERATE", IF(Table8[[#This Row],[Weathersit]]=3, "GOOD")))</f>
        <v>BAD</v>
      </c>
      <c r="H651" s="64">
        <v>24</v>
      </c>
      <c r="I651" s="65" t="str">
        <f>IF(Table8[[#This Row],[Temp]]&lt;11, "COLD", IF(Table8[[#This Row],[Temp]]&lt;=25, "COMFORTABLE", "WARM"))</f>
        <v>COMFORTABLE</v>
      </c>
      <c r="J651" s="64">
        <v>0.2273</v>
      </c>
      <c r="K651" s="64">
        <v>0.6</v>
      </c>
      <c r="L651" s="66">
        <v>22.39</v>
      </c>
      <c r="M651" s="75" t="s">
        <v>81</v>
      </c>
      <c r="N651" s="64">
        <v>1</v>
      </c>
      <c r="O651" s="64">
        <v>22</v>
      </c>
      <c r="P651" s="64">
        <v>23</v>
      </c>
      <c r="Q651" s="64"/>
      <c r="R651" s="65" t="str">
        <f t="shared" si="19"/>
        <v>Week 4</v>
      </c>
      <c r="S651" s="65" t="str">
        <f>TEXT(Table8[[#This Row],[Date Day]],"mmm,YYYY")</f>
        <v>Jan,2011</v>
      </c>
    </row>
    <row r="652" spans="1:19" ht="15.6" x14ac:dyDescent="0.3">
      <c r="A652" s="62">
        <v>619</v>
      </c>
      <c r="B652" s="63">
        <v>40571</v>
      </c>
      <c r="C652" s="64">
        <v>0</v>
      </c>
      <c r="D652" s="64" t="b">
        <f>IF(COUNTIF(AU$36:AU$52,Table8[[#This Row],[Date Day]]) &gt; 0, TRUE, FALSE)</f>
        <v>0</v>
      </c>
      <c r="E652" s="64">
        <f t="shared" si="18"/>
        <v>5</v>
      </c>
      <c r="F652" s="64">
        <v>1</v>
      </c>
      <c r="G652" s="65" t="str">
        <f>IF(Table8[[#This Row],[Weathersit]]=1, "BAD", IF(Table8[[#This Row],[Weathersit]]=2, "MODERATE", IF(Table8[[#This Row],[Weathersit]]=3, "GOOD")))</f>
        <v>BAD</v>
      </c>
      <c r="H652" s="64">
        <v>22</v>
      </c>
      <c r="I652" s="65" t="str">
        <f>IF(Table8[[#This Row],[Temp]]&lt;11, "COLD", IF(Table8[[#This Row],[Temp]]&lt;=25, "COMFORTABLE", "WARM"))</f>
        <v>COMFORTABLE</v>
      </c>
      <c r="J652" s="64">
        <v>0.19700000000000001</v>
      </c>
      <c r="K652" s="64">
        <v>0.64</v>
      </c>
      <c r="L652" s="66">
        <v>35.82</v>
      </c>
      <c r="M652" s="75" t="s">
        <v>84</v>
      </c>
      <c r="N652" s="64">
        <v>2</v>
      </c>
      <c r="O652" s="64">
        <v>26</v>
      </c>
      <c r="P652" s="64">
        <v>28</v>
      </c>
      <c r="Q652" s="64"/>
      <c r="R652" s="65" t="str">
        <f t="shared" si="19"/>
        <v>Week 4</v>
      </c>
      <c r="S652" s="65" t="str">
        <f>TEXT(Table8[[#This Row],[Date Day]],"mmm,YYYY")</f>
        <v>Jan,2011</v>
      </c>
    </row>
    <row r="653" spans="1:19" ht="15.6" x14ac:dyDescent="0.3">
      <c r="A653" s="62">
        <v>620</v>
      </c>
      <c r="B653" s="63">
        <v>40571</v>
      </c>
      <c r="C653" s="64">
        <v>1</v>
      </c>
      <c r="D653" s="64" t="b">
        <f>IF(COUNTIF(AU$36:AU$52,Table8[[#This Row],[Date Day]]) &gt; 0, TRUE, FALSE)</f>
        <v>0</v>
      </c>
      <c r="E653" s="64">
        <f t="shared" si="18"/>
        <v>5</v>
      </c>
      <c r="F653" s="64">
        <v>1</v>
      </c>
      <c r="G653" s="65" t="str">
        <f>IF(Table8[[#This Row],[Weathersit]]=1, "BAD", IF(Table8[[#This Row],[Weathersit]]=2, "MODERATE", IF(Table8[[#This Row],[Weathersit]]=3, "GOOD")))</f>
        <v>BAD</v>
      </c>
      <c r="H653" s="64">
        <v>22</v>
      </c>
      <c r="I653" s="65" t="str">
        <f>IF(Table8[[#This Row],[Temp]]&lt;11, "COLD", IF(Table8[[#This Row],[Temp]]&lt;=25, "COMFORTABLE", "WARM"))</f>
        <v>COMFORTABLE</v>
      </c>
      <c r="J653" s="64">
        <v>0.2273</v>
      </c>
      <c r="K653" s="64">
        <v>0.64</v>
      </c>
      <c r="L653" s="66">
        <v>19.400000000000002</v>
      </c>
      <c r="M653" s="75" t="s">
        <v>80</v>
      </c>
      <c r="N653" s="64">
        <v>0</v>
      </c>
      <c r="O653" s="64">
        <v>20</v>
      </c>
      <c r="P653" s="64">
        <v>20</v>
      </c>
      <c r="Q653" s="64"/>
      <c r="R653" s="65" t="str">
        <f t="shared" si="19"/>
        <v>Week 4</v>
      </c>
      <c r="S653" s="65" t="str">
        <f>TEXT(Table8[[#This Row],[Date Day]],"mmm,YYYY")</f>
        <v>Jan,2011</v>
      </c>
    </row>
    <row r="654" spans="1:19" ht="15.6" x14ac:dyDescent="0.3">
      <c r="A654" s="62">
        <v>621</v>
      </c>
      <c r="B654" s="63">
        <v>40571</v>
      </c>
      <c r="C654" s="64">
        <v>2</v>
      </c>
      <c r="D654" s="64" t="b">
        <f>IF(COUNTIF(AU$36:AU$52,Table8[[#This Row],[Date Day]]) &gt; 0, TRUE, FALSE)</f>
        <v>0</v>
      </c>
      <c r="E654" s="64">
        <f t="shared" si="18"/>
        <v>5</v>
      </c>
      <c r="F654" s="64">
        <v>1</v>
      </c>
      <c r="G654" s="65" t="str">
        <f>IF(Table8[[#This Row],[Weathersit]]=1, "BAD", IF(Table8[[#This Row],[Weathersit]]=2, "MODERATE", IF(Table8[[#This Row],[Weathersit]]=3, "GOOD")))</f>
        <v>BAD</v>
      </c>
      <c r="H654" s="64">
        <v>22</v>
      </c>
      <c r="I654" s="65" t="str">
        <f>IF(Table8[[#This Row],[Temp]]&lt;11, "COLD", IF(Table8[[#This Row],[Temp]]&lt;=25, "COMFORTABLE", "WARM"))</f>
        <v>COMFORTABLE</v>
      </c>
      <c r="J654" s="64">
        <v>0.2273</v>
      </c>
      <c r="K654" s="64">
        <v>0.64</v>
      </c>
      <c r="L654" s="66">
        <v>16.420000000000002</v>
      </c>
      <c r="M654" s="75" t="s">
        <v>80</v>
      </c>
      <c r="N654" s="64">
        <v>0</v>
      </c>
      <c r="O654" s="64">
        <v>15</v>
      </c>
      <c r="P654" s="64">
        <v>15</v>
      </c>
      <c r="Q654" s="64"/>
      <c r="R654" s="65" t="str">
        <f t="shared" si="19"/>
        <v>Week 4</v>
      </c>
      <c r="S654" s="65" t="str">
        <f>TEXT(Table8[[#This Row],[Date Day]],"mmm,YYYY")</f>
        <v>Jan,2011</v>
      </c>
    </row>
    <row r="655" spans="1:19" ht="15.6" x14ac:dyDescent="0.3">
      <c r="A655" s="62">
        <v>622</v>
      </c>
      <c r="B655" s="63">
        <v>40571</v>
      </c>
      <c r="C655" s="64">
        <v>3</v>
      </c>
      <c r="D655" s="64" t="b">
        <f>IF(COUNTIF(AU$36:AU$52,Table8[[#This Row],[Date Day]]) &gt; 0, TRUE, FALSE)</f>
        <v>0</v>
      </c>
      <c r="E655" s="64">
        <f t="shared" si="18"/>
        <v>5</v>
      </c>
      <c r="F655" s="64">
        <v>1</v>
      </c>
      <c r="G655" s="65" t="str">
        <f>IF(Table8[[#This Row],[Weathersit]]=1, "BAD", IF(Table8[[#This Row],[Weathersit]]=2, "MODERATE", IF(Table8[[#This Row],[Weathersit]]=3, "GOOD")))</f>
        <v>BAD</v>
      </c>
      <c r="H655" s="64">
        <v>20</v>
      </c>
      <c r="I655" s="65" t="str">
        <f>IF(Table8[[#This Row],[Temp]]&lt;11, "COLD", IF(Table8[[#This Row],[Temp]]&lt;=25, "COMFORTABLE", "WARM"))</f>
        <v>COMFORTABLE</v>
      </c>
      <c r="J655" s="64">
        <v>0.21210000000000001</v>
      </c>
      <c r="K655" s="64">
        <v>0.64</v>
      </c>
      <c r="L655" s="66">
        <v>13.43</v>
      </c>
      <c r="M655" s="75" t="s">
        <v>80</v>
      </c>
      <c r="N655" s="64">
        <v>3</v>
      </c>
      <c r="O655" s="64">
        <v>5</v>
      </c>
      <c r="P655" s="64">
        <v>8</v>
      </c>
      <c r="Q655" s="64"/>
      <c r="R655" s="65" t="str">
        <f t="shared" si="19"/>
        <v>Week 4</v>
      </c>
      <c r="S655" s="65" t="str">
        <f>TEXT(Table8[[#This Row],[Date Day]],"mmm,YYYY")</f>
        <v>Jan,2011</v>
      </c>
    </row>
    <row r="656" spans="1:19" ht="15.6" x14ac:dyDescent="0.3">
      <c r="A656" s="62">
        <v>623</v>
      </c>
      <c r="B656" s="63">
        <v>40571</v>
      </c>
      <c r="C656" s="64">
        <v>4</v>
      </c>
      <c r="D656" s="64" t="b">
        <f>IF(COUNTIF(AU$36:AU$52,Table8[[#This Row],[Date Day]]) &gt; 0, TRUE, FALSE)</f>
        <v>0</v>
      </c>
      <c r="E656" s="64">
        <f t="shared" si="18"/>
        <v>5</v>
      </c>
      <c r="F656" s="64">
        <v>1</v>
      </c>
      <c r="G656" s="65" t="str">
        <f>IF(Table8[[#This Row],[Weathersit]]=1, "BAD", IF(Table8[[#This Row],[Weathersit]]=2, "MODERATE", IF(Table8[[#This Row],[Weathersit]]=3, "GOOD")))</f>
        <v>BAD</v>
      </c>
      <c r="H656" s="64">
        <v>16</v>
      </c>
      <c r="I656" s="65" t="str">
        <f>IF(Table8[[#This Row],[Temp]]&lt;11, "COLD", IF(Table8[[#This Row],[Temp]]&lt;=25, "COMFORTABLE", "WARM"))</f>
        <v>COMFORTABLE</v>
      </c>
      <c r="J656" s="64">
        <v>0.18179999999999999</v>
      </c>
      <c r="K656" s="64">
        <v>0.69</v>
      </c>
      <c r="L656" s="66">
        <v>10.45</v>
      </c>
      <c r="M656" s="75" t="s">
        <v>80</v>
      </c>
      <c r="N656" s="64">
        <v>1</v>
      </c>
      <c r="O656" s="64">
        <v>2</v>
      </c>
      <c r="P656" s="64">
        <v>3</v>
      </c>
      <c r="Q656" s="64"/>
      <c r="R656" s="65" t="str">
        <f t="shared" si="19"/>
        <v>Week 4</v>
      </c>
      <c r="S656" s="65" t="str">
        <f>TEXT(Table8[[#This Row],[Date Day]],"mmm,YYYY")</f>
        <v>Jan,2011</v>
      </c>
    </row>
    <row r="657" spans="1:19" ht="15.6" x14ac:dyDescent="0.3">
      <c r="A657" s="62">
        <v>624</v>
      </c>
      <c r="B657" s="63">
        <v>40571</v>
      </c>
      <c r="C657" s="64">
        <v>6</v>
      </c>
      <c r="D657" s="64" t="b">
        <f>IF(COUNTIF(AU$36:AU$52,Table8[[#This Row],[Date Day]]) &gt; 0, TRUE, FALSE)</f>
        <v>0</v>
      </c>
      <c r="E657" s="64">
        <f t="shared" si="18"/>
        <v>5</v>
      </c>
      <c r="F657" s="64">
        <v>1</v>
      </c>
      <c r="G657" s="65" t="str">
        <f>IF(Table8[[#This Row],[Weathersit]]=1, "BAD", IF(Table8[[#This Row],[Weathersit]]=2, "MODERATE", IF(Table8[[#This Row],[Weathersit]]=3, "GOOD")))</f>
        <v>BAD</v>
      </c>
      <c r="H657" s="64">
        <v>16</v>
      </c>
      <c r="I657" s="65" t="str">
        <f>IF(Table8[[#This Row],[Temp]]&lt;11, "COLD", IF(Table8[[#This Row],[Temp]]&lt;=25, "COMFORTABLE", "WARM"))</f>
        <v>COMFORTABLE</v>
      </c>
      <c r="J657" s="64">
        <v>0.18179999999999999</v>
      </c>
      <c r="K657" s="64">
        <v>0.64</v>
      </c>
      <c r="L657" s="66">
        <v>13.43</v>
      </c>
      <c r="M657" s="75" t="s">
        <v>80</v>
      </c>
      <c r="N657" s="64">
        <v>0</v>
      </c>
      <c r="O657" s="64">
        <v>2</v>
      </c>
      <c r="P657" s="64">
        <v>2</v>
      </c>
      <c r="Q657" s="64"/>
      <c r="R657" s="65" t="str">
        <f t="shared" si="19"/>
        <v>Week 4</v>
      </c>
      <c r="S657" s="65" t="str">
        <f>TEXT(Table8[[#This Row],[Date Day]],"mmm,YYYY")</f>
        <v>Jan,2011</v>
      </c>
    </row>
    <row r="658" spans="1:19" ht="15.6" x14ac:dyDescent="0.3">
      <c r="A658" s="62">
        <v>625</v>
      </c>
      <c r="B658" s="63">
        <v>40571</v>
      </c>
      <c r="C658" s="64">
        <v>7</v>
      </c>
      <c r="D658" s="64" t="b">
        <f>IF(COUNTIF(AU$36:AU$52,Table8[[#This Row],[Date Day]]) &gt; 0, TRUE, FALSE)</f>
        <v>0</v>
      </c>
      <c r="E658" s="64">
        <f t="shared" si="18"/>
        <v>5</v>
      </c>
      <c r="F658" s="64">
        <v>1</v>
      </c>
      <c r="G658" s="65" t="str">
        <f>IF(Table8[[#This Row],[Weathersit]]=1, "BAD", IF(Table8[[#This Row],[Weathersit]]=2, "MODERATE", IF(Table8[[#This Row],[Weathersit]]=3, "GOOD")))</f>
        <v>BAD</v>
      </c>
      <c r="H658" s="64">
        <v>16</v>
      </c>
      <c r="I658" s="65" t="str">
        <f>IF(Table8[[#This Row],[Temp]]&lt;11, "COLD", IF(Table8[[#This Row],[Temp]]&lt;=25, "COMFORTABLE", "WARM"))</f>
        <v>COMFORTABLE</v>
      </c>
      <c r="J658" s="64">
        <v>0.18179999999999999</v>
      </c>
      <c r="K658" s="64">
        <v>0.59</v>
      </c>
      <c r="L658" s="66">
        <v>10.45</v>
      </c>
      <c r="M658" s="75" t="s">
        <v>80</v>
      </c>
      <c r="N658" s="64">
        <v>1</v>
      </c>
      <c r="O658" s="64">
        <v>4</v>
      </c>
      <c r="P658" s="64">
        <v>5</v>
      </c>
      <c r="Q658" s="64"/>
      <c r="R658" s="65" t="str">
        <f t="shared" si="19"/>
        <v>Week 4</v>
      </c>
      <c r="S658" s="65" t="str">
        <f>TEXT(Table8[[#This Row],[Date Day]],"mmm,YYYY")</f>
        <v>Jan,2011</v>
      </c>
    </row>
    <row r="659" spans="1:19" ht="15.6" x14ac:dyDescent="0.3">
      <c r="A659" s="62">
        <v>626</v>
      </c>
      <c r="B659" s="63">
        <v>40571</v>
      </c>
      <c r="C659" s="64">
        <v>8</v>
      </c>
      <c r="D659" s="64" t="b">
        <f>IF(COUNTIF(AU$36:AU$52,Table8[[#This Row],[Date Day]]) &gt; 0, TRUE, FALSE)</f>
        <v>0</v>
      </c>
      <c r="E659" s="64">
        <f t="shared" si="18"/>
        <v>5</v>
      </c>
      <c r="F659" s="64">
        <v>1</v>
      </c>
      <c r="G659" s="65" t="str">
        <f>IF(Table8[[#This Row],[Weathersit]]=1, "BAD", IF(Table8[[#This Row],[Weathersit]]=2, "MODERATE", IF(Table8[[#This Row],[Weathersit]]=3, "GOOD")))</f>
        <v>BAD</v>
      </c>
      <c r="H659" s="64">
        <v>18</v>
      </c>
      <c r="I659" s="65" t="str">
        <f>IF(Table8[[#This Row],[Temp]]&lt;11, "COLD", IF(Table8[[#This Row],[Temp]]&lt;=25, "COMFORTABLE", "WARM"))</f>
        <v>COMFORTABLE</v>
      </c>
      <c r="J659" s="64">
        <v>0.19700000000000001</v>
      </c>
      <c r="K659" s="64">
        <v>0.55000000000000004</v>
      </c>
      <c r="L659" s="66">
        <v>16.420000000000002</v>
      </c>
      <c r="M659" s="75" t="s">
        <v>80</v>
      </c>
      <c r="N659" s="64">
        <v>3</v>
      </c>
      <c r="O659" s="64">
        <v>31</v>
      </c>
      <c r="P659" s="64">
        <v>34</v>
      </c>
      <c r="Q659" s="64"/>
      <c r="R659" s="65" t="str">
        <f t="shared" si="19"/>
        <v>Week 4</v>
      </c>
      <c r="S659" s="65" t="str">
        <f>TEXT(Table8[[#This Row],[Date Day]],"mmm,YYYY")</f>
        <v>Jan,2011</v>
      </c>
    </row>
    <row r="660" spans="1:19" ht="15.6" x14ac:dyDescent="0.3">
      <c r="A660" s="62">
        <v>627</v>
      </c>
      <c r="B660" s="63">
        <v>40571</v>
      </c>
      <c r="C660" s="64">
        <v>9</v>
      </c>
      <c r="D660" s="64" t="b">
        <f>IF(COUNTIF(AU$36:AU$52,Table8[[#This Row],[Date Day]]) &gt; 0, TRUE, FALSE)</f>
        <v>0</v>
      </c>
      <c r="E660" s="64">
        <f t="shared" si="18"/>
        <v>5</v>
      </c>
      <c r="F660" s="64">
        <v>1</v>
      </c>
      <c r="G660" s="65" t="str">
        <f>IF(Table8[[#This Row],[Weathersit]]=1, "BAD", IF(Table8[[#This Row],[Weathersit]]=2, "MODERATE", IF(Table8[[#This Row],[Weathersit]]=3, "GOOD")))</f>
        <v>BAD</v>
      </c>
      <c r="H660" s="64">
        <v>18</v>
      </c>
      <c r="I660" s="65" t="str">
        <f>IF(Table8[[#This Row],[Temp]]&lt;11, "COLD", IF(Table8[[#This Row],[Temp]]&lt;=25, "COMFORTABLE", "WARM"))</f>
        <v>COMFORTABLE</v>
      </c>
      <c r="J660" s="64">
        <v>0.21210000000000001</v>
      </c>
      <c r="K660" s="64">
        <v>0.59</v>
      </c>
      <c r="L660" s="66">
        <v>8.9599999999999991</v>
      </c>
      <c r="M660" s="75" t="s">
        <v>80</v>
      </c>
      <c r="N660" s="64">
        <v>0</v>
      </c>
      <c r="O660" s="64">
        <v>34</v>
      </c>
      <c r="P660" s="64">
        <v>34</v>
      </c>
      <c r="Q660" s="64"/>
      <c r="R660" s="65" t="str">
        <f t="shared" si="19"/>
        <v>Week 4</v>
      </c>
      <c r="S660" s="65" t="str">
        <f>TEXT(Table8[[#This Row],[Date Day]],"mmm,YYYY")</f>
        <v>Jan,2011</v>
      </c>
    </row>
    <row r="661" spans="1:19" ht="15.6" x14ac:dyDescent="0.3">
      <c r="A661" s="62">
        <v>628</v>
      </c>
      <c r="B661" s="63">
        <v>40571</v>
      </c>
      <c r="C661" s="64">
        <v>10</v>
      </c>
      <c r="D661" s="64" t="b">
        <f>IF(COUNTIF(AU$36:AU$52,Table8[[#This Row],[Date Day]]) &gt; 0, TRUE, FALSE)</f>
        <v>0</v>
      </c>
      <c r="E661" s="64">
        <f t="shared" si="18"/>
        <v>5</v>
      </c>
      <c r="F661" s="64">
        <v>2</v>
      </c>
      <c r="G661" s="65" t="str">
        <f>IF(Table8[[#This Row],[Weathersit]]=1, "BAD", IF(Table8[[#This Row],[Weathersit]]=2, "MODERATE", IF(Table8[[#This Row],[Weathersit]]=3, "GOOD")))</f>
        <v>MODERATE</v>
      </c>
      <c r="H661" s="64">
        <v>18</v>
      </c>
      <c r="I661" s="65" t="str">
        <f>IF(Table8[[#This Row],[Temp]]&lt;11, "COLD", IF(Table8[[#This Row],[Temp]]&lt;=25, "COMFORTABLE", "WARM"))</f>
        <v>COMFORTABLE</v>
      </c>
      <c r="J661" s="64">
        <v>0.21210000000000001</v>
      </c>
      <c r="K661" s="64">
        <v>0.64</v>
      </c>
      <c r="L661" s="66">
        <v>10.45</v>
      </c>
      <c r="M661" s="75" t="s">
        <v>80</v>
      </c>
      <c r="N661" s="64">
        <v>4</v>
      </c>
      <c r="O661" s="64">
        <v>51</v>
      </c>
      <c r="P661" s="64">
        <v>55</v>
      </c>
      <c r="Q661" s="64"/>
      <c r="R661" s="65" t="str">
        <f t="shared" si="19"/>
        <v>Week 4</v>
      </c>
      <c r="S661" s="65" t="str">
        <f>TEXT(Table8[[#This Row],[Date Day]],"mmm,YYYY")</f>
        <v>Jan,2011</v>
      </c>
    </row>
    <row r="662" spans="1:19" ht="15.6" x14ac:dyDescent="0.3">
      <c r="A662" s="62">
        <v>629</v>
      </c>
      <c r="B662" s="63">
        <v>40571</v>
      </c>
      <c r="C662" s="64">
        <v>11</v>
      </c>
      <c r="D662" s="64" t="b">
        <f>IF(COUNTIF(AU$36:AU$52,Table8[[#This Row],[Date Day]]) &gt; 0, TRUE, FALSE)</f>
        <v>0</v>
      </c>
      <c r="E662" s="64">
        <f t="shared" si="18"/>
        <v>5</v>
      </c>
      <c r="F662" s="64">
        <v>2</v>
      </c>
      <c r="G662" s="65" t="str">
        <f>IF(Table8[[#This Row],[Weathersit]]=1, "BAD", IF(Table8[[#This Row],[Weathersit]]=2, "MODERATE", IF(Table8[[#This Row],[Weathersit]]=3, "GOOD")))</f>
        <v>MODERATE</v>
      </c>
      <c r="H662" s="64">
        <v>18</v>
      </c>
      <c r="I662" s="65" t="str">
        <f>IF(Table8[[#This Row],[Temp]]&lt;11, "COLD", IF(Table8[[#This Row],[Temp]]&lt;=25, "COMFORTABLE", "WARM"))</f>
        <v>COMFORTABLE</v>
      </c>
      <c r="J662" s="64">
        <v>0.19700000000000001</v>
      </c>
      <c r="K662" s="64">
        <v>0.64</v>
      </c>
      <c r="L662" s="66">
        <v>13.43</v>
      </c>
      <c r="M662" s="75" t="s">
        <v>80</v>
      </c>
      <c r="N662" s="64">
        <v>4</v>
      </c>
      <c r="O662" s="64">
        <v>60</v>
      </c>
      <c r="P662" s="64">
        <v>64</v>
      </c>
      <c r="Q662" s="64"/>
      <c r="R662" s="65" t="str">
        <f t="shared" si="19"/>
        <v>Week 4</v>
      </c>
      <c r="S662" s="65" t="str">
        <f>TEXT(Table8[[#This Row],[Date Day]],"mmm,YYYY")</f>
        <v>Jan,2011</v>
      </c>
    </row>
    <row r="663" spans="1:19" ht="15.6" x14ac:dyDescent="0.3">
      <c r="A663" s="62">
        <v>630</v>
      </c>
      <c r="B663" s="63">
        <v>40571</v>
      </c>
      <c r="C663" s="64">
        <v>12</v>
      </c>
      <c r="D663" s="64" t="b">
        <f>IF(COUNTIF(AU$36:AU$52,Table8[[#This Row],[Date Day]]) &gt; 0, TRUE, FALSE)</f>
        <v>0</v>
      </c>
      <c r="E663" s="64">
        <f t="shared" si="18"/>
        <v>5</v>
      </c>
      <c r="F663" s="64">
        <v>2</v>
      </c>
      <c r="G663" s="65" t="str">
        <f>IF(Table8[[#This Row],[Weathersit]]=1, "BAD", IF(Table8[[#This Row],[Weathersit]]=2, "MODERATE", IF(Table8[[#This Row],[Weathersit]]=3, "GOOD")))</f>
        <v>MODERATE</v>
      </c>
      <c r="H663" s="64">
        <v>20</v>
      </c>
      <c r="I663" s="65" t="str">
        <f>IF(Table8[[#This Row],[Temp]]&lt;11, "COLD", IF(Table8[[#This Row],[Temp]]&lt;=25, "COMFORTABLE", "WARM"))</f>
        <v>COMFORTABLE</v>
      </c>
      <c r="J663" s="64">
        <v>0.19700000000000001</v>
      </c>
      <c r="K663" s="64">
        <v>0.59</v>
      </c>
      <c r="L663" s="66">
        <v>19.400000000000002</v>
      </c>
      <c r="M663" s="75" t="s">
        <v>80</v>
      </c>
      <c r="N663" s="64">
        <v>12</v>
      </c>
      <c r="O663" s="64">
        <v>66</v>
      </c>
      <c r="P663" s="64">
        <v>78</v>
      </c>
      <c r="Q663" s="64"/>
      <c r="R663" s="65" t="str">
        <f t="shared" si="19"/>
        <v>Week 4</v>
      </c>
      <c r="S663" s="65" t="str">
        <f>TEXT(Table8[[#This Row],[Date Day]],"mmm,YYYY")</f>
        <v>Jan,2011</v>
      </c>
    </row>
    <row r="664" spans="1:19" ht="15.6" x14ac:dyDescent="0.3">
      <c r="A664" s="62">
        <v>631</v>
      </c>
      <c r="B664" s="63">
        <v>40571</v>
      </c>
      <c r="C664" s="64">
        <v>13</v>
      </c>
      <c r="D664" s="64" t="b">
        <f>IF(COUNTIF(AU$36:AU$52,Table8[[#This Row],[Date Day]]) &gt; 0, TRUE, FALSE)</f>
        <v>0</v>
      </c>
      <c r="E664" s="64">
        <f t="shared" si="18"/>
        <v>5</v>
      </c>
      <c r="F664" s="64">
        <v>2</v>
      </c>
      <c r="G664" s="65" t="str">
        <f>IF(Table8[[#This Row],[Weathersit]]=1, "BAD", IF(Table8[[#This Row],[Weathersit]]=2, "MODERATE", IF(Table8[[#This Row],[Weathersit]]=3, "GOOD")))</f>
        <v>MODERATE</v>
      </c>
      <c r="H664" s="64">
        <v>22</v>
      </c>
      <c r="I664" s="65" t="str">
        <f>IF(Table8[[#This Row],[Temp]]&lt;11, "COLD", IF(Table8[[#This Row],[Temp]]&lt;=25, "COMFORTABLE", "WARM"))</f>
        <v>COMFORTABLE</v>
      </c>
      <c r="J664" s="64">
        <v>0.2273</v>
      </c>
      <c r="K664" s="64">
        <v>0.55000000000000004</v>
      </c>
      <c r="L664" s="66">
        <v>16.420000000000002</v>
      </c>
      <c r="M664" s="75" t="s">
        <v>80</v>
      </c>
      <c r="N664" s="64">
        <v>9</v>
      </c>
      <c r="O664" s="64">
        <v>56</v>
      </c>
      <c r="P664" s="64">
        <v>65</v>
      </c>
      <c r="Q664" s="64"/>
      <c r="R664" s="65" t="str">
        <f t="shared" si="19"/>
        <v>Week 4</v>
      </c>
      <c r="S664" s="65" t="str">
        <f>TEXT(Table8[[#This Row],[Date Day]],"mmm,YYYY")</f>
        <v>Jan,2011</v>
      </c>
    </row>
    <row r="665" spans="1:19" ht="15.6" x14ac:dyDescent="0.3">
      <c r="A665" s="62">
        <v>632</v>
      </c>
      <c r="B665" s="63">
        <v>40571</v>
      </c>
      <c r="C665" s="64">
        <v>14</v>
      </c>
      <c r="D665" s="64" t="b">
        <f>IF(COUNTIF(AU$36:AU$52,Table8[[#This Row],[Date Day]]) &gt; 0, TRUE, FALSE)</f>
        <v>0</v>
      </c>
      <c r="E665" s="64">
        <f t="shared" si="18"/>
        <v>5</v>
      </c>
      <c r="F665" s="64">
        <v>2</v>
      </c>
      <c r="G665" s="65" t="str">
        <f>IF(Table8[[#This Row],[Weathersit]]=1, "BAD", IF(Table8[[#This Row],[Weathersit]]=2, "MODERATE", IF(Table8[[#This Row],[Weathersit]]=3, "GOOD")))</f>
        <v>MODERATE</v>
      </c>
      <c r="H665" s="64">
        <v>22</v>
      </c>
      <c r="I665" s="65" t="str">
        <f>IF(Table8[[#This Row],[Temp]]&lt;11, "COLD", IF(Table8[[#This Row],[Temp]]&lt;=25, "COMFORTABLE", "WARM"))</f>
        <v>COMFORTABLE</v>
      </c>
      <c r="J665" s="64">
        <v>0.2273</v>
      </c>
      <c r="K665" s="64">
        <v>0.6</v>
      </c>
      <c r="L665" s="66">
        <v>13.43</v>
      </c>
      <c r="M665" s="75" t="s">
        <v>80</v>
      </c>
      <c r="N665" s="64">
        <v>10</v>
      </c>
      <c r="O665" s="64">
        <v>89</v>
      </c>
      <c r="P665" s="64">
        <v>99</v>
      </c>
      <c r="Q665" s="64"/>
      <c r="R665" s="65" t="str">
        <f t="shared" si="19"/>
        <v>Week 4</v>
      </c>
      <c r="S665" s="65" t="str">
        <f>TEXT(Table8[[#This Row],[Date Day]],"mmm,YYYY")</f>
        <v>Jan,2011</v>
      </c>
    </row>
    <row r="666" spans="1:19" ht="15.6" x14ac:dyDescent="0.3">
      <c r="A666" s="62">
        <v>633</v>
      </c>
      <c r="B666" s="63">
        <v>40571</v>
      </c>
      <c r="C666" s="64">
        <v>15</v>
      </c>
      <c r="D666" s="64" t="b">
        <f>IF(COUNTIF(AU$36:AU$52,Table8[[#This Row],[Date Day]]) &gt; 0, TRUE, FALSE)</f>
        <v>0</v>
      </c>
      <c r="E666" s="64">
        <f t="shared" si="18"/>
        <v>5</v>
      </c>
      <c r="F666" s="64">
        <v>1</v>
      </c>
      <c r="G666" s="65" t="str">
        <f>IF(Table8[[#This Row],[Weathersit]]=1, "BAD", IF(Table8[[#This Row],[Weathersit]]=2, "MODERATE", IF(Table8[[#This Row],[Weathersit]]=3, "GOOD")))</f>
        <v>BAD</v>
      </c>
      <c r="H666" s="64">
        <v>22</v>
      </c>
      <c r="I666" s="65" t="str">
        <f>IF(Table8[[#This Row],[Temp]]&lt;11, "COLD", IF(Table8[[#This Row],[Temp]]&lt;=25, "COMFORTABLE", "WARM"))</f>
        <v>COMFORTABLE</v>
      </c>
      <c r="J666" s="64">
        <v>0.21210000000000001</v>
      </c>
      <c r="K666" s="64">
        <v>0.69</v>
      </c>
      <c r="L666" s="66">
        <v>25.369999999999997</v>
      </c>
      <c r="M666" s="75" t="s">
        <v>81</v>
      </c>
      <c r="N666" s="64">
        <v>22</v>
      </c>
      <c r="O666" s="64">
        <v>98</v>
      </c>
      <c r="P666" s="64">
        <v>120</v>
      </c>
      <c r="Q666" s="64"/>
      <c r="R666" s="65" t="str">
        <f t="shared" si="19"/>
        <v>Week 4</v>
      </c>
      <c r="S666" s="65" t="str">
        <f>TEXT(Table8[[#This Row],[Date Day]],"mmm,YYYY")</f>
        <v>Jan,2011</v>
      </c>
    </row>
    <row r="667" spans="1:19" ht="15.6" x14ac:dyDescent="0.3">
      <c r="A667" s="62">
        <v>634</v>
      </c>
      <c r="B667" s="63">
        <v>40571</v>
      </c>
      <c r="C667" s="64">
        <v>16</v>
      </c>
      <c r="D667" s="64" t="b">
        <f>IF(COUNTIF(AU$36:AU$52,Table8[[#This Row],[Date Day]]) &gt; 0, TRUE, FALSE)</f>
        <v>0</v>
      </c>
      <c r="E667" s="64">
        <f t="shared" si="18"/>
        <v>5</v>
      </c>
      <c r="F667" s="64">
        <v>1</v>
      </c>
      <c r="G667" s="65" t="str">
        <f>IF(Table8[[#This Row],[Weathersit]]=1, "BAD", IF(Table8[[#This Row],[Weathersit]]=2, "MODERATE", IF(Table8[[#This Row],[Weathersit]]=3, "GOOD")))</f>
        <v>BAD</v>
      </c>
      <c r="H667" s="64">
        <v>24</v>
      </c>
      <c r="I667" s="65" t="str">
        <f>IF(Table8[[#This Row],[Temp]]&lt;11, "COLD", IF(Table8[[#This Row],[Temp]]&lt;=25, "COMFORTABLE", "WARM"))</f>
        <v>COMFORTABLE</v>
      </c>
      <c r="J667" s="64">
        <v>0.2424</v>
      </c>
      <c r="K667" s="64">
        <v>0.6</v>
      </c>
      <c r="L667" s="66">
        <v>16.420000000000002</v>
      </c>
      <c r="M667" s="75" t="s">
        <v>80</v>
      </c>
      <c r="N667" s="64">
        <v>19</v>
      </c>
      <c r="O667" s="64">
        <v>88</v>
      </c>
      <c r="P667" s="64">
        <v>107</v>
      </c>
      <c r="Q667" s="64"/>
      <c r="R667" s="65" t="str">
        <f t="shared" si="19"/>
        <v>Week 4</v>
      </c>
      <c r="S667" s="65" t="str">
        <f>TEXT(Table8[[#This Row],[Date Day]],"mmm,YYYY")</f>
        <v>Jan,2011</v>
      </c>
    </row>
    <row r="668" spans="1:19" ht="15.6" x14ac:dyDescent="0.3">
      <c r="A668" s="62">
        <v>635</v>
      </c>
      <c r="B668" s="63">
        <v>40571</v>
      </c>
      <c r="C668" s="64">
        <v>17</v>
      </c>
      <c r="D668" s="64" t="b">
        <f>IF(COUNTIF(AU$36:AU$52,Table8[[#This Row],[Date Day]]) &gt; 0, TRUE, FALSE)</f>
        <v>0</v>
      </c>
      <c r="E668" s="64">
        <f t="shared" si="18"/>
        <v>5</v>
      </c>
      <c r="F668" s="64">
        <v>1</v>
      </c>
      <c r="G668" s="65" t="str">
        <f>IF(Table8[[#This Row],[Weathersit]]=1, "BAD", IF(Table8[[#This Row],[Weathersit]]=2, "MODERATE", IF(Table8[[#This Row],[Weathersit]]=3, "GOOD")))</f>
        <v>BAD</v>
      </c>
      <c r="H668" s="64">
        <v>24</v>
      </c>
      <c r="I668" s="65" t="str">
        <f>IF(Table8[[#This Row],[Temp]]&lt;11, "COLD", IF(Table8[[#This Row],[Temp]]&lt;=25, "COMFORTABLE", "WARM"))</f>
        <v>COMFORTABLE</v>
      </c>
      <c r="J668" s="64">
        <v>0.28789999999999999</v>
      </c>
      <c r="K668" s="64">
        <v>0.6</v>
      </c>
      <c r="L668" s="66">
        <v>17.94158974358977</v>
      </c>
      <c r="M668" s="75" t="s">
        <v>80</v>
      </c>
      <c r="N668" s="64">
        <v>9</v>
      </c>
      <c r="O668" s="64">
        <v>82</v>
      </c>
      <c r="P668" s="64">
        <v>91</v>
      </c>
      <c r="Q668" s="64"/>
      <c r="R668" s="65" t="str">
        <f t="shared" si="19"/>
        <v>Week 4</v>
      </c>
      <c r="S668" s="65" t="str">
        <f>TEXT(Table8[[#This Row],[Date Day]],"mmm,YYYY")</f>
        <v>Jan,2011</v>
      </c>
    </row>
    <row r="669" spans="1:19" ht="15.6" x14ac:dyDescent="0.3">
      <c r="A669" s="62">
        <v>636</v>
      </c>
      <c r="B669" s="63">
        <v>40571</v>
      </c>
      <c r="C669" s="64">
        <v>18</v>
      </c>
      <c r="D669" s="64" t="b">
        <f>IF(COUNTIF(AU$36:AU$52,Table8[[#This Row],[Date Day]]) &gt; 0, TRUE, FALSE)</f>
        <v>0</v>
      </c>
      <c r="E669" s="64">
        <f t="shared" si="18"/>
        <v>5</v>
      </c>
      <c r="F669" s="64">
        <v>1</v>
      </c>
      <c r="G669" s="65" t="str">
        <f>IF(Table8[[#This Row],[Weathersit]]=1, "BAD", IF(Table8[[#This Row],[Weathersit]]=2, "MODERATE", IF(Table8[[#This Row],[Weathersit]]=3, "GOOD")))</f>
        <v>BAD</v>
      </c>
      <c r="H669" s="64">
        <v>22</v>
      </c>
      <c r="I669" s="65" t="str">
        <f>IF(Table8[[#This Row],[Temp]]&lt;11, "COLD", IF(Table8[[#This Row],[Temp]]&lt;=25, "COMFORTABLE", "WARM"))</f>
        <v>COMFORTABLE</v>
      </c>
      <c r="J669" s="64">
        <v>0.2273</v>
      </c>
      <c r="K669" s="64">
        <v>0.69</v>
      </c>
      <c r="L669" s="66">
        <v>13.43</v>
      </c>
      <c r="M669" s="75" t="s">
        <v>80</v>
      </c>
      <c r="N669" s="64">
        <v>9</v>
      </c>
      <c r="O669" s="64">
        <v>59</v>
      </c>
      <c r="P669" s="64">
        <v>68</v>
      </c>
      <c r="Q669" s="64"/>
      <c r="R669" s="65" t="str">
        <f t="shared" si="19"/>
        <v>Week 4</v>
      </c>
      <c r="S669" s="65" t="str">
        <f>TEXT(Table8[[#This Row],[Date Day]],"mmm,YYYY")</f>
        <v>Jan,2011</v>
      </c>
    </row>
    <row r="670" spans="1:19" ht="15.6" x14ac:dyDescent="0.3">
      <c r="A670" s="62">
        <v>637</v>
      </c>
      <c r="B670" s="63">
        <v>40571</v>
      </c>
      <c r="C670" s="64">
        <v>19</v>
      </c>
      <c r="D670" s="64" t="b">
        <f>IF(COUNTIF(AU$36:AU$52,Table8[[#This Row],[Date Day]]) &gt; 0, TRUE, FALSE)</f>
        <v>0</v>
      </c>
      <c r="E670" s="64">
        <f t="shared" si="18"/>
        <v>5</v>
      </c>
      <c r="F670" s="64">
        <v>2</v>
      </c>
      <c r="G670" s="65" t="str">
        <f>IF(Table8[[#This Row],[Weathersit]]=1, "BAD", IF(Table8[[#This Row],[Weathersit]]=2, "MODERATE", IF(Table8[[#This Row],[Weathersit]]=3, "GOOD")))</f>
        <v>MODERATE</v>
      </c>
      <c r="H670" s="64">
        <v>22</v>
      </c>
      <c r="I670" s="65" t="str">
        <f>IF(Table8[[#This Row],[Temp]]&lt;11, "COLD", IF(Table8[[#This Row],[Temp]]&lt;=25, "COMFORTABLE", "WARM"))</f>
        <v>COMFORTABLE</v>
      </c>
      <c r="J670" s="64">
        <v>0.21210000000000001</v>
      </c>
      <c r="K670" s="64">
        <v>0.69</v>
      </c>
      <c r="L670" s="66">
        <v>25.369999999999997</v>
      </c>
      <c r="M670" s="75" t="s">
        <v>81</v>
      </c>
      <c r="N670" s="64">
        <v>6</v>
      </c>
      <c r="O670" s="64">
        <v>52</v>
      </c>
      <c r="P670" s="64">
        <v>58</v>
      </c>
      <c r="Q670" s="64"/>
      <c r="R670" s="65" t="str">
        <f t="shared" si="19"/>
        <v>Week 4</v>
      </c>
      <c r="S670" s="65" t="str">
        <f>TEXT(Table8[[#This Row],[Date Day]],"mmm,YYYY")</f>
        <v>Jan,2011</v>
      </c>
    </row>
    <row r="671" spans="1:19" ht="15.6" x14ac:dyDescent="0.3">
      <c r="A671" s="62">
        <v>638</v>
      </c>
      <c r="B671" s="63">
        <v>40571</v>
      </c>
      <c r="C671" s="64">
        <v>20</v>
      </c>
      <c r="D671" s="64" t="b">
        <f>IF(COUNTIF(AU$36:AU$52,Table8[[#This Row],[Date Day]]) &gt; 0, TRUE, FALSE)</f>
        <v>0</v>
      </c>
      <c r="E671" s="64">
        <f t="shared" si="18"/>
        <v>5</v>
      </c>
      <c r="F671" s="64">
        <v>1</v>
      </c>
      <c r="G671" s="65" t="str">
        <f>IF(Table8[[#This Row],[Weathersit]]=1, "BAD", IF(Table8[[#This Row],[Weathersit]]=2, "MODERATE", IF(Table8[[#This Row],[Weathersit]]=3, "GOOD")))</f>
        <v>BAD</v>
      </c>
      <c r="H671" s="64">
        <v>18</v>
      </c>
      <c r="I671" s="65" t="str">
        <f>IF(Table8[[#This Row],[Temp]]&lt;11, "COLD", IF(Table8[[#This Row],[Temp]]&lt;=25, "COMFORTABLE", "WARM"))</f>
        <v>COMFORTABLE</v>
      </c>
      <c r="J671" s="64">
        <v>0.21210000000000001</v>
      </c>
      <c r="K671" s="64">
        <v>0.74</v>
      </c>
      <c r="L671" s="66">
        <v>8.9599999999999991</v>
      </c>
      <c r="M671" s="75" t="s">
        <v>80</v>
      </c>
      <c r="N671" s="64">
        <v>1</v>
      </c>
      <c r="O671" s="64">
        <v>42</v>
      </c>
      <c r="P671" s="64">
        <v>43</v>
      </c>
      <c r="Q671" s="64"/>
      <c r="R671" s="65" t="str">
        <f t="shared" si="19"/>
        <v>Week 4</v>
      </c>
      <c r="S671" s="65" t="str">
        <f>TEXT(Table8[[#This Row],[Date Day]],"mmm,YYYY")</f>
        <v>Jan,2011</v>
      </c>
    </row>
    <row r="672" spans="1:19" ht="15.6" x14ac:dyDescent="0.3">
      <c r="A672" s="62">
        <v>639</v>
      </c>
      <c r="B672" s="63">
        <v>40571</v>
      </c>
      <c r="C672" s="64">
        <v>21</v>
      </c>
      <c r="D672" s="64" t="b">
        <f>IF(COUNTIF(AU$36:AU$52,Table8[[#This Row],[Date Day]]) &gt; 0, TRUE, FALSE)</f>
        <v>0</v>
      </c>
      <c r="E672" s="64">
        <f t="shared" si="18"/>
        <v>5</v>
      </c>
      <c r="F672" s="64">
        <v>1</v>
      </c>
      <c r="G672" s="65" t="str">
        <f>IF(Table8[[#This Row],[Weathersit]]=1, "BAD", IF(Table8[[#This Row],[Weathersit]]=2, "MODERATE", IF(Table8[[#This Row],[Weathersit]]=3, "GOOD")))</f>
        <v>BAD</v>
      </c>
      <c r="H672" s="64">
        <v>18</v>
      </c>
      <c r="I672" s="65" t="str">
        <f>IF(Table8[[#This Row],[Temp]]&lt;11, "COLD", IF(Table8[[#This Row],[Temp]]&lt;=25, "COMFORTABLE", "WARM"))</f>
        <v>COMFORTABLE</v>
      </c>
      <c r="J672" s="64">
        <v>0.21210000000000001</v>
      </c>
      <c r="K672" s="64">
        <v>0.74</v>
      </c>
      <c r="L672" s="66">
        <v>8.9599999999999991</v>
      </c>
      <c r="M672" s="75" t="s">
        <v>80</v>
      </c>
      <c r="N672" s="64">
        <v>1</v>
      </c>
      <c r="O672" s="64">
        <v>35</v>
      </c>
      <c r="P672" s="64">
        <v>36</v>
      </c>
      <c r="Q672" s="64"/>
      <c r="R672" s="65" t="str">
        <f t="shared" si="19"/>
        <v>Week 4</v>
      </c>
      <c r="S672" s="65" t="str">
        <f>TEXT(Table8[[#This Row],[Date Day]],"mmm,YYYY")</f>
        <v>Jan,2011</v>
      </c>
    </row>
    <row r="673" spans="1:19" ht="15.6" x14ac:dyDescent="0.3">
      <c r="A673" s="62">
        <v>640</v>
      </c>
      <c r="B673" s="63">
        <v>40571</v>
      </c>
      <c r="C673" s="64">
        <v>22</v>
      </c>
      <c r="D673" s="64" t="b">
        <f>IF(COUNTIF(AU$36:AU$52,Table8[[#This Row],[Date Day]]) &gt; 0, TRUE, FALSE)</f>
        <v>0</v>
      </c>
      <c r="E673" s="64">
        <f t="shared" si="18"/>
        <v>5</v>
      </c>
      <c r="F673" s="64">
        <v>1</v>
      </c>
      <c r="G673" s="65" t="str">
        <f>IF(Table8[[#This Row],[Weathersit]]=1, "BAD", IF(Table8[[#This Row],[Weathersit]]=2, "MODERATE", IF(Table8[[#This Row],[Weathersit]]=3, "GOOD")))</f>
        <v>BAD</v>
      </c>
      <c r="H673" s="64">
        <v>16</v>
      </c>
      <c r="I673" s="65" t="str">
        <f>IF(Table8[[#This Row],[Temp]]&lt;11, "COLD", IF(Table8[[#This Row],[Temp]]&lt;=25, "COMFORTABLE", "WARM"))</f>
        <v>COMFORTABLE</v>
      </c>
      <c r="J673" s="64">
        <v>0.19700000000000001</v>
      </c>
      <c r="K673" s="64">
        <v>0.8</v>
      </c>
      <c r="L673" s="66">
        <v>8.9599999999999991</v>
      </c>
      <c r="M673" s="75" t="s">
        <v>80</v>
      </c>
      <c r="N673" s="64">
        <v>4</v>
      </c>
      <c r="O673" s="64">
        <v>28</v>
      </c>
      <c r="P673" s="64">
        <v>32</v>
      </c>
      <c r="Q673" s="64"/>
      <c r="R673" s="65" t="str">
        <f t="shared" si="19"/>
        <v>Week 4</v>
      </c>
      <c r="S673" s="65" t="str">
        <f>TEXT(Table8[[#This Row],[Date Day]],"mmm,YYYY")</f>
        <v>Jan,2011</v>
      </c>
    </row>
    <row r="674" spans="1:19" ht="15.6" x14ac:dyDescent="0.3">
      <c r="A674" s="62">
        <v>641</v>
      </c>
      <c r="B674" s="63">
        <v>40571</v>
      </c>
      <c r="C674" s="64">
        <v>23</v>
      </c>
      <c r="D674" s="64" t="b">
        <f>IF(COUNTIF(AU$36:AU$52,Table8[[#This Row],[Date Day]]) &gt; 0, TRUE, FALSE)</f>
        <v>0</v>
      </c>
      <c r="E674" s="64">
        <f t="shared" ref="E674:E737" si="20">WEEKDAY(B:B,2)</f>
        <v>5</v>
      </c>
      <c r="F674" s="64">
        <v>1</v>
      </c>
      <c r="G674" s="65" t="str">
        <f>IF(Table8[[#This Row],[Weathersit]]=1, "BAD", IF(Table8[[#This Row],[Weathersit]]=2, "MODERATE", IF(Table8[[#This Row],[Weathersit]]=3, "GOOD")))</f>
        <v>BAD</v>
      </c>
      <c r="H674" s="64">
        <v>16</v>
      </c>
      <c r="I674" s="65" t="str">
        <f>IF(Table8[[#This Row],[Temp]]&lt;11, "COLD", IF(Table8[[#This Row],[Temp]]&lt;=25, "COMFORTABLE", "WARM"))</f>
        <v>COMFORTABLE</v>
      </c>
      <c r="J674" s="64">
        <v>0.19700000000000001</v>
      </c>
      <c r="K674" s="64">
        <v>0.8</v>
      </c>
      <c r="L674" s="66">
        <v>8.9599999999999991</v>
      </c>
      <c r="M674" s="75" t="s">
        <v>80</v>
      </c>
      <c r="N674" s="64">
        <v>3</v>
      </c>
      <c r="O674" s="64">
        <v>30</v>
      </c>
      <c r="P674" s="64">
        <v>33</v>
      </c>
      <c r="Q674" s="64"/>
      <c r="R674" s="65" t="str">
        <f t="shared" ref="R674:R737" si="21">"Week " &amp; INT((DAY(B674)-1)/7)+1</f>
        <v>Week 4</v>
      </c>
      <c r="S674" s="65" t="str">
        <f>TEXT(Table8[[#This Row],[Date Day]],"mmm,YYYY")</f>
        <v>Jan,2011</v>
      </c>
    </row>
    <row r="675" spans="1:19" ht="15.6" x14ac:dyDescent="0.3">
      <c r="A675" s="62">
        <v>642</v>
      </c>
      <c r="B675" s="63">
        <v>40572</v>
      </c>
      <c r="C675" s="64">
        <v>0</v>
      </c>
      <c r="D675" s="64" t="b">
        <f>IF(COUNTIF(AU$36:AU$52,Table8[[#This Row],[Date Day]]) &gt; 0, TRUE, FALSE)</f>
        <v>0</v>
      </c>
      <c r="E675" s="64">
        <f t="shared" si="20"/>
        <v>6</v>
      </c>
      <c r="F675" s="64">
        <v>1</v>
      </c>
      <c r="G675" s="65" t="str">
        <f>IF(Table8[[#This Row],[Weathersit]]=1, "BAD", IF(Table8[[#This Row],[Weathersit]]=2, "MODERATE", IF(Table8[[#This Row],[Weathersit]]=3, "GOOD")))</f>
        <v>BAD</v>
      </c>
      <c r="H675" s="64">
        <v>16</v>
      </c>
      <c r="I675" s="65" t="str">
        <f>IF(Table8[[#This Row],[Temp]]&lt;11, "COLD", IF(Table8[[#This Row],[Temp]]&lt;=25, "COMFORTABLE", "WARM"))</f>
        <v>COMFORTABLE</v>
      </c>
      <c r="J675" s="64">
        <v>0.18179999999999999</v>
      </c>
      <c r="K675" s="64">
        <v>0.8</v>
      </c>
      <c r="L675" s="66">
        <v>10.45</v>
      </c>
      <c r="M675" s="75" t="s">
        <v>80</v>
      </c>
      <c r="N675" s="64">
        <v>0</v>
      </c>
      <c r="O675" s="64">
        <v>33</v>
      </c>
      <c r="P675" s="64">
        <v>33</v>
      </c>
      <c r="Q675" s="64"/>
      <c r="R675" s="65" t="str">
        <f t="shared" si="21"/>
        <v>Week 5</v>
      </c>
      <c r="S675" s="65" t="str">
        <f>TEXT(Table8[[#This Row],[Date Day]],"mmm,YYYY")</f>
        <v>Jan,2011</v>
      </c>
    </row>
    <row r="676" spans="1:19" ht="15.6" x14ac:dyDescent="0.3">
      <c r="A676" s="62">
        <v>643</v>
      </c>
      <c r="B676" s="63">
        <v>40572</v>
      </c>
      <c r="C676" s="64">
        <v>1</v>
      </c>
      <c r="D676" s="64" t="b">
        <f>IF(COUNTIF(AU$36:AU$52,Table8[[#This Row],[Date Day]]) &gt; 0, TRUE, FALSE)</f>
        <v>0</v>
      </c>
      <c r="E676" s="64">
        <f t="shared" si="20"/>
        <v>6</v>
      </c>
      <c r="F676" s="64">
        <v>1</v>
      </c>
      <c r="G676" s="65" t="str">
        <f>IF(Table8[[#This Row],[Weathersit]]=1, "BAD", IF(Table8[[#This Row],[Weathersit]]=2, "MODERATE", IF(Table8[[#This Row],[Weathersit]]=3, "GOOD")))</f>
        <v>BAD</v>
      </c>
      <c r="H676" s="64">
        <v>14.000000000000002</v>
      </c>
      <c r="I676" s="65" t="str">
        <f>IF(Table8[[#This Row],[Temp]]&lt;11, "COLD", IF(Table8[[#This Row],[Temp]]&lt;=25, "COMFORTABLE", "WARM"))</f>
        <v>COMFORTABLE</v>
      </c>
      <c r="J676" s="64">
        <v>0.21210000000000001</v>
      </c>
      <c r="K676" s="64">
        <v>0.8</v>
      </c>
      <c r="L676" s="66">
        <v>17.94158974358977</v>
      </c>
      <c r="M676" s="75" t="s">
        <v>80</v>
      </c>
      <c r="N676" s="64">
        <v>7</v>
      </c>
      <c r="O676" s="64">
        <v>22</v>
      </c>
      <c r="P676" s="64">
        <v>29</v>
      </c>
      <c r="Q676" s="64"/>
      <c r="R676" s="65" t="str">
        <f t="shared" si="21"/>
        <v>Week 5</v>
      </c>
      <c r="S676" s="65" t="str">
        <f>TEXT(Table8[[#This Row],[Date Day]],"mmm,YYYY")</f>
        <v>Jan,2011</v>
      </c>
    </row>
    <row r="677" spans="1:19" ht="15.6" x14ac:dyDescent="0.3">
      <c r="A677" s="62">
        <v>644</v>
      </c>
      <c r="B677" s="63">
        <v>40572</v>
      </c>
      <c r="C677" s="64">
        <v>2</v>
      </c>
      <c r="D677" s="64" t="b">
        <f>IF(COUNTIF(AU$36:AU$52,Table8[[#This Row],[Date Day]]) &gt; 0, TRUE, FALSE)</f>
        <v>0</v>
      </c>
      <c r="E677" s="64">
        <f t="shared" si="20"/>
        <v>6</v>
      </c>
      <c r="F677" s="64">
        <v>1</v>
      </c>
      <c r="G677" s="65" t="str">
        <f>IF(Table8[[#This Row],[Weathersit]]=1, "BAD", IF(Table8[[#This Row],[Weathersit]]=2, "MODERATE", IF(Table8[[#This Row],[Weathersit]]=3, "GOOD")))</f>
        <v>BAD</v>
      </c>
      <c r="H677" s="64">
        <v>16</v>
      </c>
      <c r="I677" s="65" t="str">
        <f>IF(Table8[[#This Row],[Temp]]&lt;11, "COLD", IF(Table8[[#This Row],[Temp]]&lt;=25, "COMFORTABLE", "WARM"))</f>
        <v>COMFORTABLE</v>
      </c>
      <c r="J677" s="64">
        <v>0.2273</v>
      </c>
      <c r="K677" s="64">
        <v>0.8</v>
      </c>
      <c r="L677" s="66">
        <v>17.94158974358977</v>
      </c>
      <c r="M677" s="75" t="s">
        <v>80</v>
      </c>
      <c r="N677" s="64">
        <v>1</v>
      </c>
      <c r="O677" s="64">
        <v>10</v>
      </c>
      <c r="P677" s="64">
        <v>11</v>
      </c>
      <c r="Q677" s="64"/>
      <c r="R677" s="65" t="str">
        <f t="shared" si="21"/>
        <v>Week 5</v>
      </c>
      <c r="S677" s="65" t="str">
        <f>TEXT(Table8[[#This Row],[Date Day]],"mmm,YYYY")</f>
        <v>Jan,2011</v>
      </c>
    </row>
    <row r="678" spans="1:19" ht="15.6" x14ac:dyDescent="0.3">
      <c r="A678" s="62">
        <v>645</v>
      </c>
      <c r="B678" s="63">
        <v>40572</v>
      </c>
      <c r="C678" s="64">
        <v>3</v>
      </c>
      <c r="D678" s="64" t="b">
        <f>IF(COUNTIF(AU$36:AU$52,Table8[[#This Row],[Date Day]]) &gt; 0, TRUE, FALSE)</f>
        <v>0</v>
      </c>
      <c r="E678" s="64">
        <f t="shared" si="20"/>
        <v>6</v>
      </c>
      <c r="F678" s="64">
        <v>1</v>
      </c>
      <c r="G678" s="65" t="str">
        <f>IF(Table8[[#This Row],[Weathersit]]=1, "BAD", IF(Table8[[#This Row],[Weathersit]]=2, "MODERATE", IF(Table8[[#This Row],[Weathersit]]=3, "GOOD")))</f>
        <v>BAD</v>
      </c>
      <c r="H678" s="64">
        <v>14.000000000000002</v>
      </c>
      <c r="I678" s="65" t="str">
        <f>IF(Table8[[#This Row],[Temp]]&lt;11, "COLD", IF(Table8[[#This Row],[Temp]]&lt;=25, "COMFORTABLE", "WARM"))</f>
        <v>COMFORTABLE</v>
      </c>
      <c r="J678" s="64">
        <v>0.21210000000000001</v>
      </c>
      <c r="K678" s="64">
        <v>0.93</v>
      </c>
      <c r="L678" s="66">
        <v>17.94158974358977</v>
      </c>
      <c r="M678" s="75" t="s">
        <v>80</v>
      </c>
      <c r="N678" s="64">
        <v>1</v>
      </c>
      <c r="O678" s="64">
        <v>7</v>
      </c>
      <c r="P678" s="64">
        <v>8</v>
      </c>
      <c r="Q678" s="64"/>
      <c r="R678" s="65" t="str">
        <f t="shared" si="21"/>
        <v>Week 5</v>
      </c>
      <c r="S678" s="65" t="str">
        <f>TEXT(Table8[[#This Row],[Date Day]],"mmm,YYYY")</f>
        <v>Jan,2011</v>
      </c>
    </row>
    <row r="679" spans="1:19" ht="15.6" x14ac:dyDescent="0.3">
      <c r="A679" s="62">
        <v>646</v>
      </c>
      <c r="B679" s="63">
        <v>40572</v>
      </c>
      <c r="C679" s="64">
        <v>4</v>
      </c>
      <c r="D679" s="64" t="b">
        <f>IF(COUNTIF(AU$36:AU$52,Table8[[#This Row],[Date Day]]) &gt; 0, TRUE, FALSE)</f>
        <v>0</v>
      </c>
      <c r="E679" s="64">
        <f t="shared" si="20"/>
        <v>6</v>
      </c>
      <c r="F679" s="64">
        <v>1</v>
      </c>
      <c r="G679" s="65" t="str">
        <f>IF(Table8[[#This Row],[Weathersit]]=1, "BAD", IF(Table8[[#This Row],[Weathersit]]=2, "MODERATE", IF(Table8[[#This Row],[Weathersit]]=3, "GOOD")))</f>
        <v>BAD</v>
      </c>
      <c r="H679" s="64">
        <v>14.000000000000002</v>
      </c>
      <c r="I679" s="65" t="str">
        <f>IF(Table8[[#This Row],[Temp]]&lt;11, "COLD", IF(Table8[[#This Row],[Temp]]&lt;=25, "COMFORTABLE", "WARM"))</f>
        <v>COMFORTABLE</v>
      </c>
      <c r="J679" s="64">
        <v>0.21210000000000001</v>
      </c>
      <c r="K679" s="64">
        <v>0.93</v>
      </c>
      <c r="L679" s="66">
        <v>17.94158974358977</v>
      </c>
      <c r="M679" s="75" t="s">
        <v>80</v>
      </c>
      <c r="N679" s="64">
        <v>0</v>
      </c>
      <c r="O679" s="64">
        <v>1</v>
      </c>
      <c r="P679" s="64">
        <v>1</v>
      </c>
      <c r="Q679" s="64"/>
      <c r="R679" s="65" t="str">
        <f t="shared" si="21"/>
        <v>Week 5</v>
      </c>
      <c r="S679" s="65" t="str">
        <f>TEXT(Table8[[#This Row],[Date Day]],"mmm,YYYY")</f>
        <v>Jan,2011</v>
      </c>
    </row>
    <row r="680" spans="1:19" ht="15.6" x14ac:dyDescent="0.3">
      <c r="A680" s="62">
        <v>647</v>
      </c>
      <c r="B680" s="63">
        <v>40572</v>
      </c>
      <c r="C680" s="64">
        <v>5</v>
      </c>
      <c r="D680" s="64" t="b">
        <f>IF(COUNTIF(AU$36:AU$52,Table8[[#This Row],[Date Day]]) &gt; 0, TRUE, FALSE)</f>
        <v>0</v>
      </c>
      <c r="E680" s="64">
        <f t="shared" si="20"/>
        <v>6</v>
      </c>
      <c r="F680" s="64">
        <v>1</v>
      </c>
      <c r="G680" s="65" t="str">
        <f>IF(Table8[[#This Row],[Weathersit]]=1, "BAD", IF(Table8[[#This Row],[Weathersit]]=2, "MODERATE", IF(Table8[[#This Row],[Weathersit]]=3, "GOOD")))</f>
        <v>BAD</v>
      </c>
      <c r="H680" s="64">
        <v>14.000000000000002</v>
      </c>
      <c r="I680" s="65" t="str">
        <f>IF(Table8[[#This Row],[Temp]]&lt;11, "COLD", IF(Table8[[#This Row],[Temp]]&lt;=25, "COMFORTABLE", "WARM"))</f>
        <v>COMFORTABLE</v>
      </c>
      <c r="J680" s="64">
        <v>0.21210000000000001</v>
      </c>
      <c r="K680" s="64">
        <v>0.86</v>
      </c>
      <c r="L680" s="66">
        <v>17.94158974358977</v>
      </c>
      <c r="M680" s="75" t="s">
        <v>80</v>
      </c>
      <c r="N680" s="64">
        <v>0</v>
      </c>
      <c r="O680" s="64">
        <v>3</v>
      </c>
      <c r="P680" s="64">
        <v>3</v>
      </c>
      <c r="Q680" s="64"/>
      <c r="R680" s="65" t="str">
        <f t="shared" si="21"/>
        <v>Week 5</v>
      </c>
      <c r="S680" s="65" t="str">
        <f>TEXT(Table8[[#This Row],[Date Day]],"mmm,YYYY")</f>
        <v>Jan,2011</v>
      </c>
    </row>
    <row r="681" spans="1:19" ht="15.6" x14ac:dyDescent="0.3">
      <c r="A681" s="62">
        <v>648</v>
      </c>
      <c r="B681" s="63">
        <v>40572</v>
      </c>
      <c r="C681" s="64">
        <v>7</v>
      </c>
      <c r="D681" s="64" t="b">
        <f>IF(COUNTIF(AU$36:AU$52,Table8[[#This Row],[Date Day]]) &gt; 0, TRUE, FALSE)</f>
        <v>0</v>
      </c>
      <c r="E681" s="64">
        <f t="shared" si="20"/>
        <v>6</v>
      </c>
      <c r="F681" s="64">
        <v>1</v>
      </c>
      <c r="G681" s="65" t="str">
        <f>IF(Table8[[#This Row],[Weathersit]]=1, "BAD", IF(Table8[[#This Row],[Weathersit]]=2, "MODERATE", IF(Table8[[#This Row],[Weathersit]]=3, "GOOD")))</f>
        <v>BAD</v>
      </c>
      <c r="H681" s="64">
        <v>14.000000000000002</v>
      </c>
      <c r="I681" s="65" t="str">
        <f>IF(Table8[[#This Row],[Temp]]&lt;11, "COLD", IF(Table8[[#This Row],[Temp]]&lt;=25, "COMFORTABLE", "WARM"))</f>
        <v>COMFORTABLE</v>
      </c>
      <c r="J681" s="64">
        <v>0.21210000000000001</v>
      </c>
      <c r="K681" s="64">
        <v>0.86</v>
      </c>
      <c r="L681" s="66">
        <v>17.94158974358977</v>
      </c>
      <c r="M681" s="75" t="s">
        <v>80</v>
      </c>
      <c r="N681" s="64">
        <v>0</v>
      </c>
      <c r="O681" s="64">
        <v>3</v>
      </c>
      <c r="P681" s="64">
        <v>3</v>
      </c>
      <c r="Q681" s="64"/>
      <c r="R681" s="65" t="str">
        <f t="shared" si="21"/>
        <v>Week 5</v>
      </c>
      <c r="S681" s="65" t="str">
        <f>TEXT(Table8[[#This Row],[Date Day]],"mmm,YYYY")</f>
        <v>Jan,2011</v>
      </c>
    </row>
    <row r="682" spans="1:19" ht="15.6" x14ac:dyDescent="0.3">
      <c r="A682" s="62">
        <v>649</v>
      </c>
      <c r="B682" s="63">
        <v>40572</v>
      </c>
      <c r="C682" s="64">
        <v>8</v>
      </c>
      <c r="D682" s="64" t="b">
        <f>IF(COUNTIF(AU$36:AU$52,Table8[[#This Row],[Date Day]]) &gt; 0, TRUE, FALSE)</f>
        <v>0</v>
      </c>
      <c r="E682" s="64">
        <f t="shared" si="20"/>
        <v>6</v>
      </c>
      <c r="F682" s="64">
        <v>2</v>
      </c>
      <c r="G682" s="65" t="str">
        <f>IF(Table8[[#This Row],[Weathersit]]=1, "BAD", IF(Table8[[#This Row],[Weathersit]]=2, "MODERATE", IF(Table8[[#This Row],[Weathersit]]=3, "GOOD")))</f>
        <v>MODERATE</v>
      </c>
      <c r="H682" s="64">
        <v>14.000000000000002</v>
      </c>
      <c r="I682" s="65" t="str">
        <f>IF(Table8[[#This Row],[Temp]]&lt;11, "COLD", IF(Table8[[#This Row],[Temp]]&lt;=25, "COMFORTABLE", "WARM"))</f>
        <v>COMFORTABLE</v>
      </c>
      <c r="J682" s="64">
        <v>0.21210000000000001</v>
      </c>
      <c r="K682" s="64">
        <v>0.86</v>
      </c>
      <c r="L682" s="66">
        <v>17.94158974358977</v>
      </c>
      <c r="M682" s="75" t="s">
        <v>80</v>
      </c>
      <c r="N682" s="64">
        <v>1</v>
      </c>
      <c r="O682" s="64">
        <v>11</v>
      </c>
      <c r="P682" s="64">
        <v>12</v>
      </c>
      <c r="Q682" s="64"/>
      <c r="R682" s="65" t="str">
        <f t="shared" si="21"/>
        <v>Week 5</v>
      </c>
      <c r="S682" s="65" t="str">
        <f>TEXT(Table8[[#This Row],[Date Day]],"mmm,YYYY")</f>
        <v>Jan,2011</v>
      </c>
    </row>
    <row r="683" spans="1:19" ht="15.6" x14ac:dyDescent="0.3">
      <c r="A683" s="62">
        <v>650</v>
      </c>
      <c r="B683" s="63">
        <v>40572</v>
      </c>
      <c r="C683" s="64">
        <v>9</v>
      </c>
      <c r="D683" s="64" t="b">
        <f>IF(COUNTIF(AU$36:AU$52,Table8[[#This Row],[Date Day]]) &gt; 0, TRUE, FALSE)</f>
        <v>0</v>
      </c>
      <c r="E683" s="64">
        <f t="shared" si="20"/>
        <v>6</v>
      </c>
      <c r="F683" s="64">
        <v>2</v>
      </c>
      <c r="G683" s="65" t="str">
        <f>IF(Table8[[#This Row],[Weathersit]]=1, "BAD", IF(Table8[[#This Row],[Weathersit]]=2, "MODERATE", IF(Table8[[#This Row],[Weathersit]]=3, "GOOD")))</f>
        <v>MODERATE</v>
      </c>
      <c r="H683" s="64">
        <v>16</v>
      </c>
      <c r="I683" s="65" t="str">
        <f>IF(Table8[[#This Row],[Temp]]&lt;11, "COLD", IF(Table8[[#This Row],[Temp]]&lt;=25, "COMFORTABLE", "WARM"))</f>
        <v>COMFORTABLE</v>
      </c>
      <c r="J683" s="64">
        <v>0.2273</v>
      </c>
      <c r="K683" s="64">
        <v>0.8</v>
      </c>
      <c r="L683" s="66">
        <v>17.94158974358977</v>
      </c>
      <c r="M683" s="75" t="s">
        <v>80</v>
      </c>
      <c r="N683" s="64">
        <v>4</v>
      </c>
      <c r="O683" s="64">
        <v>34</v>
      </c>
      <c r="P683" s="64">
        <v>38</v>
      </c>
      <c r="Q683" s="64"/>
      <c r="R683" s="65" t="str">
        <f t="shared" si="21"/>
        <v>Week 5</v>
      </c>
      <c r="S683" s="65" t="str">
        <f>TEXT(Table8[[#This Row],[Date Day]],"mmm,YYYY")</f>
        <v>Jan,2011</v>
      </c>
    </row>
    <row r="684" spans="1:19" ht="15.6" x14ac:dyDescent="0.3">
      <c r="A684" s="62">
        <v>651</v>
      </c>
      <c r="B684" s="63">
        <v>40572</v>
      </c>
      <c r="C684" s="64">
        <v>10</v>
      </c>
      <c r="D684" s="64" t="b">
        <f>IF(COUNTIF(AU$36:AU$52,Table8[[#This Row],[Date Day]]) &gt; 0, TRUE, FALSE)</f>
        <v>0</v>
      </c>
      <c r="E684" s="64">
        <f t="shared" si="20"/>
        <v>6</v>
      </c>
      <c r="F684" s="64">
        <v>2</v>
      </c>
      <c r="G684" s="65" t="str">
        <f>IF(Table8[[#This Row],[Weathersit]]=1, "BAD", IF(Table8[[#This Row],[Weathersit]]=2, "MODERATE", IF(Table8[[#This Row],[Weathersit]]=3, "GOOD")))</f>
        <v>MODERATE</v>
      </c>
      <c r="H684" s="64">
        <v>18</v>
      </c>
      <c r="I684" s="65" t="str">
        <f>IF(Table8[[#This Row],[Temp]]&lt;11, "COLD", IF(Table8[[#This Row],[Temp]]&lt;=25, "COMFORTABLE", "WARM"))</f>
        <v>COMFORTABLE</v>
      </c>
      <c r="J684" s="64">
        <v>0.2424</v>
      </c>
      <c r="K684" s="64">
        <v>0.8</v>
      </c>
      <c r="L684" s="66">
        <v>17.94158974358977</v>
      </c>
      <c r="M684" s="75" t="s">
        <v>80</v>
      </c>
      <c r="N684" s="64">
        <v>7</v>
      </c>
      <c r="O684" s="64">
        <v>57</v>
      </c>
      <c r="P684" s="64">
        <v>64</v>
      </c>
      <c r="Q684" s="64"/>
      <c r="R684" s="65" t="str">
        <f t="shared" si="21"/>
        <v>Week 5</v>
      </c>
      <c r="S684" s="65" t="str">
        <f>TEXT(Table8[[#This Row],[Date Day]],"mmm,YYYY")</f>
        <v>Jan,2011</v>
      </c>
    </row>
    <row r="685" spans="1:19" ht="15.6" x14ac:dyDescent="0.3">
      <c r="A685" s="62">
        <v>652</v>
      </c>
      <c r="B685" s="63">
        <v>40572</v>
      </c>
      <c r="C685" s="64">
        <v>11</v>
      </c>
      <c r="D685" s="64" t="b">
        <f>IF(COUNTIF(AU$36:AU$52,Table8[[#This Row],[Date Day]]) &gt; 0, TRUE, FALSE)</f>
        <v>0</v>
      </c>
      <c r="E685" s="64">
        <f t="shared" si="20"/>
        <v>6</v>
      </c>
      <c r="F685" s="64">
        <v>1</v>
      </c>
      <c r="G685" s="65" t="str">
        <f>IF(Table8[[#This Row],[Weathersit]]=1, "BAD", IF(Table8[[#This Row],[Weathersit]]=2, "MODERATE", IF(Table8[[#This Row],[Weathersit]]=3, "GOOD")))</f>
        <v>BAD</v>
      </c>
      <c r="H685" s="64">
        <v>22</v>
      </c>
      <c r="I685" s="65" t="str">
        <f>IF(Table8[[#This Row],[Temp]]&lt;11, "COLD", IF(Table8[[#This Row],[Temp]]&lt;=25, "COMFORTABLE", "WARM"))</f>
        <v>COMFORTABLE</v>
      </c>
      <c r="J685" s="64">
        <v>0.2727</v>
      </c>
      <c r="K685" s="64">
        <v>0.75</v>
      </c>
      <c r="L685" s="66">
        <v>17.94158974358977</v>
      </c>
      <c r="M685" s="75" t="s">
        <v>80</v>
      </c>
      <c r="N685" s="64">
        <v>9</v>
      </c>
      <c r="O685" s="64">
        <v>50</v>
      </c>
      <c r="P685" s="64">
        <v>59</v>
      </c>
      <c r="Q685" s="64"/>
      <c r="R685" s="65" t="str">
        <f t="shared" si="21"/>
        <v>Week 5</v>
      </c>
      <c r="S685" s="65" t="str">
        <f>TEXT(Table8[[#This Row],[Date Day]],"mmm,YYYY")</f>
        <v>Jan,2011</v>
      </c>
    </row>
    <row r="686" spans="1:19" ht="15.6" x14ac:dyDescent="0.3">
      <c r="A686" s="62">
        <v>653</v>
      </c>
      <c r="B686" s="63">
        <v>40572</v>
      </c>
      <c r="C686" s="64">
        <v>12</v>
      </c>
      <c r="D686" s="64" t="b">
        <f>IF(COUNTIF(AU$36:AU$52,Table8[[#This Row],[Date Day]]) &gt; 0, TRUE, FALSE)</f>
        <v>0</v>
      </c>
      <c r="E686" s="64">
        <f t="shared" si="20"/>
        <v>6</v>
      </c>
      <c r="F686" s="64">
        <v>1</v>
      </c>
      <c r="G686" s="65" t="str">
        <f>IF(Table8[[#This Row],[Weathersit]]=1, "BAD", IF(Table8[[#This Row],[Weathersit]]=2, "MODERATE", IF(Table8[[#This Row],[Weathersit]]=3, "GOOD")))</f>
        <v>BAD</v>
      </c>
      <c r="H686" s="64">
        <v>30</v>
      </c>
      <c r="I686" s="65" t="str">
        <f>IF(Table8[[#This Row],[Temp]]&lt;11, "COLD", IF(Table8[[#This Row],[Temp]]&lt;=25, "COMFORTABLE", "WARM"))</f>
        <v>WARM</v>
      </c>
      <c r="J686" s="64">
        <v>0.31819999999999998</v>
      </c>
      <c r="K686" s="64">
        <v>0.52</v>
      </c>
      <c r="L686" s="66">
        <v>10.45</v>
      </c>
      <c r="M686" s="75" t="s">
        <v>80</v>
      </c>
      <c r="N686" s="64">
        <v>10</v>
      </c>
      <c r="O686" s="64">
        <v>87</v>
      </c>
      <c r="P686" s="64">
        <v>97</v>
      </c>
      <c r="Q686" s="64"/>
      <c r="R686" s="65" t="str">
        <f t="shared" si="21"/>
        <v>Week 5</v>
      </c>
      <c r="S686" s="65" t="str">
        <f>TEXT(Table8[[#This Row],[Date Day]],"mmm,YYYY")</f>
        <v>Jan,2011</v>
      </c>
    </row>
    <row r="687" spans="1:19" ht="15.6" x14ac:dyDescent="0.3">
      <c r="A687" s="62">
        <v>654</v>
      </c>
      <c r="B687" s="63">
        <v>40572</v>
      </c>
      <c r="C687" s="64">
        <v>13</v>
      </c>
      <c r="D687" s="64" t="b">
        <f>IF(COUNTIF(AU$36:AU$52,Table8[[#This Row],[Date Day]]) &gt; 0, TRUE, FALSE)</f>
        <v>0</v>
      </c>
      <c r="E687" s="64">
        <f t="shared" si="20"/>
        <v>6</v>
      </c>
      <c r="F687" s="64">
        <v>1</v>
      </c>
      <c r="G687" s="65" t="str">
        <f>IF(Table8[[#This Row],[Weathersit]]=1, "BAD", IF(Table8[[#This Row],[Weathersit]]=2, "MODERATE", IF(Table8[[#This Row],[Weathersit]]=3, "GOOD")))</f>
        <v>BAD</v>
      </c>
      <c r="H687" s="64">
        <v>28.000000000000004</v>
      </c>
      <c r="I687" s="65" t="str">
        <f>IF(Table8[[#This Row],[Temp]]&lt;11, "COLD", IF(Table8[[#This Row],[Temp]]&lt;=25, "COMFORTABLE", "WARM"))</f>
        <v>WARM</v>
      </c>
      <c r="J687" s="64">
        <v>0.28789999999999999</v>
      </c>
      <c r="K687" s="64">
        <v>0.61</v>
      </c>
      <c r="L687" s="66">
        <v>10.45</v>
      </c>
      <c r="M687" s="75" t="s">
        <v>80</v>
      </c>
      <c r="N687" s="64">
        <v>13</v>
      </c>
      <c r="O687" s="64">
        <v>71</v>
      </c>
      <c r="P687" s="64">
        <v>84</v>
      </c>
      <c r="Q687" s="64"/>
      <c r="R687" s="65" t="str">
        <f t="shared" si="21"/>
        <v>Week 5</v>
      </c>
      <c r="S687" s="65" t="str">
        <f>TEXT(Table8[[#This Row],[Date Day]],"mmm,YYYY")</f>
        <v>Jan,2011</v>
      </c>
    </row>
    <row r="688" spans="1:19" ht="15.6" x14ac:dyDescent="0.3">
      <c r="A688" s="62">
        <v>655</v>
      </c>
      <c r="B688" s="63">
        <v>40572</v>
      </c>
      <c r="C688" s="64">
        <v>14</v>
      </c>
      <c r="D688" s="64" t="b">
        <f>IF(COUNTIF(AU$36:AU$52,Table8[[#This Row],[Date Day]]) &gt; 0, TRUE, FALSE)</f>
        <v>0</v>
      </c>
      <c r="E688" s="64">
        <f t="shared" si="20"/>
        <v>6</v>
      </c>
      <c r="F688" s="64">
        <v>1</v>
      </c>
      <c r="G688" s="65" t="str">
        <f>IF(Table8[[#This Row],[Weathersit]]=1, "BAD", IF(Table8[[#This Row],[Weathersit]]=2, "MODERATE", IF(Table8[[#This Row],[Weathersit]]=3, "GOOD")))</f>
        <v>BAD</v>
      </c>
      <c r="H688" s="64">
        <v>28.000000000000004</v>
      </c>
      <c r="I688" s="65" t="str">
        <f>IF(Table8[[#This Row],[Temp]]&lt;11, "COLD", IF(Table8[[#This Row],[Temp]]&lt;=25, "COMFORTABLE", "WARM"))</f>
        <v>WARM</v>
      </c>
      <c r="J688" s="64">
        <v>0.30299999999999999</v>
      </c>
      <c r="K688" s="64">
        <v>0.61</v>
      </c>
      <c r="L688" s="66">
        <v>8.9599999999999991</v>
      </c>
      <c r="M688" s="75" t="s">
        <v>80</v>
      </c>
      <c r="N688" s="64">
        <v>18</v>
      </c>
      <c r="O688" s="64">
        <v>104</v>
      </c>
      <c r="P688" s="64">
        <v>122</v>
      </c>
      <c r="Q688" s="64"/>
      <c r="R688" s="65" t="str">
        <f t="shared" si="21"/>
        <v>Week 5</v>
      </c>
      <c r="S688" s="65" t="str">
        <f>TEXT(Table8[[#This Row],[Date Day]],"mmm,YYYY")</f>
        <v>Jan,2011</v>
      </c>
    </row>
    <row r="689" spans="1:19" ht="15.6" x14ac:dyDescent="0.3">
      <c r="A689" s="62">
        <v>656</v>
      </c>
      <c r="B689" s="63">
        <v>40572</v>
      </c>
      <c r="C689" s="64">
        <v>15</v>
      </c>
      <c r="D689" s="64" t="b">
        <f>IF(COUNTIF(AU$36:AU$52,Table8[[#This Row],[Date Day]]) &gt; 0, TRUE, FALSE)</f>
        <v>0</v>
      </c>
      <c r="E689" s="64">
        <f t="shared" si="20"/>
        <v>6</v>
      </c>
      <c r="F689" s="64">
        <v>1</v>
      </c>
      <c r="G689" s="65" t="str">
        <f>IF(Table8[[#This Row],[Weathersit]]=1, "BAD", IF(Table8[[#This Row],[Weathersit]]=2, "MODERATE", IF(Table8[[#This Row],[Weathersit]]=3, "GOOD")))</f>
        <v>BAD</v>
      </c>
      <c r="H689" s="64">
        <v>30</v>
      </c>
      <c r="I689" s="65" t="str">
        <f>IF(Table8[[#This Row],[Temp]]&lt;11, "COLD", IF(Table8[[#This Row],[Temp]]&lt;=25, "COMFORTABLE", "WARM"))</f>
        <v>WARM</v>
      </c>
      <c r="J689" s="64">
        <v>0.33329999999999999</v>
      </c>
      <c r="K689" s="64">
        <v>0.56000000000000005</v>
      </c>
      <c r="L689" s="66">
        <v>17.94158974358977</v>
      </c>
      <c r="M689" s="75" t="s">
        <v>80</v>
      </c>
      <c r="N689" s="64">
        <v>14</v>
      </c>
      <c r="O689" s="64">
        <v>95</v>
      </c>
      <c r="P689" s="64">
        <v>109</v>
      </c>
      <c r="Q689" s="64"/>
      <c r="R689" s="65" t="str">
        <f t="shared" si="21"/>
        <v>Week 5</v>
      </c>
      <c r="S689" s="65" t="str">
        <f>TEXT(Table8[[#This Row],[Date Day]],"mmm,YYYY")</f>
        <v>Jan,2011</v>
      </c>
    </row>
    <row r="690" spans="1:19" ht="15.6" x14ac:dyDescent="0.3">
      <c r="A690" s="62">
        <v>657</v>
      </c>
      <c r="B690" s="63">
        <v>40572</v>
      </c>
      <c r="C690" s="64">
        <v>16</v>
      </c>
      <c r="D690" s="64" t="b">
        <f>IF(COUNTIF(AU$36:AU$52,Table8[[#This Row],[Date Day]]) &gt; 0, TRUE, FALSE)</f>
        <v>0</v>
      </c>
      <c r="E690" s="64">
        <f t="shared" si="20"/>
        <v>6</v>
      </c>
      <c r="F690" s="64">
        <v>1</v>
      </c>
      <c r="G690" s="65" t="str">
        <f>IF(Table8[[#This Row],[Weathersit]]=1, "BAD", IF(Table8[[#This Row],[Weathersit]]=2, "MODERATE", IF(Table8[[#This Row],[Weathersit]]=3, "GOOD")))</f>
        <v>BAD</v>
      </c>
      <c r="H690" s="64">
        <v>30</v>
      </c>
      <c r="I690" s="65" t="str">
        <f>IF(Table8[[#This Row],[Temp]]&lt;11, "COLD", IF(Table8[[#This Row],[Temp]]&lt;=25, "COMFORTABLE", "WARM"))</f>
        <v>WARM</v>
      </c>
      <c r="J690" s="64">
        <v>0.33329999999999999</v>
      </c>
      <c r="K690" s="64">
        <v>0.56000000000000005</v>
      </c>
      <c r="L690" s="66">
        <v>17.94158974358977</v>
      </c>
      <c r="M690" s="75" t="s">
        <v>80</v>
      </c>
      <c r="N690" s="64">
        <v>19</v>
      </c>
      <c r="O690" s="64">
        <v>104</v>
      </c>
      <c r="P690" s="64">
        <v>123</v>
      </c>
      <c r="Q690" s="64"/>
      <c r="R690" s="65" t="str">
        <f t="shared" si="21"/>
        <v>Week 5</v>
      </c>
      <c r="S690" s="65" t="str">
        <f>TEXT(Table8[[#This Row],[Date Day]],"mmm,YYYY")</f>
        <v>Jan,2011</v>
      </c>
    </row>
    <row r="691" spans="1:19" ht="15.6" x14ac:dyDescent="0.3">
      <c r="A691" s="62">
        <v>658</v>
      </c>
      <c r="B691" s="63">
        <v>40572</v>
      </c>
      <c r="C691" s="64">
        <v>17</v>
      </c>
      <c r="D691" s="64" t="b">
        <f>IF(COUNTIF(AU$36:AU$52,Table8[[#This Row],[Date Day]]) &gt; 0, TRUE, FALSE)</f>
        <v>0</v>
      </c>
      <c r="E691" s="64">
        <f t="shared" si="20"/>
        <v>6</v>
      </c>
      <c r="F691" s="64">
        <v>1</v>
      </c>
      <c r="G691" s="65" t="str">
        <f>IF(Table8[[#This Row],[Weathersit]]=1, "BAD", IF(Table8[[#This Row],[Weathersit]]=2, "MODERATE", IF(Table8[[#This Row],[Weathersit]]=3, "GOOD")))</f>
        <v>BAD</v>
      </c>
      <c r="H691" s="64">
        <v>30</v>
      </c>
      <c r="I691" s="65" t="str">
        <f>IF(Table8[[#This Row],[Temp]]&lt;11, "COLD", IF(Table8[[#This Row],[Temp]]&lt;=25, "COMFORTABLE", "WARM"))</f>
        <v>WARM</v>
      </c>
      <c r="J691" s="64">
        <v>0.28789999999999999</v>
      </c>
      <c r="K691" s="64">
        <v>0.56000000000000005</v>
      </c>
      <c r="L691" s="66">
        <v>19.400000000000002</v>
      </c>
      <c r="M691" s="75" t="s">
        <v>80</v>
      </c>
      <c r="N691" s="64">
        <v>6</v>
      </c>
      <c r="O691" s="64">
        <v>71</v>
      </c>
      <c r="P691" s="64">
        <v>77</v>
      </c>
      <c r="Q691" s="64"/>
      <c r="R691" s="65" t="str">
        <f t="shared" si="21"/>
        <v>Week 5</v>
      </c>
      <c r="S691" s="65" t="str">
        <f>TEXT(Table8[[#This Row],[Date Day]],"mmm,YYYY")</f>
        <v>Jan,2011</v>
      </c>
    </row>
    <row r="692" spans="1:19" ht="15.6" x14ac:dyDescent="0.3">
      <c r="A692" s="62">
        <v>659</v>
      </c>
      <c r="B692" s="63">
        <v>40572</v>
      </c>
      <c r="C692" s="64">
        <v>18</v>
      </c>
      <c r="D692" s="64" t="b">
        <f>IF(COUNTIF(AU$36:AU$52,Table8[[#This Row],[Date Day]]) &gt; 0, TRUE, FALSE)</f>
        <v>0</v>
      </c>
      <c r="E692" s="64">
        <f t="shared" si="20"/>
        <v>6</v>
      </c>
      <c r="F692" s="64">
        <v>1</v>
      </c>
      <c r="G692" s="65" t="str">
        <f>IF(Table8[[#This Row],[Weathersit]]=1, "BAD", IF(Table8[[#This Row],[Weathersit]]=2, "MODERATE", IF(Table8[[#This Row],[Weathersit]]=3, "GOOD")))</f>
        <v>BAD</v>
      </c>
      <c r="H692" s="64">
        <v>26</v>
      </c>
      <c r="I692" s="65" t="str">
        <f>IF(Table8[[#This Row],[Temp]]&lt;11, "COLD", IF(Table8[[#This Row],[Temp]]&lt;=25, "COMFORTABLE", "WARM"))</f>
        <v>WARM</v>
      </c>
      <c r="J692" s="64">
        <v>0.2576</v>
      </c>
      <c r="K692" s="64">
        <v>0.65</v>
      </c>
      <c r="L692" s="66">
        <v>16.420000000000002</v>
      </c>
      <c r="M692" s="75" t="s">
        <v>80</v>
      </c>
      <c r="N692" s="64">
        <v>8</v>
      </c>
      <c r="O692" s="64">
        <v>57</v>
      </c>
      <c r="P692" s="64">
        <v>65</v>
      </c>
      <c r="Q692" s="64"/>
      <c r="R692" s="65" t="str">
        <f t="shared" si="21"/>
        <v>Week 5</v>
      </c>
      <c r="S692" s="65" t="str">
        <f>TEXT(Table8[[#This Row],[Date Day]],"mmm,YYYY")</f>
        <v>Jan,2011</v>
      </c>
    </row>
    <row r="693" spans="1:19" ht="15.6" x14ac:dyDescent="0.3">
      <c r="A693" s="62">
        <v>660</v>
      </c>
      <c r="B693" s="63">
        <v>40572</v>
      </c>
      <c r="C693" s="64">
        <v>19</v>
      </c>
      <c r="D693" s="64" t="b">
        <f>IF(COUNTIF(AU$36:AU$52,Table8[[#This Row],[Date Day]]) &gt; 0, TRUE, FALSE)</f>
        <v>0</v>
      </c>
      <c r="E693" s="64">
        <f t="shared" si="20"/>
        <v>6</v>
      </c>
      <c r="F693" s="64">
        <v>1</v>
      </c>
      <c r="G693" s="65" t="str">
        <f>IF(Table8[[#This Row],[Weathersit]]=1, "BAD", IF(Table8[[#This Row],[Weathersit]]=2, "MODERATE", IF(Table8[[#This Row],[Weathersit]]=3, "GOOD")))</f>
        <v>BAD</v>
      </c>
      <c r="H693" s="64">
        <v>26</v>
      </c>
      <c r="I693" s="65" t="str">
        <f>IF(Table8[[#This Row],[Temp]]&lt;11, "COLD", IF(Table8[[#This Row],[Temp]]&lt;=25, "COMFORTABLE", "WARM"))</f>
        <v>WARM</v>
      </c>
      <c r="J693" s="64">
        <v>0.2576</v>
      </c>
      <c r="K693" s="64">
        <v>0.65</v>
      </c>
      <c r="L693" s="66">
        <v>19.400000000000002</v>
      </c>
      <c r="M693" s="75" t="s">
        <v>80</v>
      </c>
      <c r="N693" s="64">
        <v>9</v>
      </c>
      <c r="O693" s="64">
        <v>46</v>
      </c>
      <c r="P693" s="64">
        <v>55</v>
      </c>
      <c r="Q693" s="64"/>
      <c r="R693" s="65" t="str">
        <f t="shared" si="21"/>
        <v>Week 5</v>
      </c>
      <c r="S693" s="65" t="str">
        <f>TEXT(Table8[[#This Row],[Date Day]],"mmm,YYYY")</f>
        <v>Jan,2011</v>
      </c>
    </row>
    <row r="694" spans="1:19" ht="15.6" x14ac:dyDescent="0.3">
      <c r="A694" s="62">
        <v>661</v>
      </c>
      <c r="B694" s="63">
        <v>40572</v>
      </c>
      <c r="C694" s="64">
        <v>20</v>
      </c>
      <c r="D694" s="64" t="b">
        <f>IF(COUNTIF(AU$36:AU$52,Table8[[#This Row],[Date Day]]) &gt; 0, TRUE, FALSE)</f>
        <v>0</v>
      </c>
      <c r="E694" s="64">
        <f t="shared" si="20"/>
        <v>6</v>
      </c>
      <c r="F694" s="64">
        <v>2</v>
      </c>
      <c r="G694" s="65" t="str">
        <f>IF(Table8[[#This Row],[Weathersit]]=1, "BAD", IF(Table8[[#This Row],[Weathersit]]=2, "MODERATE", IF(Table8[[#This Row],[Weathersit]]=3, "GOOD")))</f>
        <v>MODERATE</v>
      </c>
      <c r="H694" s="64">
        <v>26</v>
      </c>
      <c r="I694" s="65" t="str">
        <f>IF(Table8[[#This Row],[Temp]]&lt;11, "COLD", IF(Table8[[#This Row],[Temp]]&lt;=25, "COMFORTABLE", "WARM"))</f>
        <v>WARM</v>
      </c>
      <c r="J694" s="64">
        <v>0.2727</v>
      </c>
      <c r="K694" s="64">
        <v>0.65</v>
      </c>
      <c r="L694" s="66">
        <v>10.45</v>
      </c>
      <c r="M694" s="75" t="s">
        <v>80</v>
      </c>
      <c r="N694" s="64">
        <v>3</v>
      </c>
      <c r="O694" s="64">
        <v>30</v>
      </c>
      <c r="P694" s="64">
        <v>33</v>
      </c>
      <c r="Q694" s="64"/>
      <c r="R694" s="65" t="str">
        <f t="shared" si="21"/>
        <v>Week 5</v>
      </c>
      <c r="S694" s="65" t="str">
        <f>TEXT(Table8[[#This Row],[Date Day]],"mmm,YYYY")</f>
        <v>Jan,2011</v>
      </c>
    </row>
    <row r="695" spans="1:19" ht="15.6" x14ac:dyDescent="0.3">
      <c r="A695" s="62">
        <v>662</v>
      </c>
      <c r="B695" s="63">
        <v>40572</v>
      </c>
      <c r="C695" s="64">
        <v>21</v>
      </c>
      <c r="D695" s="64" t="b">
        <f>IF(COUNTIF(AU$36:AU$52,Table8[[#This Row],[Date Day]]) &gt; 0, TRUE, FALSE)</f>
        <v>0</v>
      </c>
      <c r="E695" s="64">
        <f t="shared" si="20"/>
        <v>6</v>
      </c>
      <c r="F695" s="64">
        <v>2</v>
      </c>
      <c r="G695" s="65" t="str">
        <f>IF(Table8[[#This Row],[Weathersit]]=1, "BAD", IF(Table8[[#This Row],[Weathersit]]=2, "MODERATE", IF(Table8[[#This Row],[Weathersit]]=3, "GOOD")))</f>
        <v>MODERATE</v>
      </c>
      <c r="H695" s="64">
        <v>24</v>
      </c>
      <c r="I695" s="65" t="str">
        <f>IF(Table8[[#This Row],[Temp]]&lt;11, "COLD", IF(Table8[[#This Row],[Temp]]&lt;=25, "COMFORTABLE", "WARM"))</f>
        <v>COMFORTABLE</v>
      </c>
      <c r="J695" s="64">
        <v>0.2424</v>
      </c>
      <c r="K695" s="64">
        <v>0.7</v>
      </c>
      <c r="L695" s="66">
        <v>16.420000000000002</v>
      </c>
      <c r="M695" s="75" t="s">
        <v>80</v>
      </c>
      <c r="N695" s="64">
        <v>3</v>
      </c>
      <c r="O695" s="64">
        <v>25</v>
      </c>
      <c r="P695" s="64">
        <v>28</v>
      </c>
      <c r="Q695" s="64"/>
      <c r="R695" s="65" t="str">
        <f t="shared" si="21"/>
        <v>Week 5</v>
      </c>
      <c r="S695" s="65" t="str">
        <f>TEXT(Table8[[#This Row],[Date Day]],"mmm,YYYY")</f>
        <v>Jan,2011</v>
      </c>
    </row>
    <row r="696" spans="1:19" ht="15.6" x14ac:dyDescent="0.3">
      <c r="A696" s="62">
        <v>663</v>
      </c>
      <c r="B696" s="63">
        <v>40572</v>
      </c>
      <c r="C696" s="64">
        <v>22</v>
      </c>
      <c r="D696" s="64" t="b">
        <f>IF(COUNTIF(AU$36:AU$52,Table8[[#This Row],[Date Day]]) &gt; 0, TRUE, FALSE)</f>
        <v>0</v>
      </c>
      <c r="E696" s="64">
        <f t="shared" si="20"/>
        <v>6</v>
      </c>
      <c r="F696" s="64">
        <v>2</v>
      </c>
      <c r="G696" s="65" t="str">
        <f>IF(Table8[[#This Row],[Weathersit]]=1, "BAD", IF(Table8[[#This Row],[Weathersit]]=2, "MODERATE", IF(Table8[[#This Row],[Weathersit]]=3, "GOOD")))</f>
        <v>MODERATE</v>
      </c>
      <c r="H696" s="64">
        <v>24</v>
      </c>
      <c r="I696" s="65" t="str">
        <f>IF(Table8[[#This Row],[Temp]]&lt;11, "COLD", IF(Table8[[#This Row],[Temp]]&lt;=25, "COMFORTABLE", "WARM"))</f>
        <v>COMFORTABLE</v>
      </c>
      <c r="J696" s="64">
        <v>0.2273</v>
      </c>
      <c r="K696" s="64">
        <v>0.7</v>
      </c>
      <c r="L696" s="66">
        <v>19.400000000000002</v>
      </c>
      <c r="M696" s="75" t="s">
        <v>80</v>
      </c>
      <c r="N696" s="64">
        <v>2</v>
      </c>
      <c r="O696" s="64">
        <v>19</v>
      </c>
      <c r="P696" s="64">
        <v>21</v>
      </c>
      <c r="Q696" s="64"/>
      <c r="R696" s="65" t="str">
        <f t="shared" si="21"/>
        <v>Week 5</v>
      </c>
      <c r="S696" s="65" t="str">
        <f>TEXT(Table8[[#This Row],[Date Day]],"mmm,YYYY")</f>
        <v>Jan,2011</v>
      </c>
    </row>
    <row r="697" spans="1:19" ht="15.6" x14ac:dyDescent="0.3">
      <c r="A697" s="62">
        <v>664</v>
      </c>
      <c r="B697" s="63">
        <v>40572</v>
      </c>
      <c r="C697" s="64">
        <v>23</v>
      </c>
      <c r="D697" s="64" t="b">
        <f>IF(COUNTIF(AU$36:AU$52,Table8[[#This Row],[Date Day]]) &gt; 0, TRUE, FALSE)</f>
        <v>0</v>
      </c>
      <c r="E697" s="64">
        <f t="shared" si="20"/>
        <v>6</v>
      </c>
      <c r="F697" s="64">
        <v>2</v>
      </c>
      <c r="G697" s="65" t="str">
        <f>IF(Table8[[#This Row],[Weathersit]]=1, "BAD", IF(Table8[[#This Row],[Weathersit]]=2, "MODERATE", IF(Table8[[#This Row],[Weathersit]]=3, "GOOD")))</f>
        <v>MODERATE</v>
      </c>
      <c r="H697" s="64">
        <v>24</v>
      </c>
      <c r="I697" s="65" t="str">
        <f>IF(Table8[[#This Row],[Temp]]&lt;11, "COLD", IF(Table8[[#This Row],[Temp]]&lt;=25, "COMFORTABLE", "WARM"))</f>
        <v>COMFORTABLE</v>
      </c>
      <c r="J697" s="64">
        <v>0.21210000000000001</v>
      </c>
      <c r="K697" s="64">
        <v>0.65</v>
      </c>
      <c r="L697" s="66">
        <v>28.360000000000003</v>
      </c>
      <c r="M697" s="75" t="s">
        <v>81</v>
      </c>
      <c r="N697" s="64">
        <v>5</v>
      </c>
      <c r="O697" s="64">
        <v>16</v>
      </c>
      <c r="P697" s="64">
        <v>21</v>
      </c>
      <c r="Q697" s="64"/>
      <c r="R697" s="65" t="str">
        <f t="shared" si="21"/>
        <v>Week 5</v>
      </c>
      <c r="S697" s="65" t="str">
        <f>TEXT(Table8[[#This Row],[Date Day]],"mmm,YYYY")</f>
        <v>Jan,2011</v>
      </c>
    </row>
    <row r="698" spans="1:19" ht="15.6" x14ac:dyDescent="0.3">
      <c r="A698" s="62">
        <v>665</v>
      </c>
      <c r="B698" s="63">
        <v>40573</v>
      </c>
      <c r="C698" s="64">
        <v>0</v>
      </c>
      <c r="D698" s="64" t="b">
        <f>IF(COUNTIF(AU$36:AU$52,Table8[[#This Row],[Date Day]]) &gt; 0, TRUE, FALSE)</f>
        <v>0</v>
      </c>
      <c r="E698" s="64">
        <f t="shared" si="20"/>
        <v>7</v>
      </c>
      <c r="F698" s="64">
        <v>2</v>
      </c>
      <c r="G698" s="65" t="str">
        <f>IF(Table8[[#This Row],[Weathersit]]=1, "BAD", IF(Table8[[#This Row],[Weathersit]]=2, "MODERATE", IF(Table8[[#This Row],[Weathersit]]=3, "GOOD")))</f>
        <v>MODERATE</v>
      </c>
      <c r="H698" s="64">
        <v>24</v>
      </c>
      <c r="I698" s="65" t="str">
        <f>IF(Table8[[#This Row],[Temp]]&lt;11, "COLD", IF(Table8[[#This Row],[Temp]]&lt;=25, "COMFORTABLE", "WARM"))</f>
        <v>COMFORTABLE</v>
      </c>
      <c r="J698" s="64">
        <v>0.2273</v>
      </c>
      <c r="K698" s="64">
        <v>0.65</v>
      </c>
      <c r="L698" s="66">
        <v>22.39</v>
      </c>
      <c r="M698" s="75" t="s">
        <v>81</v>
      </c>
      <c r="N698" s="64">
        <v>1</v>
      </c>
      <c r="O698" s="64">
        <v>6</v>
      </c>
      <c r="P698" s="64">
        <v>7</v>
      </c>
      <c r="Q698" s="64"/>
      <c r="R698" s="65" t="str">
        <f t="shared" si="21"/>
        <v>Week 5</v>
      </c>
      <c r="S698" s="65" t="str">
        <f>TEXT(Table8[[#This Row],[Date Day]],"mmm,YYYY")</f>
        <v>Jan,2011</v>
      </c>
    </row>
    <row r="699" spans="1:19" ht="15.6" x14ac:dyDescent="0.3">
      <c r="A699" s="62">
        <v>666</v>
      </c>
      <c r="B699" s="63">
        <v>40573</v>
      </c>
      <c r="C699" s="64">
        <v>1</v>
      </c>
      <c r="D699" s="64" t="b">
        <f>IF(COUNTIF(AU$36:AU$52,Table8[[#This Row],[Date Day]]) &gt; 0, TRUE, FALSE)</f>
        <v>0</v>
      </c>
      <c r="E699" s="64">
        <f t="shared" si="20"/>
        <v>7</v>
      </c>
      <c r="F699" s="64">
        <v>1</v>
      </c>
      <c r="G699" s="65" t="str">
        <f>IF(Table8[[#This Row],[Weathersit]]=1, "BAD", IF(Table8[[#This Row],[Weathersit]]=2, "MODERATE", IF(Table8[[#This Row],[Weathersit]]=3, "GOOD")))</f>
        <v>BAD</v>
      </c>
      <c r="H699" s="64">
        <v>22</v>
      </c>
      <c r="I699" s="65" t="str">
        <f>IF(Table8[[#This Row],[Temp]]&lt;11, "COLD", IF(Table8[[#This Row],[Temp]]&lt;=25, "COMFORTABLE", "WARM"))</f>
        <v>COMFORTABLE</v>
      </c>
      <c r="J699" s="64">
        <v>0.21210000000000001</v>
      </c>
      <c r="K699" s="64">
        <v>0.64</v>
      </c>
      <c r="L699" s="66">
        <v>25.369999999999997</v>
      </c>
      <c r="M699" s="75" t="s">
        <v>81</v>
      </c>
      <c r="N699" s="64">
        <v>2</v>
      </c>
      <c r="O699" s="64">
        <v>5</v>
      </c>
      <c r="P699" s="64">
        <v>7</v>
      </c>
      <c r="Q699" s="64"/>
      <c r="R699" s="65" t="str">
        <f t="shared" si="21"/>
        <v>Week 5</v>
      </c>
      <c r="S699" s="65" t="str">
        <f>TEXT(Table8[[#This Row],[Date Day]],"mmm,YYYY")</f>
        <v>Jan,2011</v>
      </c>
    </row>
    <row r="700" spans="1:19" ht="15.6" x14ac:dyDescent="0.3">
      <c r="A700" s="62">
        <v>667</v>
      </c>
      <c r="B700" s="63">
        <v>40573</v>
      </c>
      <c r="C700" s="64">
        <v>2</v>
      </c>
      <c r="D700" s="64" t="b">
        <f>IF(COUNTIF(AU$36:AU$52,Table8[[#This Row],[Date Day]]) &gt; 0, TRUE, FALSE)</f>
        <v>0</v>
      </c>
      <c r="E700" s="64">
        <f t="shared" si="20"/>
        <v>7</v>
      </c>
      <c r="F700" s="64">
        <v>1</v>
      </c>
      <c r="G700" s="65" t="str">
        <f>IF(Table8[[#This Row],[Weathersit]]=1, "BAD", IF(Table8[[#This Row],[Weathersit]]=2, "MODERATE", IF(Table8[[#This Row],[Weathersit]]=3, "GOOD")))</f>
        <v>BAD</v>
      </c>
      <c r="H700" s="64">
        <v>22</v>
      </c>
      <c r="I700" s="65" t="str">
        <f>IF(Table8[[#This Row],[Temp]]&lt;11, "COLD", IF(Table8[[#This Row],[Temp]]&lt;=25, "COMFORTABLE", "WARM"))</f>
        <v>COMFORTABLE</v>
      </c>
      <c r="J700" s="64">
        <v>0.2273</v>
      </c>
      <c r="K700" s="64">
        <v>0.64</v>
      </c>
      <c r="L700" s="66">
        <v>19.400000000000002</v>
      </c>
      <c r="M700" s="75" t="s">
        <v>80</v>
      </c>
      <c r="N700" s="64">
        <v>0</v>
      </c>
      <c r="O700" s="64">
        <v>1</v>
      </c>
      <c r="P700" s="64">
        <v>1</v>
      </c>
      <c r="Q700" s="64"/>
      <c r="R700" s="65" t="str">
        <f t="shared" si="21"/>
        <v>Week 5</v>
      </c>
      <c r="S700" s="65" t="str">
        <f>TEXT(Table8[[#This Row],[Date Day]],"mmm,YYYY")</f>
        <v>Jan,2011</v>
      </c>
    </row>
    <row r="701" spans="1:19" ht="15.6" x14ac:dyDescent="0.3">
      <c r="A701" s="62">
        <v>668</v>
      </c>
      <c r="B701" s="63">
        <v>40573</v>
      </c>
      <c r="C701" s="64">
        <v>3</v>
      </c>
      <c r="D701" s="64" t="b">
        <f>IF(COUNTIF(AU$36:AU$52,Table8[[#This Row],[Date Day]]) &gt; 0, TRUE, FALSE)</f>
        <v>0</v>
      </c>
      <c r="E701" s="64">
        <f t="shared" si="20"/>
        <v>7</v>
      </c>
      <c r="F701" s="64">
        <v>1</v>
      </c>
      <c r="G701" s="65" t="str">
        <f>IF(Table8[[#This Row],[Weathersit]]=1, "BAD", IF(Table8[[#This Row],[Weathersit]]=2, "MODERATE", IF(Table8[[#This Row],[Weathersit]]=3, "GOOD")))</f>
        <v>BAD</v>
      </c>
      <c r="H701" s="64">
        <v>22</v>
      </c>
      <c r="I701" s="65" t="str">
        <f>IF(Table8[[#This Row],[Temp]]&lt;11, "COLD", IF(Table8[[#This Row],[Temp]]&lt;=25, "COMFORTABLE", "WARM"))</f>
        <v>COMFORTABLE</v>
      </c>
      <c r="J701" s="64">
        <v>0.2273</v>
      </c>
      <c r="K701" s="64">
        <v>0.64</v>
      </c>
      <c r="L701" s="66">
        <v>19.400000000000002</v>
      </c>
      <c r="M701" s="75" t="s">
        <v>80</v>
      </c>
      <c r="N701" s="64">
        <v>0</v>
      </c>
      <c r="O701" s="64">
        <v>2</v>
      </c>
      <c r="P701" s="64">
        <v>2</v>
      </c>
      <c r="Q701" s="64"/>
      <c r="R701" s="65" t="str">
        <f t="shared" si="21"/>
        <v>Week 5</v>
      </c>
      <c r="S701" s="65" t="str">
        <f>TEXT(Table8[[#This Row],[Date Day]],"mmm,YYYY")</f>
        <v>Jan,2011</v>
      </c>
    </row>
    <row r="702" spans="1:19" ht="15.6" x14ac:dyDescent="0.3">
      <c r="A702" s="62">
        <v>669</v>
      </c>
      <c r="B702" s="63">
        <v>40573</v>
      </c>
      <c r="C702" s="64">
        <v>4</v>
      </c>
      <c r="D702" s="64" t="b">
        <f>IF(COUNTIF(AU$36:AU$52,Table8[[#This Row],[Date Day]]) &gt; 0, TRUE, FALSE)</f>
        <v>0</v>
      </c>
      <c r="E702" s="64">
        <f t="shared" si="20"/>
        <v>7</v>
      </c>
      <c r="F702" s="64">
        <v>1</v>
      </c>
      <c r="G702" s="65" t="str">
        <f>IF(Table8[[#This Row],[Weathersit]]=1, "BAD", IF(Table8[[#This Row],[Weathersit]]=2, "MODERATE", IF(Table8[[#This Row],[Weathersit]]=3, "GOOD")))</f>
        <v>BAD</v>
      </c>
      <c r="H702" s="64">
        <v>20</v>
      </c>
      <c r="I702" s="65" t="str">
        <f>IF(Table8[[#This Row],[Temp]]&lt;11, "COLD", IF(Table8[[#This Row],[Temp]]&lt;=25, "COMFORTABLE", "WARM"))</f>
        <v>COMFORTABLE</v>
      </c>
      <c r="J702" s="64">
        <v>0.19700000000000001</v>
      </c>
      <c r="K702" s="64">
        <v>0.59</v>
      </c>
      <c r="L702" s="66">
        <v>22.39</v>
      </c>
      <c r="M702" s="75" t="s">
        <v>81</v>
      </c>
      <c r="N702" s="64">
        <v>0</v>
      </c>
      <c r="O702" s="64">
        <v>2</v>
      </c>
      <c r="P702" s="64">
        <v>2</v>
      </c>
      <c r="Q702" s="64"/>
      <c r="R702" s="65" t="str">
        <f t="shared" si="21"/>
        <v>Week 5</v>
      </c>
      <c r="S702" s="65" t="str">
        <f>TEXT(Table8[[#This Row],[Date Day]],"mmm,YYYY")</f>
        <v>Jan,2011</v>
      </c>
    </row>
    <row r="703" spans="1:19" ht="15.6" x14ac:dyDescent="0.3">
      <c r="A703" s="62">
        <v>670</v>
      </c>
      <c r="B703" s="63">
        <v>40573</v>
      </c>
      <c r="C703" s="64">
        <v>5</v>
      </c>
      <c r="D703" s="64" t="b">
        <f>IF(COUNTIF(AU$36:AU$52,Table8[[#This Row],[Date Day]]) &gt; 0, TRUE, FALSE)</f>
        <v>0</v>
      </c>
      <c r="E703" s="64">
        <f t="shared" si="20"/>
        <v>7</v>
      </c>
      <c r="F703" s="64">
        <v>1</v>
      </c>
      <c r="G703" s="65" t="str">
        <f>IF(Table8[[#This Row],[Weathersit]]=1, "BAD", IF(Table8[[#This Row],[Weathersit]]=2, "MODERATE", IF(Table8[[#This Row],[Weathersit]]=3, "GOOD")))</f>
        <v>BAD</v>
      </c>
      <c r="H703" s="64">
        <v>18</v>
      </c>
      <c r="I703" s="65" t="str">
        <f>IF(Table8[[#This Row],[Temp]]&lt;11, "COLD", IF(Table8[[#This Row],[Temp]]&lt;=25, "COMFORTABLE", "WARM"))</f>
        <v>COMFORTABLE</v>
      </c>
      <c r="J703" s="64">
        <v>0.16669999999999999</v>
      </c>
      <c r="K703" s="64">
        <v>0.64</v>
      </c>
      <c r="L703" s="66">
        <v>28.360000000000003</v>
      </c>
      <c r="M703" s="75" t="s">
        <v>81</v>
      </c>
      <c r="N703" s="64">
        <v>0</v>
      </c>
      <c r="O703" s="64">
        <v>8</v>
      </c>
      <c r="P703" s="64">
        <v>8</v>
      </c>
      <c r="Q703" s="64"/>
      <c r="R703" s="65" t="str">
        <f t="shared" si="21"/>
        <v>Week 5</v>
      </c>
      <c r="S703" s="65" t="str">
        <f>TEXT(Table8[[#This Row],[Date Day]],"mmm,YYYY")</f>
        <v>Jan,2011</v>
      </c>
    </row>
    <row r="704" spans="1:19" ht="15.6" x14ac:dyDescent="0.3">
      <c r="A704" s="62">
        <v>671</v>
      </c>
      <c r="B704" s="63">
        <v>40573</v>
      </c>
      <c r="C704" s="64">
        <v>6</v>
      </c>
      <c r="D704" s="64" t="b">
        <f>IF(COUNTIF(AU$36:AU$52,Table8[[#This Row],[Date Day]]) &gt; 0, TRUE, FALSE)</f>
        <v>0</v>
      </c>
      <c r="E704" s="64">
        <f t="shared" si="20"/>
        <v>7</v>
      </c>
      <c r="F704" s="64">
        <v>1</v>
      </c>
      <c r="G704" s="65" t="str">
        <f>IF(Table8[[#This Row],[Weathersit]]=1, "BAD", IF(Table8[[#This Row],[Weathersit]]=2, "MODERATE", IF(Table8[[#This Row],[Weathersit]]=3, "GOOD")))</f>
        <v>BAD</v>
      </c>
      <c r="H704" s="64">
        <v>16</v>
      </c>
      <c r="I704" s="65" t="str">
        <f>IF(Table8[[#This Row],[Temp]]&lt;11, "COLD", IF(Table8[[#This Row],[Temp]]&lt;=25, "COMFORTABLE", "WARM"))</f>
        <v>COMFORTABLE</v>
      </c>
      <c r="J704" s="64">
        <v>0.13639999999999999</v>
      </c>
      <c r="K704" s="64">
        <v>0.69</v>
      </c>
      <c r="L704" s="66">
        <v>32.840000000000003</v>
      </c>
      <c r="M704" s="75" t="s">
        <v>84</v>
      </c>
      <c r="N704" s="64">
        <v>0</v>
      </c>
      <c r="O704" s="64">
        <v>37</v>
      </c>
      <c r="P704" s="64">
        <v>37</v>
      </c>
      <c r="Q704" s="64"/>
      <c r="R704" s="65" t="str">
        <f t="shared" si="21"/>
        <v>Week 5</v>
      </c>
      <c r="S704" s="65" t="str">
        <f>TEXT(Table8[[#This Row],[Date Day]],"mmm,YYYY")</f>
        <v>Jan,2011</v>
      </c>
    </row>
    <row r="705" spans="1:19" ht="15.6" x14ac:dyDescent="0.3">
      <c r="A705" s="62">
        <v>672</v>
      </c>
      <c r="B705" s="63">
        <v>40573</v>
      </c>
      <c r="C705" s="64">
        <v>7</v>
      </c>
      <c r="D705" s="64" t="b">
        <f>IF(COUNTIF(AU$36:AU$52,Table8[[#This Row],[Date Day]]) &gt; 0, TRUE, FALSE)</f>
        <v>0</v>
      </c>
      <c r="E705" s="64">
        <f t="shared" si="20"/>
        <v>7</v>
      </c>
      <c r="F705" s="64">
        <v>2</v>
      </c>
      <c r="G705" s="65" t="str">
        <f>IF(Table8[[#This Row],[Weathersit]]=1, "BAD", IF(Table8[[#This Row],[Weathersit]]=2, "MODERATE", IF(Table8[[#This Row],[Weathersit]]=3, "GOOD")))</f>
        <v>MODERATE</v>
      </c>
      <c r="H705" s="64">
        <v>16</v>
      </c>
      <c r="I705" s="65" t="str">
        <f>IF(Table8[[#This Row],[Temp]]&lt;11, "COLD", IF(Table8[[#This Row],[Temp]]&lt;=25, "COMFORTABLE", "WARM"))</f>
        <v>COMFORTABLE</v>
      </c>
      <c r="J705" s="64">
        <v>0.13639999999999999</v>
      </c>
      <c r="K705" s="64">
        <v>0.64</v>
      </c>
      <c r="L705" s="66">
        <v>28.360000000000003</v>
      </c>
      <c r="M705" s="75" t="s">
        <v>81</v>
      </c>
      <c r="N705" s="64">
        <v>1</v>
      </c>
      <c r="O705" s="64">
        <v>71</v>
      </c>
      <c r="P705" s="64">
        <v>72</v>
      </c>
      <c r="Q705" s="64"/>
      <c r="R705" s="65" t="str">
        <f t="shared" si="21"/>
        <v>Week 5</v>
      </c>
      <c r="S705" s="65" t="str">
        <f>TEXT(Table8[[#This Row],[Date Day]],"mmm,YYYY")</f>
        <v>Jan,2011</v>
      </c>
    </row>
    <row r="706" spans="1:19" ht="15.6" x14ac:dyDescent="0.3">
      <c r="A706" s="62">
        <v>673</v>
      </c>
      <c r="B706" s="63">
        <v>40573</v>
      </c>
      <c r="C706" s="64">
        <v>8</v>
      </c>
      <c r="D706" s="64" t="b">
        <f>IF(COUNTIF(AU$36:AU$52,Table8[[#This Row],[Date Day]]) &gt; 0, TRUE, FALSE)</f>
        <v>0</v>
      </c>
      <c r="E706" s="64">
        <f t="shared" si="20"/>
        <v>7</v>
      </c>
      <c r="F706" s="64">
        <v>2</v>
      </c>
      <c r="G706" s="65" t="str">
        <f>IF(Table8[[#This Row],[Weathersit]]=1, "BAD", IF(Table8[[#This Row],[Weathersit]]=2, "MODERATE", IF(Table8[[#This Row],[Weathersit]]=3, "GOOD")))</f>
        <v>MODERATE</v>
      </c>
      <c r="H706" s="64">
        <v>16</v>
      </c>
      <c r="I706" s="65" t="str">
        <f>IF(Table8[[#This Row],[Temp]]&lt;11, "COLD", IF(Table8[[#This Row],[Temp]]&lt;=25, "COMFORTABLE", "WARM"))</f>
        <v>COMFORTABLE</v>
      </c>
      <c r="J706" s="64">
        <v>0.13639999999999999</v>
      </c>
      <c r="K706" s="64">
        <v>0.59</v>
      </c>
      <c r="L706" s="66">
        <v>28.360000000000003</v>
      </c>
      <c r="M706" s="75" t="s">
        <v>81</v>
      </c>
      <c r="N706" s="64">
        <v>3</v>
      </c>
      <c r="O706" s="64">
        <v>182</v>
      </c>
      <c r="P706" s="64">
        <v>185</v>
      </c>
      <c r="Q706" s="64"/>
      <c r="R706" s="65" t="str">
        <f t="shared" si="21"/>
        <v>Week 5</v>
      </c>
      <c r="S706" s="65" t="str">
        <f>TEXT(Table8[[#This Row],[Date Day]],"mmm,YYYY")</f>
        <v>Jan,2011</v>
      </c>
    </row>
    <row r="707" spans="1:19" ht="15.6" x14ac:dyDescent="0.3">
      <c r="A707" s="62">
        <v>674</v>
      </c>
      <c r="B707" s="63">
        <v>40573</v>
      </c>
      <c r="C707" s="64">
        <v>9</v>
      </c>
      <c r="D707" s="64" t="b">
        <f>IF(COUNTIF(AU$36:AU$52,Table8[[#This Row],[Date Day]]) &gt; 0, TRUE, FALSE)</f>
        <v>0</v>
      </c>
      <c r="E707" s="64">
        <f t="shared" si="20"/>
        <v>7</v>
      </c>
      <c r="F707" s="64">
        <v>2</v>
      </c>
      <c r="G707" s="65" t="str">
        <f>IF(Table8[[#This Row],[Weathersit]]=1, "BAD", IF(Table8[[#This Row],[Weathersit]]=2, "MODERATE", IF(Table8[[#This Row],[Weathersit]]=3, "GOOD")))</f>
        <v>MODERATE</v>
      </c>
      <c r="H707" s="64">
        <v>16</v>
      </c>
      <c r="I707" s="65" t="str">
        <f>IF(Table8[[#This Row],[Temp]]&lt;11, "COLD", IF(Table8[[#This Row],[Temp]]&lt;=25, "COMFORTABLE", "WARM"))</f>
        <v>COMFORTABLE</v>
      </c>
      <c r="J707" s="64">
        <v>0.13639999999999999</v>
      </c>
      <c r="K707" s="64">
        <v>0.59</v>
      </c>
      <c r="L707" s="66">
        <v>29.849999999999998</v>
      </c>
      <c r="M707" s="75" t="s">
        <v>81</v>
      </c>
      <c r="N707" s="64">
        <v>0</v>
      </c>
      <c r="O707" s="64">
        <v>112</v>
      </c>
      <c r="P707" s="64">
        <v>112</v>
      </c>
      <c r="Q707" s="64"/>
      <c r="R707" s="65" t="str">
        <f t="shared" si="21"/>
        <v>Week 5</v>
      </c>
      <c r="S707" s="65" t="str">
        <f>TEXT(Table8[[#This Row],[Date Day]],"mmm,YYYY")</f>
        <v>Jan,2011</v>
      </c>
    </row>
    <row r="708" spans="1:19" ht="15.6" x14ac:dyDescent="0.3">
      <c r="A708" s="62">
        <v>675</v>
      </c>
      <c r="B708" s="63">
        <v>40573</v>
      </c>
      <c r="C708" s="64">
        <v>10</v>
      </c>
      <c r="D708" s="64" t="b">
        <f>IF(COUNTIF(AU$36:AU$52,Table8[[#This Row],[Date Day]]) &gt; 0, TRUE, FALSE)</f>
        <v>0</v>
      </c>
      <c r="E708" s="64">
        <f t="shared" si="20"/>
        <v>7</v>
      </c>
      <c r="F708" s="64">
        <v>2</v>
      </c>
      <c r="G708" s="65" t="str">
        <f>IF(Table8[[#This Row],[Weathersit]]=1, "BAD", IF(Table8[[#This Row],[Weathersit]]=2, "MODERATE", IF(Table8[[#This Row],[Weathersit]]=3, "GOOD")))</f>
        <v>MODERATE</v>
      </c>
      <c r="H708" s="64">
        <v>16</v>
      </c>
      <c r="I708" s="65" t="str">
        <f>IF(Table8[[#This Row],[Temp]]&lt;11, "COLD", IF(Table8[[#This Row],[Temp]]&lt;=25, "COMFORTABLE", "WARM"))</f>
        <v>COMFORTABLE</v>
      </c>
      <c r="J708" s="64">
        <v>0.1515</v>
      </c>
      <c r="K708" s="64">
        <v>0.59</v>
      </c>
      <c r="L708" s="66">
        <v>19.400000000000002</v>
      </c>
      <c r="M708" s="75" t="s">
        <v>80</v>
      </c>
      <c r="N708" s="64">
        <v>1</v>
      </c>
      <c r="O708" s="64">
        <v>68</v>
      </c>
      <c r="P708" s="64">
        <v>69</v>
      </c>
      <c r="Q708" s="64"/>
      <c r="R708" s="65" t="str">
        <f t="shared" si="21"/>
        <v>Week 5</v>
      </c>
      <c r="S708" s="65" t="str">
        <f>TEXT(Table8[[#This Row],[Date Day]],"mmm,YYYY")</f>
        <v>Jan,2011</v>
      </c>
    </row>
    <row r="709" spans="1:19" ht="15.6" x14ac:dyDescent="0.3">
      <c r="A709" s="62">
        <v>676</v>
      </c>
      <c r="B709" s="63">
        <v>40573</v>
      </c>
      <c r="C709" s="64">
        <v>11</v>
      </c>
      <c r="D709" s="64" t="b">
        <f>IF(COUNTIF(AU$36:AU$52,Table8[[#This Row],[Date Day]]) &gt; 0, TRUE, FALSE)</f>
        <v>0</v>
      </c>
      <c r="E709" s="64">
        <f t="shared" si="20"/>
        <v>7</v>
      </c>
      <c r="F709" s="64">
        <v>2</v>
      </c>
      <c r="G709" s="65" t="str">
        <f>IF(Table8[[#This Row],[Weathersit]]=1, "BAD", IF(Table8[[#This Row],[Weathersit]]=2, "MODERATE", IF(Table8[[#This Row],[Weathersit]]=3, "GOOD")))</f>
        <v>MODERATE</v>
      </c>
      <c r="H709" s="64">
        <v>16</v>
      </c>
      <c r="I709" s="65" t="str">
        <f>IF(Table8[[#This Row],[Temp]]&lt;11, "COLD", IF(Table8[[#This Row],[Temp]]&lt;=25, "COMFORTABLE", "WARM"))</f>
        <v>COMFORTABLE</v>
      </c>
      <c r="J709" s="64">
        <v>0.1515</v>
      </c>
      <c r="K709" s="64">
        <v>0.59</v>
      </c>
      <c r="L709" s="66">
        <v>19.400000000000002</v>
      </c>
      <c r="M709" s="75" t="s">
        <v>80</v>
      </c>
      <c r="N709" s="64">
        <v>2</v>
      </c>
      <c r="O709" s="64">
        <v>46</v>
      </c>
      <c r="P709" s="64">
        <v>48</v>
      </c>
      <c r="Q709" s="64"/>
      <c r="R709" s="65" t="str">
        <f t="shared" si="21"/>
        <v>Week 5</v>
      </c>
      <c r="S709" s="65" t="str">
        <f>TEXT(Table8[[#This Row],[Date Day]],"mmm,YYYY")</f>
        <v>Jan,2011</v>
      </c>
    </row>
    <row r="710" spans="1:19" ht="15.6" x14ac:dyDescent="0.3">
      <c r="A710" s="62">
        <v>677</v>
      </c>
      <c r="B710" s="63">
        <v>40573</v>
      </c>
      <c r="C710" s="64">
        <v>12</v>
      </c>
      <c r="D710" s="64" t="b">
        <f>IF(COUNTIF(AU$36:AU$52,Table8[[#This Row],[Date Day]]) &gt; 0, TRUE, FALSE)</f>
        <v>0</v>
      </c>
      <c r="E710" s="64">
        <f t="shared" si="20"/>
        <v>7</v>
      </c>
      <c r="F710" s="64">
        <v>2</v>
      </c>
      <c r="G710" s="65" t="str">
        <f>IF(Table8[[#This Row],[Weathersit]]=1, "BAD", IF(Table8[[#This Row],[Weathersit]]=2, "MODERATE", IF(Table8[[#This Row],[Weathersit]]=3, "GOOD")))</f>
        <v>MODERATE</v>
      </c>
      <c r="H710" s="64">
        <v>18</v>
      </c>
      <c r="I710" s="65" t="str">
        <f>IF(Table8[[#This Row],[Temp]]&lt;11, "COLD", IF(Table8[[#This Row],[Temp]]&lt;=25, "COMFORTABLE", "WARM"))</f>
        <v>COMFORTABLE</v>
      </c>
      <c r="J710" s="64">
        <v>0.21210000000000001</v>
      </c>
      <c r="K710" s="64">
        <v>0.55000000000000004</v>
      </c>
      <c r="L710" s="66">
        <v>10.45</v>
      </c>
      <c r="M710" s="75" t="s">
        <v>80</v>
      </c>
      <c r="N710" s="64">
        <v>6</v>
      </c>
      <c r="O710" s="64">
        <v>62</v>
      </c>
      <c r="P710" s="64">
        <v>68</v>
      </c>
      <c r="Q710" s="64"/>
      <c r="R710" s="65" t="str">
        <f t="shared" si="21"/>
        <v>Week 5</v>
      </c>
      <c r="S710" s="65" t="str">
        <f>TEXT(Table8[[#This Row],[Date Day]],"mmm,YYYY")</f>
        <v>Jan,2011</v>
      </c>
    </row>
    <row r="711" spans="1:19" ht="15.6" x14ac:dyDescent="0.3">
      <c r="A711" s="62">
        <v>678</v>
      </c>
      <c r="B711" s="63">
        <v>40573</v>
      </c>
      <c r="C711" s="64">
        <v>13</v>
      </c>
      <c r="D711" s="64" t="b">
        <f>IF(COUNTIF(AU$36:AU$52,Table8[[#This Row],[Date Day]]) &gt; 0, TRUE, FALSE)</f>
        <v>0</v>
      </c>
      <c r="E711" s="64">
        <f t="shared" si="20"/>
        <v>7</v>
      </c>
      <c r="F711" s="64">
        <v>2</v>
      </c>
      <c r="G711" s="65" t="str">
        <f>IF(Table8[[#This Row],[Weathersit]]=1, "BAD", IF(Table8[[#This Row],[Weathersit]]=2, "MODERATE", IF(Table8[[#This Row],[Weathersit]]=3, "GOOD")))</f>
        <v>MODERATE</v>
      </c>
      <c r="H711" s="64">
        <v>16</v>
      </c>
      <c r="I711" s="65" t="str">
        <f>IF(Table8[[#This Row],[Temp]]&lt;11, "COLD", IF(Table8[[#This Row],[Temp]]&lt;=25, "COMFORTABLE", "WARM"))</f>
        <v>COMFORTABLE</v>
      </c>
      <c r="J711" s="64">
        <v>0.2273</v>
      </c>
      <c r="K711" s="64">
        <v>0.59</v>
      </c>
      <c r="L711" s="66">
        <v>17.94158974358977</v>
      </c>
      <c r="M711" s="75" t="s">
        <v>80</v>
      </c>
      <c r="N711" s="64">
        <v>2</v>
      </c>
      <c r="O711" s="64">
        <v>52</v>
      </c>
      <c r="P711" s="64">
        <v>54</v>
      </c>
      <c r="Q711" s="64"/>
      <c r="R711" s="65" t="str">
        <f t="shared" si="21"/>
        <v>Week 5</v>
      </c>
      <c r="S711" s="65" t="str">
        <f>TEXT(Table8[[#This Row],[Date Day]],"mmm,YYYY")</f>
        <v>Jan,2011</v>
      </c>
    </row>
    <row r="712" spans="1:19" ht="15.6" x14ac:dyDescent="0.3">
      <c r="A712" s="62">
        <v>679</v>
      </c>
      <c r="B712" s="63">
        <v>40573</v>
      </c>
      <c r="C712" s="64">
        <v>14</v>
      </c>
      <c r="D712" s="64" t="b">
        <f>IF(COUNTIF(AU$36:AU$52,Table8[[#This Row],[Date Day]]) &gt; 0, TRUE, FALSE)</f>
        <v>0</v>
      </c>
      <c r="E712" s="64">
        <f t="shared" si="20"/>
        <v>7</v>
      </c>
      <c r="F712" s="64">
        <v>2</v>
      </c>
      <c r="G712" s="65" t="str">
        <f>IF(Table8[[#This Row],[Weathersit]]=1, "BAD", IF(Table8[[#This Row],[Weathersit]]=2, "MODERATE", IF(Table8[[#This Row],[Weathersit]]=3, "GOOD")))</f>
        <v>MODERATE</v>
      </c>
      <c r="H712" s="64">
        <v>18</v>
      </c>
      <c r="I712" s="65" t="str">
        <f>IF(Table8[[#This Row],[Temp]]&lt;11, "COLD", IF(Table8[[#This Row],[Temp]]&lt;=25, "COMFORTABLE", "WARM"))</f>
        <v>COMFORTABLE</v>
      </c>
      <c r="J712" s="64">
        <v>0.19700000000000001</v>
      </c>
      <c r="K712" s="64">
        <v>0.55000000000000004</v>
      </c>
      <c r="L712" s="66">
        <v>13.43</v>
      </c>
      <c r="M712" s="75" t="s">
        <v>80</v>
      </c>
      <c r="N712" s="64">
        <v>1</v>
      </c>
      <c r="O712" s="64">
        <v>85</v>
      </c>
      <c r="P712" s="64">
        <v>86</v>
      </c>
      <c r="Q712" s="64"/>
      <c r="R712" s="65" t="str">
        <f t="shared" si="21"/>
        <v>Week 5</v>
      </c>
      <c r="S712" s="65" t="str">
        <f>TEXT(Table8[[#This Row],[Date Day]],"mmm,YYYY")</f>
        <v>Jan,2011</v>
      </c>
    </row>
    <row r="713" spans="1:19" ht="15.6" x14ac:dyDescent="0.3">
      <c r="A713" s="62">
        <v>680</v>
      </c>
      <c r="B713" s="63">
        <v>40573</v>
      </c>
      <c r="C713" s="64">
        <v>15</v>
      </c>
      <c r="D713" s="64" t="b">
        <f>IF(COUNTIF(AU$36:AU$52,Table8[[#This Row],[Date Day]]) &gt; 0, TRUE, FALSE)</f>
        <v>0</v>
      </c>
      <c r="E713" s="64">
        <f t="shared" si="20"/>
        <v>7</v>
      </c>
      <c r="F713" s="64">
        <v>2</v>
      </c>
      <c r="G713" s="65" t="str">
        <f>IF(Table8[[#This Row],[Weathersit]]=1, "BAD", IF(Table8[[#This Row],[Weathersit]]=2, "MODERATE", IF(Table8[[#This Row],[Weathersit]]=3, "GOOD")))</f>
        <v>MODERATE</v>
      </c>
      <c r="H713" s="64">
        <v>16</v>
      </c>
      <c r="I713" s="65" t="str">
        <f>IF(Table8[[#This Row],[Temp]]&lt;11, "COLD", IF(Table8[[#This Row],[Temp]]&lt;=25, "COMFORTABLE", "WARM"))</f>
        <v>COMFORTABLE</v>
      </c>
      <c r="J713" s="64">
        <v>0.18179999999999999</v>
      </c>
      <c r="K713" s="64">
        <v>0.59</v>
      </c>
      <c r="L713" s="66">
        <v>13.43</v>
      </c>
      <c r="M713" s="75" t="s">
        <v>80</v>
      </c>
      <c r="N713" s="64">
        <v>3</v>
      </c>
      <c r="O713" s="64">
        <v>41</v>
      </c>
      <c r="P713" s="64">
        <v>44</v>
      </c>
      <c r="Q713" s="64"/>
      <c r="R713" s="65" t="str">
        <f t="shared" si="21"/>
        <v>Week 5</v>
      </c>
      <c r="S713" s="65" t="str">
        <f>TEXT(Table8[[#This Row],[Date Day]],"mmm,YYYY")</f>
        <v>Jan,2011</v>
      </c>
    </row>
    <row r="714" spans="1:19" ht="15.6" x14ac:dyDescent="0.3">
      <c r="A714" s="62">
        <v>681</v>
      </c>
      <c r="B714" s="63">
        <v>40573</v>
      </c>
      <c r="C714" s="64">
        <v>16</v>
      </c>
      <c r="D714" s="64" t="b">
        <f>IF(COUNTIF(AU$36:AU$52,Table8[[#This Row],[Date Day]]) &gt; 0, TRUE, FALSE)</f>
        <v>0</v>
      </c>
      <c r="E714" s="64">
        <f t="shared" si="20"/>
        <v>7</v>
      </c>
      <c r="F714" s="64">
        <v>2</v>
      </c>
      <c r="G714" s="65" t="str">
        <f>IF(Table8[[#This Row],[Weathersit]]=1, "BAD", IF(Table8[[#This Row],[Weathersit]]=2, "MODERATE", IF(Table8[[#This Row],[Weathersit]]=3, "GOOD")))</f>
        <v>MODERATE</v>
      </c>
      <c r="H714" s="64">
        <v>16</v>
      </c>
      <c r="I714" s="65" t="str">
        <f>IF(Table8[[#This Row],[Temp]]&lt;11, "COLD", IF(Table8[[#This Row],[Temp]]&lt;=25, "COMFORTABLE", "WARM"))</f>
        <v>COMFORTABLE</v>
      </c>
      <c r="J714" s="64">
        <v>0.18179999999999999</v>
      </c>
      <c r="K714" s="64">
        <v>0.56000000000000005</v>
      </c>
      <c r="L714" s="66">
        <v>19.400000000000002</v>
      </c>
      <c r="M714" s="75" t="s">
        <v>80</v>
      </c>
      <c r="N714" s="64">
        <v>3</v>
      </c>
      <c r="O714" s="64">
        <v>83</v>
      </c>
      <c r="P714" s="64">
        <v>86</v>
      </c>
      <c r="Q714" s="64"/>
      <c r="R714" s="65" t="str">
        <f t="shared" si="21"/>
        <v>Week 5</v>
      </c>
      <c r="S714" s="65" t="str">
        <f>TEXT(Table8[[#This Row],[Date Day]],"mmm,YYYY")</f>
        <v>Jan,2011</v>
      </c>
    </row>
    <row r="715" spans="1:19" ht="15.6" x14ac:dyDescent="0.3">
      <c r="A715" s="62">
        <v>682</v>
      </c>
      <c r="B715" s="63">
        <v>40573</v>
      </c>
      <c r="C715" s="64">
        <v>17</v>
      </c>
      <c r="D715" s="64" t="b">
        <f>IF(COUNTIF(AU$36:AU$52,Table8[[#This Row],[Date Day]]) &gt; 0, TRUE, FALSE)</f>
        <v>0</v>
      </c>
      <c r="E715" s="64">
        <f t="shared" si="20"/>
        <v>7</v>
      </c>
      <c r="F715" s="64">
        <v>2</v>
      </c>
      <c r="G715" s="65" t="str">
        <f>IF(Table8[[#This Row],[Weathersit]]=1, "BAD", IF(Table8[[#This Row],[Weathersit]]=2, "MODERATE", IF(Table8[[#This Row],[Weathersit]]=3, "GOOD")))</f>
        <v>MODERATE</v>
      </c>
      <c r="H715" s="64">
        <v>16</v>
      </c>
      <c r="I715" s="65" t="str">
        <f>IF(Table8[[#This Row],[Temp]]&lt;11, "COLD", IF(Table8[[#This Row],[Temp]]&lt;=25, "COMFORTABLE", "WARM"))</f>
        <v>COMFORTABLE</v>
      </c>
      <c r="J715" s="64">
        <v>0.1515</v>
      </c>
      <c r="K715" s="64">
        <v>0.59</v>
      </c>
      <c r="L715" s="66">
        <v>19.400000000000002</v>
      </c>
      <c r="M715" s="75" t="s">
        <v>80</v>
      </c>
      <c r="N715" s="64">
        <v>6</v>
      </c>
      <c r="O715" s="64">
        <v>155</v>
      </c>
      <c r="P715" s="64">
        <v>161</v>
      </c>
      <c r="Q715" s="64"/>
      <c r="R715" s="65" t="str">
        <f t="shared" si="21"/>
        <v>Week 5</v>
      </c>
      <c r="S715" s="65" t="str">
        <f>TEXT(Table8[[#This Row],[Date Day]],"mmm,YYYY")</f>
        <v>Jan,2011</v>
      </c>
    </row>
    <row r="716" spans="1:19" ht="15.6" x14ac:dyDescent="0.3">
      <c r="A716" s="62">
        <v>683</v>
      </c>
      <c r="B716" s="63">
        <v>40573</v>
      </c>
      <c r="C716" s="64">
        <v>18</v>
      </c>
      <c r="D716" s="64" t="b">
        <f>IF(COUNTIF(AU$36:AU$52,Table8[[#This Row],[Date Day]]) &gt; 0, TRUE, FALSE)</f>
        <v>0</v>
      </c>
      <c r="E716" s="64">
        <f t="shared" si="20"/>
        <v>7</v>
      </c>
      <c r="F716" s="64">
        <v>2</v>
      </c>
      <c r="G716" s="65" t="str">
        <f>IF(Table8[[#This Row],[Weathersit]]=1, "BAD", IF(Table8[[#This Row],[Weathersit]]=2, "MODERATE", IF(Table8[[#This Row],[Weathersit]]=3, "GOOD")))</f>
        <v>MODERATE</v>
      </c>
      <c r="H716" s="64">
        <v>16</v>
      </c>
      <c r="I716" s="65" t="str">
        <f>IF(Table8[[#This Row],[Temp]]&lt;11, "COLD", IF(Table8[[#This Row],[Temp]]&lt;=25, "COMFORTABLE", "WARM"))</f>
        <v>COMFORTABLE</v>
      </c>
      <c r="J716" s="64">
        <v>0.1515</v>
      </c>
      <c r="K716" s="64">
        <v>0.55000000000000004</v>
      </c>
      <c r="L716" s="66">
        <v>22.39</v>
      </c>
      <c r="M716" s="75" t="s">
        <v>81</v>
      </c>
      <c r="N716" s="64">
        <v>3</v>
      </c>
      <c r="O716" s="64">
        <v>153</v>
      </c>
      <c r="P716" s="64">
        <v>156</v>
      </c>
      <c r="Q716" s="64"/>
      <c r="R716" s="65" t="str">
        <f t="shared" si="21"/>
        <v>Week 5</v>
      </c>
      <c r="S716" s="65" t="str">
        <f>TEXT(Table8[[#This Row],[Date Day]],"mmm,YYYY")</f>
        <v>Jan,2011</v>
      </c>
    </row>
    <row r="717" spans="1:19" ht="15.6" x14ac:dyDescent="0.3">
      <c r="A717" s="62">
        <v>684</v>
      </c>
      <c r="B717" s="63">
        <v>40573</v>
      </c>
      <c r="C717" s="64">
        <v>19</v>
      </c>
      <c r="D717" s="64" t="b">
        <f>IF(COUNTIF(AU$36:AU$52,Table8[[#This Row],[Date Day]]) &gt; 0, TRUE, FALSE)</f>
        <v>0</v>
      </c>
      <c r="E717" s="64">
        <f t="shared" si="20"/>
        <v>7</v>
      </c>
      <c r="F717" s="64">
        <v>1</v>
      </c>
      <c r="G717" s="65" t="str">
        <f>IF(Table8[[#This Row],[Weathersit]]=1, "BAD", IF(Table8[[#This Row],[Weathersit]]=2, "MODERATE", IF(Table8[[#This Row],[Weathersit]]=3, "GOOD")))</f>
        <v>BAD</v>
      </c>
      <c r="H717" s="64">
        <v>30</v>
      </c>
      <c r="I717" s="65" t="str">
        <f>IF(Table8[[#This Row],[Temp]]&lt;11, "COLD", IF(Table8[[#This Row],[Temp]]&lt;=25, "COMFORTABLE", "WARM"))</f>
        <v>WARM</v>
      </c>
      <c r="J717" s="64">
        <v>0.31819999999999998</v>
      </c>
      <c r="K717" s="64">
        <v>0.61</v>
      </c>
      <c r="L717" s="66">
        <v>10.45</v>
      </c>
      <c r="M717" s="75" t="s">
        <v>80</v>
      </c>
      <c r="N717" s="64">
        <v>3</v>
      </c>
      <c r="O717" s="64">
        <v>108</v>
      </c>
      <c r="P717" s="64">
        <v>111</v>
      </c>
      <c r="Q717" s="64"/>
      <c r="R717" s="65" t="str">
        <f t="shared" si="21"/>
        <v>Week 5</v>
      </c>
      <c r="S717" s="65" t="str">
        <f>TEXT(Table8[[#This Row],[Date Day]],"mmm,YYYY")</f>
        <v>Jan,2011</v>
      </c>
    </row>
    <row r="718" spans="1:19" ht="15.6" x14ac:dyDescent="0.3">
      <c r="A718" s="62">
        <v>685</v>
      </c>
      <c r="B718" s="63">
        <v>40573</v>
      </c>
      <c r="C718" s="64">
        <v>20</v>
      </c>
      <c r="D718" s="64" t="b">
        <f>IF(COUNTIF(AU$36:AU$52,Table8[[#This Row],[Date Day]]) &gt; 0, TRUE, FALSE)</f>
        <v>0</v>
      </c>
      <c r="E718" s="64">
        <f t="shared" si="20"/>
        <v>7</v>
      </c>
      <c r="F718" s="64">
        <v>3</v>
      </c>
      <c r="G718" s="65" t="str">
        <f>IF(Table8[[#This Row],[Weathersit]]=1, "BAD", IF(Table8[[#This Row],[Weathersit]]=2, "MODERATE", IF(Table8[[#This Row],[Weathersit]]=3, "GOOD")))</f>
        <v>GOOD</v>
      </c>
      <c r="H718" s="64">
        <v>16</v>
      </c>
      <c r="I718" s="65" t="str">
        <f>IF(Table8[[#This Row],[Temp]]&lt;11, "COLD", IF(Table8[[#This Row],[Temp]]&lt;=25, "COMFORTABLE", "WARM"))</f>
        <v>COMFORTABLE</v>
      </c>
      <c r="J718" s="64">
        <v>0.16669999999999999</v>
      </c>
      <c r="K718" s="64">
        <v>0.59</v>
      </c>
      <c r="L718" s="66">
        <v>16.420000000000002</v>
      </c>
      <c r="M718" s="75" t="s">
        <v>80</v>
      </c>
      <c r="N718" s="64">
        <v>0</v>
      </c>
      <c r="O718" s="64">
        <v>78</v>
      </c>
      <c r="P718" s="64">
        <v>78</v>
      </c>
      <c r="Q718" s="64"/>
      <c r="R718" s="65" t="str">
        <f t="shared" si="21"/>
        <v>Week 5</v>
      </c>
      <c r="S718" s="65" t="str">
        <f>TEXT(Table8[[#This Row],[Date Day]],"mmm,YYYY")</f>
        <v>Jan,2011</v>
      </c>
    </row>
    <row r="719" spans="1:19" ht="15.6" x14ac:dyDescent="0.3">
      <c r="A719" s="62">
        <v>686</v>
      </c>
      <c r="B719" s="63">
        <v>40573</v>
      </c>
      <c r="C719" s="64">
        <v>21</v>
      </c>
      <c r="D719" s="64" t="b">
        <f>IF(COUNTIF(AU$36:AU$52,Table8[[#This Row],[Date Day]]) &gt; 0, TRUE, FALSE)</f>
        <v>0</v>
      </c>
      <c r="E719" s="64">
        <f t="shared" si="20"/>
        <v>7</v>
      </c>
      <c r="F719" s="64">
        <v>3</v>
      </c>
      <c r="G719" s="65" t="str">
        <f>IF(Table8[[#This Row],[Weathersit]]=1, "BAD", IF(Table8[[#This Row],[Weathersit]]=2, "MODERATE", IF(Table8[[#This Row],[Weathersit]]=3, "GOOD")))</f>
        <v>GOOD</v>
      </c>
      <c r="H719" s="64">
        <v>16</v>
      </c>
      <c r="I719" s="65" t="str">
        <f>IF(Table8[[#This Row],[Temp]]&lt;11, "COLD", IF(Table8[[#This Row],[Temp]]&lt;=25, "COMFORTABLE", "WARM"))</f>
        <v>COMFORTABLE</v>
      </c>
      <c r="J719" s="64">
        <v>0.19700000000000001</v>
      </c>
      <c r="K719" s="64">
        <v>0.59</v>
      </c>
      <c r="L719" s="66">
        <v>8.9599999999999991</v>
      </c>
      <c r="M719" s="75" t="s">
        <v>80</v>
      </c>
      <c r="N719" s="64">
        <v>3</v>
      </c>
      <c r="O719" s="64">
        <v>53</v>
      </c>
      <c r="P719" s="64">
        <v>56</v>
      </c>
      <c r="Q719" s="64"/>
      <c r="R719" s="65" t="str">
        <f t="shared" si="21"/>
        <v>Week 5</v>
      </c>
      <c r="S719" s="65" t="str">
        <f>TEXT(Table8[[#This Row],[Date Day]],"mmm,YYYY")</f>
        <v>Jan,2011</v>
      </c>
    </row>
    <row r="720" spans="1:19" ht="15.6" x14ac:dyDescent="0.3">
      <c r="A720" s="62">
        <v>687</v>
      </c>
      <c r="B720" s="63">
        <v>40573</v>
      </c>
      <c r="C720" s="64">
        <v>22</v>
      </c>
      <c r="D720" s="64" t="b">
        <f>IF(COUNTIF(AU$36:AU$52,Table8[[#This Row],[Date Day]]) &gt; 0, TRUE, FALSE)</f>
        <v>0</v>
      </c>
      <c r="E720" s="64">
        <f t="shared" si="20"/>
        <v>7</v>
      </c>
      <c r="F720" s="64">
        <v>2</v>
      </c>
      <c r="G720" s="65" t="str">
        <f>IF(Table8[[#This Row],[Weathersit]]=1, "BAD", IF(Table8[[#This Row],[Weathersit]]=2, "MODERATE", IF(Table8[[#This Row],[Weathersit]]=3, "GOOD")))</f>
        <v>MODERATE</v>
      </c>
      <c r="H720" s="64">
        <v>16</v>
      </c>
      <c r="I720" s="65" t="str">
        <f>IF(Table8[[#This Row],[Temp]]&lt;11, "COLD", IF(Table8[[#This Row],[Temp]]&lt;=25, "COMFORTABLE", "WARM"))</f>
        <v>COMFORTABLE</v>
      </c>
      <c r="J720" s="64">
        <v>0.18179999999999999</v>
      </c>
      <c r="K720" s="64">
        <v>0.59</v>
      </c>
      <c r="L720" s="66">
        <v>10.45</v>
      </c>
      <c r="M720" s="75" t="s">
        <v>80</v>
      </c>
      <c r="N720" s="64">
        <v>0</v>
      </c>
      <c r="O720" s="64">
        <v>34</v>
      </c>
      <c r="P720" s="64">
        <v>34</v>
      </c>
      <c r="Q720" s="64"/>
      <c r="R720" s="65" t="str">
        <f t="shared" si="21"/>
        <v>Week 5</v>
      </c>
      <c r="S720" s="65" t="str">
        <f>TEXT(Table8[[#This Row],[Date Day]],"mmm,YYYY")</f>
        <v>Jan,2011</v>
      </c>
    </row>
    <row r="721" spans="1:19" ht="15.6" x14ac:dyDescent="0.3">
      <c r="A721" s="62">
        <v>688</v>
      </c>
      <c r="B721" s="63">
        <v>40573</v>
      </c>
      <c r="C721" s="64">
        <v>23</v>
      </c>
      <c r="D721" s="64" t="b">
        <f>IF(COUNTIF(AU$36:AU$52,Table8[[#This Row],[Date Day]]) &gt; 0, TRUE, FALSE)</f>
        <v>0</v>
      </c>
      <c r="E721" s="64">
        <f t="shared" si="20"/>
        <v>7</v>
      </c>
      <c r="F721" s="64">
        <v>2</v>
      </c>
      <c r="G721" s="65" t="str">
        <f>IF(Table8[[#This Row],[Weathersit]]=1, "BAD", IF(Table8[[#This Row],[Weathersit]]=2, "MODERATE", IF(Table8[[#This Row],[Weathersit]]=3, "GOOD")))</f>
        <v>MODERATE</v>
      </c>
      <c r="H721" s="64">
        <v>16</v>
      </c>
      <c r="I721" s="65" t="str">
        <f>IF(Table8[[#This Row],[Temp]]&lt;11, "COLD", IF(Table8[[#This Row],[Temp]]&lt;=25, "COMFORTABLE", "WARM"))</f>
        <v>COMFORTABLE</v>
      </c>
      <c r="J721" s="64">
        <v>0.19700000000000001</v>
      </c>
      <c r="K721" s="64">
        <v>0.64</v>
      </c>
      <c r="L721" s="66">
        <v>8.9599999999999991</v>
      </c>
      <c r="M721" s="75" t="s">
        <v>80</v>
      </c>
      <c r="N721" s="64">
        <v>2</v>
      </c>
      <c r="O721" s="64">
        <v>15</v>
      </c>
      <c r="P721" s="64">
        <v>17</v>
      </c>
      <c r="Q721" s="64"/>
      <c r="R721" s="65" t="str">
        <f t="shared" si="21"/>
        <v>Week 5</v>
      </c>
      <c r="S721" s="65" t="str">
        <f>TEXT(Table8[[#This Row],[Date Day]],"mmm,YYYY")</f>
        <v>Jan,2011</v>
      </c>
    </row>
    <row r="722" spans="1:19" ht="15.6" x14ac:dyDescent="0.3">
      <c r="A722" s="62">
        <v>689</v>
      </c>
      <c r="B722" s="63">
        <v>40574</v>
      </c>
      <c r="C722" s="64">
        <v>0</v>
      </c>
      <c r="D722" s="64" t="b">
        <f>IF(COUNTIF(AU$36:AU$52,Table8[[#This Row],[Date Day]]) &gt; 0, TRUE, FALSE)</f>
        <v>0</v>
      </c>
      <c r="E722" s="64">
        <f t="shared" si="20"/>
        <v>1</v>
      </c>
      <c r="F722" s="64">
        <v>2</v>
      </c>
      <c r="G722" s="65" t="str">
        <f>IF(Table8[[#This Row],[Weathersit]]=1, "BAD", IF(Table8[[#This Row],[Weathersit]]=2, "MODERATE", IF(Table8[[#This Row],[Weathersit]]=3, "GOOD")))</f>
        <v>MODERATE</v>
      </c>
      <c r="H722" s="64">
        <v>16</v>
      </c>
      <c r="I722" s="65" t="str">
        <f>IF(Table8[[#This Row],[Temp]]&lt;11, "COLD", IF(Table8[[#This Row],[Temp]]&lt;=25, "COMFORTABLE", "WARM"))</f>
        <v>COMFORTABLE</v>
      </c>
      <c r="J722" s="64">
        <v>0.18179999999999999</v>
      </c>
      <c r="K722" s="64">
        <v>0.64</v>
      </c>
      <c r="L722" s="66">
        <v>10.45</v>
      </c>
      <c r="M722" s="75" t="s">
        <v>80</v>
      </c>
      <c r="N722" s="64">
        <v>2</v>
      </c>
      <c r="O722" s="64">
        <v>6</v>
      </c>
      <c r="P722" s="64">
        <v>8</v>
      </c>
      <c r="Q722" s="64"/>
      <c r="R722" s="65" t="str">
        <f t="shared" si="21"/>
        <v>Week 5</v>
      </c>
      <c r="S722" s="65" t="str">
        <f>TEXT(Table8[[#This Row],[Date Day]],"mmm,YYYY")</f>
        <v>Jan,2011</v>
      </c>
    </row>
    <row r="723" spans="1:19" ht="15.6" x14ac:dyDescent="0.3">
      <c r="A723" s="62">
        <v>690</v>
      </c>
      <c r="B723" s="63">
        <v>40574</v>
      </c>
      <c r="C723" s="64">
        <v>1</v>
      </c>
      <c r="D723" s="64" t="b">
        <f>IF(COUNTIF(AU$36:AU$52,Table8[[#This Row],[Date Day]]) &gt; 0, TRUE, FALSE)</f>
        <v>0</v>
      </c>
      <c r="E723" s="64">
        <f t="shared" si="20"/>
        <v>1</v>
      </c>
      <c r="F723" s="64">
        <v>2</v>
      </c>
      <c r="G723" s="65" t="str">
        <f>IF(Table8[[#This Row],[Weathersit]]=1, "BAD", IF(Table8[[#This Row],[Weathersit]]=2, "MODERATE", IF(Table8[[#This Row],[Weathersit]]=3, "GOOD")))</f>
        <v>MODERATE</v>
      </c>
      <c r="H723" s="64">
        <v>16</v>
      </c>
      <c r="I723" s="65" t="str">
        <f>IF(Table8[[#This Row],[Temp]]&lt;11, "COLD", IF(Table8[[#This Row],[Temp]]&lt;=25, "COMFORTABLE", "WARM"))</f>
        <v>COMFORTABLE</v>
      </c>
      <c r="J723" s="64">
        <v>0.18179999999999999</v>
      </c>
      <c r="K723" s="64">
        <v>0.69</v>
      </c>
      <c r="L723" s="66">
        <v>10.45</v>
      </c>
      <c r="M723" s="75" t="s">
        <v>80</v>
      </c>
      <c r="N723" s="64">
        <v>0</v>
      </c>
      <c r="O723" s="64">
        <v>3</v>
      </c>
      <c r="P723" s="64">
        <v>3</v>
      </c>
      <c r="Q723" s="64"/>
      <c r="R723" s="65" t="str">
        <f t="shared" si="21"/>
        <v>Week 5</v>
      </c>
      <c r="S723" s="65" t="str">
        <f>TEXT(Table8[[#This Row],[Date Day]],"mmm,YYYY")</f>
        <v>Jan,2011</v>
      </c>
    </row>
    <row r="724" spans="1:19" ht="15.6" x14ac:dyDescent="0.3">
      <c r="A724" s="62">
        <v>691</v>
      </c>
      <c r="B724" s="63">
        <v>40574</v>
      </c>
      <c r="C724" s="64">
        <v>2</v>
      </c>
      <c r="D724" s="64" t="b">
        <f>IF(COUNTIF(AU$36:AU$52,Table8[[#This Row],[Date Day]]) &gt; 0, TRUE, FALSE)</f>
        <v>0</v>
      </c>
      <c r="E724" s="64">
        <f t="shared" si="20"/>
        <v>1</v>
      </c>
      <c r="F724" s="64">
        <v>2</v>
      </c>
      <c r="G724" s="65" t="str">
        <f>IF(Table8[[#This Row],[Weathersit]]=1, "BAD", IF(Table8[[#This Row],[Weathersit]]=2, "MODERATE", IF(Table8[[#This Row],[Weathersit]]=3, "GOOD")))</f>
        <v>MODERATE</v>
      </c>
      <c r="H724" s="64">
        <v>16</v>
      </c>
      <c r="I724" s="65" t="str">
        <f>IF(Table8[[#This Row],[Temp]]&lt;11, "COLD", IF(Table8[[#This Row],[Temp]]&lt;=25, "COMFORTABLE", "WARM"))</f>
        <v>COMFORTABLE</v>
      </c>
      <c r="J724" s="64">
        <v>0.2273</v>
      </c>
      <c r="K724" s="64">
        <v>0.69</v>
      </c>
      <c r="L724" s="66">
        <v>17.94158974358977</v>
      </c>
      <c r="M724" s="75" t="s">
        <v>80</v>
      </c>
      <c r="N724" s="64">
        <v>0</v>
      </c>
      <c r="O724" s="64">
        <v>2</v>
      </c>
      <c r="P724" s="64">
        <v>2</v>
      </c>
      <c r="Q724" s="64"/>
      <c r="R724" s="65" t="str">
        <f t="shared" si="21"/>
        <v>Week 5</v>
      </c>
      <c r="S724" s="65" t="str">
        <f>TEXT(Table8[[#This Row],[Date Day]],"mmm,YYYY")</f>
        <v>Jan,2011</v>
      </c>
    </row>
    <row r="725" spans="1:19" ht="15.6" x14ac:dyDescent="0.3">
      <c r="A725" s="62">
        <v>692</v>
      </c>
      <c r="B725" s="63">
        <v>40574</v>
      </c>
      <c r="C725" s="64">
        <v>3</v>
      </c>
      <c r="D725" s="64" t="b">
        <f>IF(COUNTIF(AU$36:AU$52,Table8[[#This Row],[Date Day]]) &gt; 0, TRUE, FALSE)</f>
        <v>0</v>
      </c>
      <c r="E725" s="64">
        <f t="shared" si="20"/>
        <v>1</v>
      </c>
      <c r="F725" s="64">
        <v>2</v>
      </c>
      <c r="G725" s="65" t="str">
        <f>IF(Table8[[#This Row],[Weathersit]]=1, "BAD", IF(Table8[[#This Row],[Weathersit]]=2, "MODERATE", IF(Table8[[#This Row],[Weathersit]]=3, "GOOD")))</f>
        <v>MODERATE</v>
      </c>
      <c r="H725" s="64">
        <v>16</v>
      </c>
      <c r="I725" s="65" t="str">
        <f>IF(Table8[[#This Row],[Temp]]&lt;11, "COLD", IF(Table8[[#This Row],[Temp]]&lt;=25, "COMFORTABLE", "WARM"))</f>
        <v>COMFORTABLE</v>
      </c>
      <c r="J725" s="64">
        <v>0.2273</v>
      </c>
      <c r="K725" s="64">
        <v>0.69</v>
      </c>
      <c r="L725" s="66">
        <v>17.94158974358977</v>
      </c>
      <c r="M725" s="75" t="s">
        <v>80</v>
      </c>
      <c r="N725" s="64">
        <v>0</v>
      </c>
      <c r="O725" s="64">
        <v>2</v>
      </c>
      <c r="P725" s="64">
        <v>2</v>
      </c>
      <c r="Q725" s="64"/>
      <c r="R725" s="65" t="str">
        <f t="shared" si="21"/>
        <v>Week 5</v>
      </c>
      <c r="S725" s="65" t="str">
        <f>TEXT(Table8[[#This Row],[Date Day]],"mmm,YYYY")</f>
        <v>Jan,2011</v>
      </c>
    </row>
    <row r="726" spans="1:19" ht="15.6" x14ac:dyDescent="0.3">
      <c r="A726" s="62">
        <v>693</v>
      </c>
      <c r="B726" s="63">
        <v>40574</v>
      </c>
      <c r="C726" s="64">
        <v>5</v>
      </c>
      <c r="D726" s="64" t="b">
        <f>IF(COUNTIF(AU$36:AU$52,Table8[[#This Row],[Date Day]]) &gt; 0, TRUE, FALSE)</f>
        <v>0</v>
      </c>
      <c r="E726" s="64">
        <f t="shared" si="20"/>
        <v>1</v>
      </c>
      <c r="F726" s="64">
        <v>3</v>
      </c>
      <c r="G726" s="65" t="str">
        <f>IF(Table8[[#This Row],[Weathersit]]=1, "BAD", IF(Table8[[#This Row],[Weathersit]]=2, "MODERATE", IF(Table8[[#This Row],[Weathersit]]=3, "GOOD")))</f>
        <v>GOOD</v>
      </c>
      <c r="H726" s="64">
        <v>14.000000000000002</v>
      </c>
      <c r="I726" s="65" t="str">
        <f>IF(Table8[[#This Row],[Temp]]&lt;11, "COLD", IF(Table8[[#This Row],[Temp]]&lt;=25, "COMFORTABLE", "WARM"))</f>
        <v>COMFORTABLE</v>
      </c>
      <c r="J726" s="64">
        <v>0.21210000000000001</v>
      </c>
      <c r="K726" s="64">
        <v>0.93</v>
      </c>
      <c r="L726" s="66">
        <v>17.94158974358977</v>
      </c>
      <c r="M726" s="75" t="s">
        <v>80</v>
      </c>
      <c r="N726" s="64">
        <v>0</v>
      </c>
      <c r="O726" s="64">
        <v>3</v>
      </c>
      <c r="P726" s="64">
        <v>3</v>
      </c>
      <c r="Q726" s="64"/>
      <c r="R726" s="65" t="str">
        <f t="shared" si="21"/>
        <v>Week 5</v>
      </c>
      <c r="S726" s="65" t="str">
        <f>TEXT(Table8[[#This Row],[Date Day]],"mmm,YYYY")</f>
        <v>Jan,2011</v>
      </c>
    </row>
    <row r="727" spans="1:19" ht="15.6" x14ac:dyDescent="0.3">
      <c r="A727" s="62">
        <v>694</v>
      </c>
      <c r="B727" s="63">
        <v>40574</v>
      </c>
      <c r="C727" s="64">
        <v>6</v>
      </c>
      <c r="D727" s="64" t="b">
        <f>IF(COUNTIF(AU$36:AU$52,Table8[[#This Row],[Date Day]]) &gt; 0, TRUE, FALSE)</f>
        <v>0</v>
      </c>
      <c r="E727" s="64">
        <f t="shared" si="20"/>
        <v>1</v>
      </c>
      <c r="F727" s="64">
        <v>3</v>
      </c>
      <c r="G727" s="65" t="str">
        <f>IF(Table8[[#This Row],[Weathersit]]=1, "BAD", IF(Table8[[#This Row],[Weathersit]]=2, "MODERATE", IF(Table8[[#This Row],[Weathersit]]=3, "GOOD")))</f>
        <v>GOOD</v>
      </c>
      <c r="H727" s="64">
        <v>14.000000000000002</v>
      </c>
      <c r="I727" s="65" t="str">
        <f>IF(Table8[[#This Row],[Temp]]&lt;11, "COLD", IF(Table8[[#This Row],[Temp]]&lt;=25, "COMFORTABLE", "WARM"))</f>
        <v>COMFORTABLE</v>
      </c>
      <c r="J727" s="64">
        <v>0.21210000000000001</v>
      </c>
      <c r="K727" s="64">
        <v>0.93</v>
      </c>
      <c r="L727" s="66">
        <v>17.94158974358977</v>
      </c>
      <c r="M727" s="75" t="s">
        <v>80</v>
      </c>
      <c r="N727" s="64">
        <v>0</v>
      </c>
      <c r="O727" s="64">
        <v>22</v>
      </c>
      <c r="P727" s="64">
        <v>22</v>
      </c>
      <c r="Q727" s="64"/>
      <c r="R727" s="65" t="str">
        <f t="shared" si="21"/>
        <v>Week 5</v>
      </c>
      <c r="S727" s="65" t="str">
        <f>TEXT(Table8[[#This Row],[Date Day]],"mmm,YYYY")</f>
        <v>Jan,2011</v>
      </c>
    </row>
    <row r="728" spans="1:19" ht="15.6" x14ac:dyDescent="0.3">
      <c r="A728" s="62">
        <v>695</v>
      </c>
      <c r="B728" s="63">
        <v>40574</v>
      </c>
      <c r="C728" s="64">
        <v>7</v>
      </c>
      <c r="D728" s="64" t="b">
        <f>IF(COUNTIF(AU$36:AU$52,Table8[[#This Row],[Date Day]]) &gt; 0, TRUE, FALSE)</f>
        <v>0</v>
      </c>
      <c r="E728" s="64">
        <f t="shared" si="20"/>
        <v>1</v>
      </c>
      <c r="F728" s="64">
        <v>3</v>
      </c>
      <c r="G728" s="65" t="str">
        <f>IF(Table8[[#This Row],[Weathersit]]=1, "BAD", IF(Table8[[#This Row],[Weathersit]]=2, "MODERATE", IF(Table8[[#This Row],[Weathersit]]=3, "GOOD")))</f>
        <v>GOOD</v>
      </c>
      <c r="H728" s="64">
        <v>16</v>
      </c>
      <c r="I728" s="65" t="str">
        <f>IF(Table8[[#This Row],[Temp]]&lt;11, "COLD", IF(Table8[[#This Row],[Temp]]&lt;=25, "COMFORTABLE", "WARM"))</f>
        <v>COMFORTABLE</v>
      </c>
      <c r="J728" s="64">
        <v>0.2273</v>
      </c>
      <c r="K728" s="64">
        <v>0.93</v>
      </c>
      <c r="L728" s="66">
        <v>17.94158974358977</v>
      </c>
      <c r="M728" s="75" t="s">
        <v>80</v>
      </c>
      <c r="N728" s="64">
        <v>0</v>
      </c>
      <c r="O728" s="64">
        <v>52</v>
      </c>
      <c r="P728" s="64">
        <v>52</v>
      </c>
      <c r="Q728" s="64"/>
      <c r="R728" s="65" t="str">
        <f t="shared" si="21"/>
        <v>Week 5</v>
      </c>
      <c r="S728" s="65" t="str">
        <f>TEXT(Table8[[#This Row],[Date Day]],"mmm,YYYY")</f>
        <v>Jan,2011</v>
      </c>
    </row>
    <row r="729" spans="1:19" ht="15.6" x14ac:dyDescent="0.3">
      <c r="A729" s="62">
        <v>696</v>
      </c>
      <c r="B729" s="63">
        <v>40574</v>
      </c>
      <c r="C729" s="64">
        <v>8</v>
      </c>
      <c r="D729" s="64" t="b">
        <f>IF(COUNTIF(AU$36:AU$52,Table8[[#This Row],[Date Day]]) &gt; 0, TRUE, FALSE)</f>
        <v>0</v>
      </c>
      <c r="E729" s="64">
        <f t="shared" si="20"/>
        <v>1</v>
      </c>
      <c r="F729" s="64">
        <v>3</v>
      </c>
      <c r="G729" s="65" t="str">
        <f>IF(Table8[[#This Row],[Weathersit]]=1, "BAD", IF(Table8[[#This Row],[Weathersit]]=2, "MODERATE", IF(Table8[[#This Row],[Weathersit]]=3, "GOOD")))</f>
        <v>GOOD</v>
      </c>
      <c r="H729" s="64">
        <v>16</v>
      </c>
      <c r="I729" s="65" t="str">
        <f>IF(Table8[[#This Row],[Temp]]&lt;11, "COLD", IF(Table8[[#This Row],[Temp]]&lt;=25, "COMFORTABLE", "WARM"))</f>
        <v>COMFORTABLE</v>
      </c>
      <c r="J729" s="64">
        <v>0.2273</v>
      </c>
      <c r="K729" s="64">
        <v>0.93</v>
      </c>
      <c r="L729" s="66">
        <v>17.94158974358977</v>
      </c>
      <c r="M729" s="75" t="s">
        <v>80</v>
      </c>
      <c r="N729" s="64">
        <v>3</v>
      </c>
      <c r="O729" s="64">
        <v>132</v>
      </c>
      <c r="P729" s="64">
        <v>135</v>
      </c>
      <c r="Q729" s="64"/>
      <c r="R729" s="65" t="str">
        <f t="shared" si="21"/>
        <v>Week 5</v>
      </c>
      <c r="S729" s="65" t="str">
        <f>TEXT(Table8[[#This Row],[Date Day]],"mmm,YYYY")</f>
        <v>Jan,2011</v>
      </c>
    </row>
    <row r="730" spans="1:19" ht="15.6" x14ac:dyDescent="0.3">
      <c r="A730" s="62">
        <v>697</v>
      </c>
      <c r="B730" s="63">
        <v>40574</v>
      </c>
      <c r="C730" s="64">
        <v>9</v>
      </c>
      <c r="D730" s="64" t="b">
        <f>IF(COUNTIF(AU$36:AU$52,Table8[[#This Row],[Date Day]]) &gt; 0, TRUE, FALSE)</f>
        <v>0</v>
      </c>
      <c r="E730" s="64">
        <f t="shared" si="20"/>
        <v>1</v>
      </c>
      <c r="F730" s="64">
        <v>2</v>
      </c>
      <c r="G730" s="65" t="str">
        <f>IF(Table8[[#This Row],[Weathersit]]=1, "BAD", IF(Table8[[#This Row],[Weathersit]]=2, "MODERATE", IF(Table8[[#This Row],[Weathersit]]=3, "GOOD")))</f>
        <v>MODERATE</v>
      </c>
      <c r="H730" s="64">
        <v>16</v>
      </c>
      <c r="I730" s="65" t="str">
        <f>IF(Table8[[#This Row],[Temp]]&lt;11, "COLD", IF(Table8[[#This Row],[Temp]]&lt;=25, "COMFORTABLE", "WARM"))</f>
        <v>COMFORTABLE</v>
      </c>
      <c r="J730" s="64">
        <v>0.2273</v>
      </c>
      <c r="K730" s="64">
        <v>0.93</v>
      </c>
      <c r="L730" s="66">
        <v>17.94158974358977</v>
      </c>
      <c r="M730" s="75" t="s">
        <v>80</v>
      </c>
      <c r="N730" s="64">
        <v>2</v>
      </c>
      <c r="O730" s="64">
        <v>114</v>
      </c>
      <c r="P730" s="64">
        <v>116</v>
      </c>
      <c r="Q730" s="64"/>
      <c r="R730" s="65" t="str">
        <f t="shared" si="21"/>
        <v>Week 5</v>
      </c>
      <c r="S730" s="65" t="str">
        <f>TEXT(Table8[[#This Row],[Date Day]],"mmm,YYYY")</f>
        <v>Jan,2011</v>
      </c>
    </row>
    <row r="731" spans="1:19" ht="15.6" x14ac:dyDescent="0.3">
      <c r="A731" s="62">
        <v>698</v>
      </c>
      <c r="B731" s="63">
        <v>40574</v>
      </c>
      <c r="C731" s="64">
        <v>10</v>
      </c>
      <c r="D731" s="64" t="b">
        <f>IF(COUNTIF(AU$36:AU$52,Table8[[#This Row],[Date Day]]) &gt; 0, TRUE, FALSE)</f>
        <v>0</v>
      </c>
      <c r="E731" s="64">
        <f t="shared" si="20"/>
        <v>1</v>
      </c>
      <c r="F731" s="64">
        <v>2</v>
      </c>
      <c r="G731" s="65" t="str">
        <f>IF(Table8[[#This Row],[Weathersit]]=1, "BAD", IF(Table8[[#This Row],[Weathersit]]=2, "MODERATE", IF(Table8[[#This Row],[Weathersit]]=3, "GOOD")))</f>
        <v>MODERATE</v>
      </c>
      <c r="H731" s="64">
        <v>16</v>
      </c>
      <c r="I731" s="65" t="str">
        <f>IF(Table8[[#This Row],[Temp]]&lt;11, "COLD", IF(Table8[[#This Row],[Temp]]&lt;=25, "COMFORTABLE", "WARM"))</f>
        <v>COMFORTABLE</v>
      </c>
      <c r="J731" s="64">
        <v>0.2273</v>
      </c>
      <c r="K731" s="64">
        <v>0.93</v>
      </c>
      <c r="L731" s="66">
        <v>17.94158974358977</v>
      </c>
      <c r="M731" s="75" t="s">
        <v>80</v>
      </c>
      <c r="N731" s="64">
        <v>0</v>
      </c>
      <c r="O731" s="64">
        <v>47</v>
      </c>
      <c r="P731" s="64">
        <v>47</v>
      </c>
      <c r="Q731" s="64"/>
      <c r="R731" s="65" t="str">
        <f t="shared" si="21"/>
        <v>Week 5</v>
      </c>
      <c r="S731" s="65" t="str">
        <f>TEXT(Table8[[#This Row],[Date Day]],"mmm,YYYY")</f>
        <v>Jan,2011</v>
      </c>
    </row>
    <row r="732" spans="1:19" ht="15.6" x14ac:dyDescent="0.3">
      <c r="A732" s="62">
        <v>699</v>
      </c>
      <c r="B732" s="63">
        <v>40574</v>
      </c>
      <c r="C732" s="64">
        <v>11</v>
      </c>
      <c r="D732" s="64" t="b">
        <f>IF(COUNTIF(AU$36:AU$52,Table8[[#This Row],[Date Day]]) &gt; 0, TRUE, FALSE)</f>
        <v>0</v>
      </c>
      <c r="E732" s="64">
        <f t="shared" si="20"/>
        <v>1</v>
      </c>
      <c r="F732" s="64">
        <v>2</v>
      </c>
      <c r="G732" s="65" t="str">
        <f>IF(Table8[[#This Row],[Weathersit]]=1, "BAD", IF(Table8[[#This Row],[Weathersit]]=2, "MODERATE", IF(Table8[[#This Row],[Weathersit]]=3, "GOOD")))</f>
        <v>MODERATE</v>
      </c>
      <c r="H732" s="64">
        <v>18</v>
      </c>
      <c r="I732" s="65" t="str">
        <f>IF(Table8[[#This Row],[Temp]]&lt;11, "COLD", IF(Table8[[#This Row],[Temp]]&lt;=25, "COMFORTABLE", "WARM"))</f>
        <v>COMFORTABLE</v>
      </c>
      <c r="J732" s="64">
        <v>0.2424</v>
      </c>
      <c r="K732" s="64">
        <v>0.86</v>
      </c>
      <c r="L732" s="66">
        <v>17.94158974358977</v>
      </c>
      <c r="M732" s="75" t="s">
        <v>80</v>
      </c>
      <c r="N732" s="64">
        <v>2</v>
      </c>
      <c r="O732" s="64">
        <v>49</v>
      </c>
      <c r="P732" s="64">
        <v>51</v>
      </c>
      <c r="Q732" s="64"/>
      <c r="R732" s="65" t="str">
        <f t="shared" si="21"/>
        <v>Week 5</v>
      </c>
      <c r="S732" s="65" t="str">
        <f>TEXT(Table8[[#This Row],[Date Day]],"mmm,YYYY")</f>
        <v>Jan,2011</v>
      </c>
    </row>
    <row r="733" spans="1:19" ht="15.6" x14ac:dyDescent="0.3">
      <c r="A733" s="62">
        <v>700</v>
      </c>
      <c r="B733" s="63">
        <v>40574</v>
      </c>
      <c r="C733" s="64">
        <v>12</v>
      </c>
      <c r="D733" s="64" t="b">
        <f>IF(COUNTIF(AU$36:AU$52,Table8[[#This Row],[Date Day]]) &gt; 0, TRUE, FALSE)</f>
        <v>0</v>
      </c>
      <c r="E733" s="64">
        <f t="shared" si="20"/>
        <v>1</v>
      </c>
      <c r="F733" s="64">
        <v>2</v>
      </c>
      <c r="G733" s="65" t="str">
        <f>IF(Table8[[#This Row],[Weathersit]]=1, "BAD", IF(Table8[[#This Row],[Weathersit]]=2, "MODERATE", IF(Table8[[#This Row],[Weathersit]]=3, "GOOD")))</f>
        <v>MODERATE</v>
      </c>
      <c r="H733" s="64">
        <v>20</v>
      </c>
      <c r="I733" s="65" t="str">
        <f>IF(Table8[[#This Row],[Temp]]&lt;11, "COLD", IF(Table8[[#This Row],[Temp]]&lt;=25, "COMFORTABLE", "WARM"))</f>
        <v>COMFORTABLE</v>
      </c>
      <c r="J733" s="64">
        <v>0.2576</v>
      </c>
      <c r="K733" s="64">
        <v>0.86</v>
      </c>
      <c r="L733" s="66">
        <v>17.94158974358977</v>
      </c>
      <c r="M733" s="75" t="s">
        <v>80</v>
      </c>
      <c r="N733" s="64">
        <v>2</v>
      </c>
      <c r="O733" s="64">
        <v>53</v>
      </c>
      <c r="P733" s="64">
        <v>55</v>
      </c>
      <c r="Q733" s="64"/>
      <c r="R733" s="65" t="str">
        <f t="shared" si="21"/>
        <v>Week 5</v>
      </c>
      <c r="S733" s="65" t="str">
        <f>TEXT(Table8[[#This Row],[Date Day]],"mmm,YYYY")</f>
        <v>Jan,2011</v>
      </c>
    </row>
    <row r="734" spans="1:19" ht="15.6" x14ac:dyDescent="0.3">
      <c r="A734" s="62">
        <v>701</v>
      </c>
      <c r="B734" s="63">
        <v>40574</v>
      </c>
      <c r="C734" s="64">
        <v>13</v>
      </c>
      <c r="D734" s="64" t="b">
        <f>IF(COUNTIF(AU$36:AU$52,Table8[[#This Row],[Date Day]]) &gt; 0, TRUE, FALSE)</f>
        <v>0</v>
      </c>
      <c r="E734" s="64">
        <f t="shared" si="20"/>
        <v>1</v>
      </c>
      <c r="F734" s="64">
        <v>2</v>
      </c>
      <c r="G734" s="65" t="str">
        <f>IF(Table8[[#This Row],[Weathersit]]=1, "BAD", IF(Table8[[#This Row],[Weathersit]]=2, "MODERATE", IF(Table8[[#This Row],[Weathersit]]=3, "GOOD")))</f>
        <v>MODERATE</v>
      </c>
      <c r="H734" s="64">
        <v>20</v>
      </c>
      <c r="I734" s="65" t="str">
        <f>IF(Table8[[#This Row],[Temp]]&lt;11, "COLD", IF(Table8[[#This Row],[Temp]]&lt;=25, "COMFORTABLE", "WARM"))</f>
        <v>COMFORTABLE</v>
      </c>
      <c r="J734" s="64">
        <v>0.2576</v>
      </c>
      <c r="K734" s="64">
        <v>0.86</v>
      </c>
      <c r="L734" s="66">
        <v>17.94158974358977</v>
      </c>
      <c r="M734" s="75" t="s">
        <v>80</v>
      </c>
      <c r="N734" s="64">
        <v>3</v>
      </c>
      <c r="O734" s="64">
        <v>49</v>
      </c>
      <c r="P734" s="64">
        <v>52</v>
      </c>
      <c r="Q734" s="64"/>
      <c r="R734" s="65" t="str">
        <f t="shared" si="21"/>
        <v>Week 5</v>
      </c>
      <c r="S734" s="65" t="str">
        <f>TEXT(Table8[[#This Row],[Date Day]],"mmm,YYYY")</f>
        <v>Jan,2011</v>
      </c>
    </row>
    <row r="735" spans="1:19" ht="15.6" x14ac:dyDescent="0.3">
      <c r="A735" s="62">
        <v>702</v>
      </c>
      <c r="B735" s="63">
        <v>40574</v>
      </c>
      <c r="C735" s="64">
        <v>14</v>
      </c>
      <c r="D735" s="64" t="b">
        <f>IF(COUNTIF(AU$36:AU$52,Table8[[#This Row],[Date Day]]) &gt; 0, TRUE, FALSE)</f>
        <v>0</v>
      </c>
      <c r="E735" s="64">
        <f t="shared" si="20"/>
        <v>1</v>
      </c>
      <c r="F735" s="64">
        <v>2</v>
      </c>
      <c r="G735" s="65" t="str">
        <f>IF(Table8[[#This Row],[Weathersit]]=1, "BAD", IF(Table8[[#This Row],[Weathersit]]=2, "MODERATE", IF(Table8[[#This Row],[Weathersit]]=3, "GOOD")))</f>
        <v>MODERATE</v>
      </c>
      <c r="H735" s="64">
        <v>22</v>
      </c>
      <c r="I735" s="65" t="str">
        <f>IF(Table8[[#This Row],[Temp]]&lt;11, "COLD", IF(Table8[[#This Row],[Temp]]&lt;=25, "COMFORTABLE", "WARM"))</f>
        <v>COMFORTABLE</v>
      </c>
      <c r="J735" s="64">
        <v>0.2576</v>
      </c>
      <c r="K735" s="64">
        <v>0.8</v>
      </c>
      <c r="L735" s="66">
        <v>8.9599999999999991</v>
      </c>
      <c r="M735" s="75" t="s">
        <v>80</v>
      </c>
      <c r="N735" s="64">
        <v>5</v>
      </c>
      <c r="O735" s="64">
        <v>49</v>
      </c>
      <c r="P735" s="64">
        <v>54</v>
      </c>
      <c r="Q735" s="64"/>
      <c r="R735" s="65" t="str">
        <f t="shared" si="21"/>
        <v>Week 5</v>
      </c>
      <c r="S735" s="65" t="str">
        <f>TEXT(Table8[[#This Row],[Date Day]],"mmm,YYYY")</f>
        <v>Jan,2011</v>
      </c>
    </row>
    <row r="736" spans="1:19" ht="15.6" x14ac:dyDescent="0.3">
      <c r="A736" s="62">
        <v>703</v>
      </c>
      <c r="B736" s="63">
        <v>40574</v>
      </c>
      <c r="C736" s="64">
        <v>15</v>
      </c>
      <c r="D736" s="64" t="b">
        <f>IF(COUNTIF(AU$36:AU$52,Table8[[#This Row],[Date Day]]) &gt; 0, TRUE, FALSE)</f>
        <v>0</v>
      </c>
      <c r="E736" s="64">
        <f t="shared" si="20"/>
        <v>1</v>
      </c>
      <c r="F736" s="64">
        <v>2</v>
      </c>
      <c r="G736" s="65" t="str">
        <f>IF(Table8[[#This Row],[Weathersit]]=1, "BAD", IF(Table8[[#This Row],[Weathersit]]=2, "MODERATE", IF(Table8[[#This Row],[Weathersit]]=3, "GOOD")))</f>
        <v>MODERATE</v>
      </c>
      <c r="H736" s="64">
        <v>24</v>
      </c>
      <c r="I736" s="65" t="str">
        <f>IF(Table8[[#This Row],[Temp]]&lt;11, "COLD", IF(Table8[[#This Row],[Temp]]&lt;=25, "COMFORTABLE", "WARM"))</f>
        <v>COMFORTABLE</v>
      </c>
      <c r="J736" s="64">
        <v>0.28789999999999999</v>
      </c>
      <c r="K736" s="64">
        <v>0.75</v>
      </c>
      <c r="L736" s="66">
        <v>17.94158974358977</v>
      </c>
      <c r="M736" s="75" t="s">
        <v>80</v>
      </c>
      <c r="N736" s="64">
        <v>7</v>
      </c>
      <c r="O736" s="64">
        <v>45</v>
      </c>
      <c r="P736" s="64">
        <v>52</v>
      </c>
      <c r="Q736" s="64"/>
      <c r="R736" s="65" t="str">
        <f t="shared" si="21"/>
        <v>Week 5</v>
      </c>
      <c r="S736" s="65" t="str">
        <f>TEXT(Table8[[#This Row],[Date Day]],"mmm,YYYY")</f>
        <v>Jan,2011</v>
      </c>
    </row>
    <row r="737" spans="1:19" ht="15.6" x14ac:dyDescent="0.3">
      <c r="A737" s="62">
        <v>704</v>
      </c>
      <c r="B737" s="63">
        <v>40574</v>
      </c>
      <c r="C737" s="64">
        <v>16</v>
      </c>
      <c r="D737" s="64" t="b">
        <f>IF(COUNTIF(AU$36:AU$52,Table8[[#This Row],[Date Day]]) &gt; 0, TRUE, FALSE)</f>
        <v>0</v>
      </c>
      <c r="E737" s="64">
        <f t="shared" si="20"/>
        <v>1</v>
      </c>
      <c r="F737" s="64">
        <v>2</v>
      </c>
      <c r="G737" s="65" t="str">
        <f>IF(Table8[[#This Row],[Weathersit]]=1, "BAD", IF(Table8[[#This Row],[Weathersit]]=2, "MODERATE", IF(Table8[[#This Row],[Weathersit]]=3, "GOOD")))</f>
        <v>MODERATE</v>
      </c>
      <c r="H737" s="64">
        <v>24</v>
      </c>
      <c r="I737" s="65" t="str">
        <f>IF(Table8[[#This Row],[Temp]]&lt;11, "COLD", IF(Table8[[#This Row],[Temp]]&lt;=25, "COMFORTABLE", "WARM"))</f>
        <v>COMFORTABLE</v>
      </c>
      <c r="J737" s="64">
        <v>0.2424</v>
      </c>
      <c r="K737" s="64">
        <v>0.75</v>
      </c>
      <c r="L737" s="66">
        <v>13.43</v>
      </c>
      <c r="M737" s="75" t="s">
        <v>80</v>
      </c>
      <c r="N737" s="64">
        <v>3</v>
      </c>
      <c r="O737" s="64">
        <v>61</v>
      </c>
      <c r="P737" s="64">
        <v>64</v>
      </c>
      <c r="Q737" s="64"/>
      <c r="R737" s="65" t="str">
        <f t="shared" si="21"/>
        <v>Week 5</v>
      </c>
      <c r="S737" s="65" t="str">
        <f>TEXT(Table8[[#This Row],[Date Day]],"mmm,YYYY")</f>
        <v>Jan,2011</v>
      </c>
    </row>
    <row r="738" spans="1:19" ht="15.6" x14ac:dyDescent="0.3">
      <c r="A738" s="62">
        <v>705</v>
      </c>
      <c r="B738" s="63">
        <v>40574</v>
      </c>
      <c r="C738" s="64">
        <v>17</v>
      </c>
      <c r="D738" s="64" t="b">
        <f>IF(COUNTIF(AU$36:AU$52,Table8[[#This Row],[Date Day]]) &gt; 0, TRUE, FALSE)</f>
        <v>0</v>
      </c>
      <c r="E738" s="64">
        <f t="shared" ref="E738:E801" si="22">WEEKDAY(B:B,2)</f>
        <v>1</v>
      </c>
      <c r="F738" s="64">
        <v>2</v>
      </c>
      <c r="G738" s="65" t="str">
        <f>IF(Table8[[#This Row],[Weathersit]]=1, "BAD", IF(Table8[[#This Row],[Weathersit]]=2, "MODERATE", IF(Table8[[#This Row],[Weathersit]]=3, "GOOD")))</f>
        <v>MODERATE</v>
      </c>
      <c r="H738" s="64">
        <v>24</v>
      </c>
      <c r="I738" s="65" t="str">
        <f>IF(Table8[[#This Row],[Temp]]&lt;11, "COLD", IF(Table8[[#This Row],[Temp]]&lt;=25, "COMFORTABLE", "WARM"))</f>
        <v>COMFORTABLE</v>
      </c>
      <c r="J738" s="64">
        <v>0.28789999999999999</v>
      </c>
      <c r="K738" s="64">
        <v>0.75</v>
      </c>
      <c r="L738" s="66">
        <v>17.94158974358977</v>
      </c>
      <c r="M738" s="75" t="s">
        <v>80</v>
      </c>
      <c r="N738" s="64">
        <v>4</v>
      </c>
      <c r="O738" s="64">
        <v>172</v>
      </c>
      <c r="P738" s="64">
        <v>176</v>
      </c>
      <c r="Q738" s="64"/>
      <c r="R738" s="65" t="str">
        <f t="shared" ref="R738:R801" si="23">"Week " &amp; INT((DAY(B738)-1)/7)+1</f>
        <v>Week 5</v>
      </c>
      <c r="S738" s="65" t="str">
        <f>TEXT(Table8[[#This Row],[Date Day]],"mmm,YYYY")</f>
        <v>Jan,2011</v>
      </c>
    </row>
    <row r="739" spans="1:19" ht="15.6" x14ac:dyDescent="0.3">
      <c r="A739" s="62">
        <v>706</v>
      </c>
      <c r="B739" s="63">
        <v>40574</v>
      </c>
      <c r="C739" s="64">
        <v>18</v>
      </c>
      <c r="D739" s="64" t="b">
        <f>IF(COUNTIF(AU$36:AU$52,Table8[[#This Row],[Date Day]]) &gt; 0, TRUE, FALSE)</f>
        <v>0</v>
      </c>
      <c r="E739" s="64">
        <f t="shared" si="22"/>
        <v>1</v>
      </c>
      <c r="F739" s="64">
        <v>2</v>
      </c>
      <c r="G739" s="65" t="str">
        <f>IF(Table8[[#This Row],[Weathersit]]=1, "BAD", IF(Table8[[#This Row],[Weathersit]]=2, "MODERATE", IF(Table8[[#This Row],[Weathersit]]=3, "GOOD")))</f>
        <v>MODERATE</v>
      </c>
      <c r="H739" s="64">
        <v>24</v>
      </c>
      <c r="I739" s="65" t="str">
        <f>IF(Table8[[#This Row],[Temp]]&lt;11, "COLD", IF(Table8[[#This Row],[Temp]]&lt;=25, "COMFORTABLE", "WARM"))</f>
        <v>COMFORTABLE</v>
      </c>
      <c r="J739" s="64">
        <v>0.2576</v>
      </c>
      <c r="K739" s="64">
        <v>0.81</v>
      </c>
      <c r="L739" s="66">
        <v>10.45</v>
      </c>
      <c r="M739" s="75" t="s">
        <v>80</v>
      </c>
      <c r="N739" s="64">
        <v>3</v>
      </c>
      <c r="O739" s="64">
        <v>165</v>
      </c>
      <c r="P739" s="64">
        <v>168</v>
      </c>
      <c r="Q739" s="64"/>
      <c r="R739" s="65" t="str">
        <f t="shared" si="23"/>
        <v>Week 5</v>
      </c>
      <c r="S739" s="65" t="str">
        <f>TEXT(Table8[[#This Row],[Date Day]],"mmm,YYYY")</f>
        <v>Jan,2011</v>
      </c>
    </row>
    <row r="740" spans="1:19" ht="15.6" x14ac:dyDescent="0.3">
      <c r="A740" s="62">
        <v>707</v>
      </c>
      <c r="B740" s="63">
        <v>40574</v>
      </c>
      <c r="C740" s="64">
        <v>19</v>
      </c>
      <c r="D740" s="64" t="b">
        <f>IF(COUNTIF(AU$36:AU$52,Table8[[#This Row],[Date Day]]) &gt; 0, TRUE, FALSE)</f>
        <v>0</v>
      </c>
      <c r="E740" s="64">
        <f t="shared" si="22"/>
        <v>1</v>
      </c>
      <c r="F740" s="64">
        <v>2</v>
      </c>
      <c r="G740" s="65" t="str">
        <f>IF(Table8[[#This Row],[Weathersit]]=1, "BAD", IF(Table8[[#This Row],[Weathersit]]=2, "MODERATE", IF(Table8[[#This Row],[Weathersit]]=3, "GOOD")))</f>
        <v>MODERATE</v>
      </c>
      <c r="H740" s="64">
        <v>24</v>
      </c>
      <c r="I740" s="65" t="str">
        <f>IF(Table8[[#This Row],[Temp]]&lt;11, "COLD", IF(Table8[[#This Row],[Temp]]&lt;=25, "COMFORTABLE", "WARM"))</f>
        <v>COMFORTABLE</v>
      </c>
      <c r="J740" s="64">
        <v>0.2424</v>
      </c>
      <c r="K740" s="64">
        <v>0.81</v>
      </c>
      <c r="L740" s="66">
        <v>13.43</v>
      </c>
      <c r="M740" s="75" t="s">
        <v>80</v>
      </c>
      <c r="N740" s="64">
        <v>3</v>
      </c>
      <c r="O740" s="64">
        <v>105</v>
      </c>
      <c r="P740" s="64">
        <v>108</v>
      </c>
      <c r="Q740" s="64"/>
      <c r="R740" s="65" t="str">
        <f t="shared" si="23"/>
        <v>Week 5</v>
      </c>
      <c r="S740" s="65" t="str">
        <f>TEXT(Table8[[#This Row],[Date Day]],"mmm,YYYY")</f>
        <v>Jan,2011</v>
      </c>
    </row>
    <row r="741" spans="1:19" ht="15.6" x14ac:dyDescent="0.3">
      <c r="A741" s="62">
        <v>708</v>
      </c>
      <c r="B741" s="63">
        <v>40574</v>
      </c>
      <c r="C741" s="64">
        <v>20</v>
      </c>
      <c r="D741" s="64" t="b">
        <f>IF(COUNTIF(AU$36:AU$52,Table8[[#This Row],[Date Day]]) &gt; 0, TRUE, FALSE)</f>
        <v>0</v>
      </c>
      <c r="E741" s="64">
        <f t="shared" si="22"/>
        <v>1</v>
      </c>
      <c r="F741" s="64">
        <v>2</v>
      </c>
      <c r="G741" s="65" t="str">
        <f>IF(Table8[[#This Row],[Weathersit]]=1, "BAD", IF(Table8[[#This Row],[Weathersit]]=2, "MODERATE", IF(Table8[[#This Row],[Weathersit]]=3, "GOOD")))</f>
        <v>MODERATE</v>
      </c>
      <c r="H741" s="64">
        <v>22</v>
      </c>
      <c r="I741" s="65" t="str">
        <f>IF(Table8[[#This Row],[Temp]]&lt;11, "COLD", IF(Table8[[#This Row],[Temp]]&lt;=25, "COMFORTABLE", "WARM"))</f>
        <v>COMFORTABLE</v>
      </c>
      <c r="J741" s="64">
        <v>0.2273</v>
      </c>
      <c r="K741" s="64">
        <v>0.87</v>
      </c>
      <c r="L741" s="66">
        <v>13.43</v>
      </c>
      <c r="M741" s="75" t="s">
        <v>80</v>
      </c>
      <c r="N741" s="64">
        <v>5</v>
      </c>
      <c r="O741" s="64">
        <v>69</v>
      </c>
      <c r="P741" s="64">
        <v>74</v>
      </c>
      <c r="Q741" s="64"/>
      <c r="R741" s="65" t="str">
        <f t="shared" si="23"/>
        <v>Week 5</v>
      </c>
      <c r="S741" s="65" t="str">
        <f>TEXT(Table8[[#This Row],[Date Day]],"mmm,YYYY")</f>
        <v>Jan,2011</v>
      </c>
    </row>
    <row r="742" spans="1:19" ht="15.6" x14ac:dyDescent="0.3">
      <c r="A742" s="62">
        <v>709</v>
      </c>
      <c r="B742" s="63">
        <v>40574</v>
      </c>
      <c r="C742" s="64">
        <v>21</v>
      </c>
      <c r="D742" s="64" t="b">
        <f>IF(COUNTIF(AU$36:AU$52,Table8[[#This Row],[Date Day]]) &gt; 0, TRUE, FALSE)</f>
        <v>0</v>
      </c>
      <c r="E742" s="64">
        <f t="shared" si="22"/>
        <v>1</v>
      </c>
      <c r="F742" s="64">
        <v>2</v>
      </c>
      <c r="G742" s="65" t="str">
        <f>IF(Table8[[#This Row],[Weathersit]]=1, "BAD", IF(Table8[[#This Row],[Weathersit]]=2, "MODERATE", IF(Table8[[#This Row],[Weathersit]]=3, "GOOD")))</f>
        <v>MODERATE</v>
      </c>
      <c r="H742" s="64">
        <v>22</v>
      </c>
      <c r="I742" s="65" t="str">
        <f>IF(Table8[[#This Row],[Temp]]&lt;11, "COLD", IF(Table8[[#This Row],[Temp]]&lt;=25, "COMFORTABLE", "WARM"))</f>
        <v>COMFORTABLE</v>
      </c>
      <c r="J742" s="64">
        <v>0.2273</v>
      </c>
      <c r="K742" s="64">
        <v>0.87</v>
      </c>
      <c r="L742" s="66">
        <v>13.43</v>
      </c>
      <c r="M742" s="75" t="s">
        <v>80</v>
      </c>
      <c r="N742" s="64">
        <v>0</v>
      </c>
      <c r="O742" s="64">
        <v>64</v>
      </c>
      <c r="P742" s="64">
        <v>64</v>
      </c>
      <c r="Q742" s="64"/>
      <c r="R742" s="65" t="str">
        <f t="shared" si="23"/>
        <v>Week 5</v>
      </c>
      <c r="S742" s="65" t="str">
        <f>TEXT(Table8[[#This Row],[Date Day]],"mmm,YYYY")</f>
        <v>Jan,2011</v>
      </c>
    </row>
    <row r="743" spans="1:19" ht="15.6" x14ac:dyDescent="0.3">
      <c r="A743" s="62">
        <v>710</v>
      </c>
      <c r="B743" s="63">
        <v>40574</v>
      </c>
      <c r="C743" s="64">
        <v>22</v>
      </c>
      <c r="D743" s="64" t="b">
        <f>IF(COUNTIF(AU$36:AU$52,Table8[[#This Row],[Date Day]]) &gt; 0, TRUE, FALSE)</f>
        <v>0</v>
      </c>
      <c r="E743" s="64">
        <f t="shared" si="22"/>
        <v>1</v>
      </c>
      <c r="F743" s="64">
        <v>2</v>
      </c>
      <c r="G743" s="65" t="str">
        <f>IF(Table8[[#This Row],[Weathersit]]=1, "BAD", IF(Table8[[#This Row],[Weathersit]]=2, "MODERATE", IF(Table8[[#This Row],[Weathersit]]=3, "GOOD")))</f>
        <v>MODERATE</v>
      </c>
      <c r="H743" s="64">
        <v>22</v>
      </c>
      <c r="I743" s="65" t="str">
        <f>IF(Table8[[#This Row],[Temp]]&lt;11, "COLD", IF(Table8[[#This Row],[Temp]]&lt;=25, "COMFORTABLE", "WARM"))</f>
        <v>COMFORTABLE</v>
      </c>
      <c r="J743" s="64">
        <v>0.2576</v>
      </c>
      <c r="K743" s="64">
        <v>0.87</v>
      </c>
      <c r="L743" s="66">
        <v>8.9599999999999991</v>
      </c>
      <c r="M743" s="75" t="s">
        <v>80</v>
      </c>
      <c r="N743" s="64">
        <v>2</v>
      </c>
      <c r="O743" s="64">
        <v>34</v>
      </c>
      <c r="P743" s="64">
        <v>36</v>
      </c>
      <c r="Q743" s="64"/>
      <c r="R743" s="65" t="str">
        <f t="shared" si="23"/>
        <v>Week 5</v>
      </c>
      <c r="S743" s="65" t="str">
        <f>TEXT(Table8[[#This Row],[Date Day]],"mmm,YYYY")</f>
        <v>Jan,2011</v>
      </c>
    </row>
    <row r="744" spans="1:19" ht="15.6" x14ac:dyDescent="0.3">
      <c r="A744" s="62">
        <v>711</v>
      </c>
      <c r="B744" s="63">
        <v>40574</v>
      </c>
      <c r="C744" s="64">
        <v>23</v>
      </c>
      <c r="D744" s="64" t="b">
        <f>IF(COUNTIF(AU$36:AU$52,Table8[[#This Row],[Date Day]]) &gt; 0, TRUE, FALSE)</f>
        <v>0</v>
      </c>
      <c r="E744" s="64">
        <f t="shared" si="22"/>
        <v>1</v>
      </c>
      <c r="F744" s="64">
        <v>3</v>
      </c>
      <c r="G744" s="65" t="str">
        <f>IF(Table8[[#This Row],[Weathersit]]=1, "BAD", IF(Table8[[#This Row],[Weathersit]]=2, "MODERATE", IF(Table8[[#This Row],[Weathersit]]=3, "GOOD")))</f>
        <v>GOOD</v>
      </c>
      <c r="H744" s="64">
        <v>20</v>
      </c>
      <c r="I744" s="65" t="str">
        <f>IF(Table8[[#This Row],[Temp]]&lt;11, "COLD", IF(Table8[[#This Row],[Temp]]&lt;=25, "COMFORTABLE", "WARM"))</f>
        <v>COMFORTABLE</v>
      </c>
      <c r="J744" s="64">
        <v>0.19700000000000001</v>
      </c>
      <c r="K744" s="64">
        <v>0.93</v>
      </c>
      <c r="L744" s="66">
        <v>19.400000000000002</v>
      </c>
      <c r="M744" s="75" t="s">
        <v>80</v>
      </c>
      <c r="N744" s="64">
        <v>1</v>
      </c>
      <c r="O744" s="64">
        <v>15</v>
      </c>
      <c r="P744" s="64">
        <v>16</v>
      </c>
      <c r="Q744" s="64"/>
      <c r="R744" s="65" t="str">
        <f t="shared" si="23"/>
        <v>Week 5</v>
      </c>
      <c r="S744" s="65" t="str">
        <f>TEXT(Table8[[#This Row],[Date Day]],"mmm,YYYY")</f>
        <v>Jan,2011</v>
      </c>
    </row>
    <row r="745" spans="1:19" ht="15.6" x14ac:dyDescent="0.3">
      <c r="A745" s="62">
        <v>712</v>
      </c>
      <c r="B745" s="63">
        <v>40575</v>
      </c>
      <c r="C745" s="64">
        <v>0</v>
      </c>
      <c r="D745" s="64" t="b">
        <f>IF(COUNTIF(AU$36:AU$52,Table8[[#This Row],[Date Day]]) &gt; 0, TRUE, FALSE)</f>
        <v>0</v>
      </c>
      <c r="E745" s="64">
        <f t="shared" si="22"/>
        <v>2</v>
      </c>
      <c r="F745" s="64">
        <v>3</v>
      </c>
      <c r="G745" s="65" t="str">
        <f>IF(Table8[[#This Row],[Weathersit]]=1, "BAD", IF(Table8[[#This Row],[Weathersit]]=2, "MODERATE", IF(Table8[[#This Row],[Weathersit]]=3, "GOOD")))</f>
        <v>GOOD</v>
      </c>
      <c r="H745" s="64">
        <v>22</v>
      </c>
      <c r="I745" s="65" t="str">
        <f>IF(Table8[[#This Row],[Temp]]&lt;11, "COLD", IF(Table8[[#This Row],[Temp]]&lt;=25, "COMFORTABLE", "WARM"))</f>
        <v>COMFORTABLE</v>
      </c>
      <c r="J745" s="64">
        <v>0.2424</v>
      </c>
      <c r="K745" s="64">
        <v>0.93</v>
      </c>
      <c r="L745" s="66">
        <v>10.45</v>
      </c>
      <c r="M745" s="75" t="s">
        <v>80</v>
      </c>
      <c r="N745" s="64">
        <v>0</v>
      </c>
      <c r="O745" s="64">
        <v>2</v>
      </c>
      <c r="P745" s="64">
        <v>2</v>
      </c>
      <c r="Q745" s="64"/>
      <c r="R745" s="65" t="str">
        <f t="shared" si="23"/>
        <v>Week 1</v>
      </c>
      <c r="S745" s="65" t="str">
        <f>TEXT(Table8[[#This Row],[Date Day]],"mmm,YYYY")</f>
        <v>Feb,2011</v>
      </c>
    </row>
    <row r="746" spans="1:19" ht="15.6" x14ac:dyDescent="0.3">
      <c r="A746" s="62">
        <v>713</v>
      </c>
      <c r="B746" s="63">
        <v>40575</v>
      </c>
      <c r="C746" s="64">
        <v>1</v>
      </c>
      <c r="D746" s="64" t="b">
        <f>IF(COUNTIF(AU$36:AU$52,Table8[[#This Row],[Date Day]]) &gt; 0, TRUE, FALSE)</f>
        <v>0</v>
      </c>
      <c r="E746" s="64">
        <f t="shared" si="22"/>
        <v>2</v>
      </c>
      <c r="F746" s="64">
        <v>3</v>
      </c>
      <c r="G746" s="65" t="str">
        <f>IF(Table8[[#This Row],[Weathersit]]=1, "BAD", IF(Table8[[#This Row],[Weathersit]]=2, "MODERATE", IF(Table8[[#This Row],[Weathersit]]=3, "GOOD")))</f>
        <v>GOOD</v>
      </c>
      <c r="H746" s="64">
        <v>22</v>
      </c>
      <c r="I746" s="65" t="str">
        <f>IF(Table8[[#This Row],[Temp]]&lt;11, "COLD", IF(Table8[[#This Row],[Temp]]&lt;=25, "COMFORTABLE", "WARM"))</f>
        <v>COMFORTABLE</v>
      </c>
      <c r="J746" s="64">
        <v>0.2273</v>
      </c>
      <c r="K746" s="64">
        <v>0.93</v>
      </c>
      <c r="L746" s="66">
        <v>19.400000000000002</v>
      </c>
      <c r="M746" s="75" t="s">
        <v>80</v>
      </c>
      <c r="N746" s="64">
        <v>0</v>
      </c>
      <c r="O746" s="64">
        <v>3</v>
      </c>
      <c r="P746" s="64">
        <v>3</v>
      </c>
      <c r="Q746" s="64"/>
      <c r="R746" s="65" t="str">
        <f t="shared" si="23"/>
        <v>Week 1</v>
      </c>
      <c r="S746" s="65" t="str">
        <f>TEXT(Table8[[#This Row],[Date Day]],"mmm,YYYY")</f>
        <v>Feb,2011</v>
      </c>
    </row>
    <row r="747" spans="1:19" ht="15.6" x14ac:dyDescent="0.3">
      <c r="A747" s="62">
        <v>714</v>
      </c>
      <c r="B747" s="63">
        <v>40575</v>
      </c>
      <c r="C747" s="64">
        <v>2</v>
      </c>
      <c r="D747" s="64" t="b">
        <f>IF(COUNTIF(AU$36:AU$52,Table8[[#This Row],[Date Day]]) &gt; 0, TRUE, FALSE)</f>
        <v>0</v>
      </c>
      <c r="E747" s="64">
        <f t="shared" si="22"/>
        <v>2</v>
      </c>
      <c r="F747" s="64">
        <v>3</v>
      </c>
      <c r="G747" s="65" t="str">
        <f>IF(Table8[[#This Row],[Weathersit]]=1, "BAD", IF(Table8[[#This Row],[Weathersit]]=2, "MODERATE", IF(Table8[[#This Row],[Weathersit]]=3, "GOOD")))</f>
        <v>GOOD</v>
      </c>
      <c r="H747" s="64">
        <v>22</v>
      </c>
      <c r="I747" s="65" t="str">
        <f>IF(Table8[[#This Row],[Temp]]&lt;11, "COLD", IF(Table8[[#This Row],[Temp]]&lt;=25, "COMFORTABLE", "WARM"))</f>
        <v>COMFORTABLE</v>
      </c>
      <c r="J747" s="64">
        <v>0.2273</v>
      </c>
      <c r="K747" s="64">
        <v>0.93</v>
      </c>
      <c r="L747" s="66">
        <v>13.43</v>
      </c>
      <c r="M747" s="75" t="s">
        <v>80</v>
      </c>
      <c r="N747" s="64">
        <v>4</v>
      </c>
      <c r="O747" s="64">
        <v>0</v>
      </c>
      <c r="P747" s="64">
        <v>4</v>
      </c>
      <c r="Q747" s="64"/>
      <c r="R747" s="65" t="str">
        <f t="shared" si="23"/>
        <v>Week 1</v>
      </c>
      <c r="S747" s="65" t="str">
        <f>TEXT(Table8[[#This Row],[Date Day]],"mmm,YYYY")</f>
        <v>Feb,2011</v>
      </c>
    </row>
    <row r="748" spans="1:19" ht="15.6" x14ac:dyDescent="0.3">
      <c r="A748" s="62">
        <v>715</v>
      </c>
      <c r="B748" s="63">
        <v>40575</v>
      </c>
      <c r="C748" s="64">
        <v>3</v>
      </c>
      <c r="D748" s="64" t="b">
        <f>IF(COUNTIF(AU$36:AU$52,Table8[[#This Row],[Date Day]]) &gt; 0, TRUE, FALSE)</f>
        <v>0</v>
      </c>
      <c r="E748" s="64">
        <f t="shared" si="22"/>
        <v>2</v>
      </c>
      <c r="F748" s="64">
        <v>3</v>
      </c>
      <c r="G748" s="65" t="str">
        <f>IF(Table8[[#This Row],[Weathersit]]=1, "BAD", IF(Table8[[#This Row],[Weathersit]]=2, "MODERATE", IF(Table8[[#This Row],[Weathersit]]=3, "GOOD")))</f>
        <v>GOOD</v>
      </c>
      <c r="H748" s="64">
        <v>22</v>
      </c>
      <c r="I748" s="65" t="str">
        <f>IF(Table8[[#This Row],[Temp]]&lt;11, "COLD", IF(Table8[[#This Row],[Temp]]&lt;=25, "COMFORTABLE", "WARM"))</f>
        <v>COMFORTABLE</v>
      </c>
      <c r="J748" s="64">
        <v>0.2273</v>
      </c>
      <c r="K748" s="64">
        <v>0.93</v>
      </c>
      <c r="L748" s="66">
        <v>13.43</v>
      </c>
      <c r="M748" s="75" t="s">
        <v>80</v>
      </c>
      <c r="N748" s="64">
        <v>0</v>
      </c>
      <c r="O748" s="64">
        <v>1</v>
      </c>
      <c r="P748" s="64">
        <v>1</v>
      </c>
      <c r="Q748" s="64"/>
      <c r="R748" s="65" t="str">
        <f t="shared" si="23"/>
        <v>Week 1</v>
      </c>
      <c r="S748" s="65" t="str">
        <f>TEXT(Table8[[#This Row],[Date Day]],"mmm,YYYY")</f>
        <v>Feb,2011</v>
      </c>
    </row>
    <row r="749" spans="1:19" ht="15.6" x14ac:dyDescent="0.3">
      <c r="A749" s="62">
        <v>716</v>
      </c>
      <c r="B749" s="63">
        <v>40575</v>
      </c>
      <c r="C749" s="64">
        <v>4</v>
      </c>
      <c r="D749" s="64" t="b">
        <f>IF(COUNTIF(AU$36:AU$52,Table8[[#This Row],[Date Day]]) &gt; 0, TRUE, FALSE)</f>
        <v>0</v>
      </c>
      <c r="E749" s="64">
        <f t="shared" si="22"/>
        <v>2</v>
      </c>
      <c r="F749" s="64">
        <v>3</v>
      </c>
      <c r="G749" s="65" t="str">
        <f>IF(Table8[[#This Row],[Weathersit]]=1, "BAD", IF(Table8[[#This Row],[Weathersit]]=2, "MODERATE", IF(Table8[[#This Row],[Weathersit]]=3, "GOOD")))</f>
        <v>GOOD</v>
      </c>
      <c r="H749" s="64">
        <v>22</v>
      </c>
      <c r="I749" s="65" t="str">
        <f>IF(Table8[[#This Row],[Temp]]&lt;11, "COLD", IF(Table8[[#This Row],[Temp]]&lt;=25, "COMFORTABLE", "WARM"))</f>
        <v>COMFORTABLE</v>
      </c>
      <c r="J749" s="64">
        <v>0.21210000000000001</v>
      </c>
      <c r="K749" s="64">
        <v>0.93</v>
      </c>
      <c r="L749" s="66">
        <v>28.360000000000003</v>
      </c>
      <c r="M749" s="75" t="s">
        <v>81</v>
      </c>
      <c r="N749" s="64">
        <v>0</v>
      </c>
      <c r="O749" s="64">
        <v>1</v>
      </c>
      <c r="P749" s="64">
        <v>1</v>
      </c>
      <c r="Q749" s="64"/>
      <c r="R749" s="65" t="str">
        <f t="shared" si="23"/>
        <v>Week 1</v>
      </c>
      <c r="S749" s="65" t="str">
        <f>TEXT(Table8[[#This Row],[Date Day]],"mmm,YYYY")</f>
        <v>Feb,2011</v>
      </c>
    </row>
    <row r="750" spans="1:19" ht="15.6" x14ac:dyDescent="0.3">
      <c r="A750" s="62">
        <v>717</v>
      </c>
      <c r="B750" s="63">
        <v>40575</v>
      </c>
      <c r="C750" s="64">
        <v>5</v>
      </c>
      <c r="D750" s="64" t="b">
        <f>IF(COUNTIF(AU$36:AU$52,Table8[[#This Row],[Date Day]]) &gt; 0, TRUE, FALSE)</f>
        <v>0</v>
      </c>
      <c r="E750" s="64">
        <f t="shared" si="22"/>
        <v>2</v>
      </c>
      <c r="F750" s="64">
        <v>3</v>
      </c>
      <c r="G750" s="65" t="str">
        <f>IF(Table8[[#This Row],[Weathersit]]=1, "BAD", IF(Table8[[#This Row],[Weathersit]]=2, "MODERATE", IF(Table8[[#This Row],[Weathersit]]=3, "GOOD")))</f>
        <v>GOOD</v>
      </c>
      <c r="H750" s="64">
        <v>22</v>
      </c>
      <c r="I750" s="65" t="str">
        <f>IF(Table8[[#This Row],[Temp]]&lt;11, "COLD", IF(Table8[[#This Row],[Temp]]&lt;=25, "COMFORTABLE", "WARM"))</f>
        <v>COMFORTABLE</v>
      </c>
      <c r="J750" s="64">
        <v>0.2424</v>
      </c>
      <c r="K750" s="64">
        <v>0.93</v>
      </c>
      <c r="L750" s="66">
        <v>10.45</v>
      </c>
      <c r="M750" s="75" t="s">
        <v>80</v>
      </c>
      <c r="N750" s="64">
        <v>0</v>
      </c>
      <c r="O750" s="64">
        <v>3</v>
      </c>
      <c r="P750" s="64">
        <v>3</v>
      </c>
      <c r="Q750" s="64"/>
      <c r="R750" s="65" t="str">
        <f t="shared" si="23"/>
        <v>Week 1</v>
      </c>
      <c r="S750" s="65" t="str">
        <f>TEXT(Table8[[#This Row],[Date Day]],"mmm,YYYY")</f>
        <v>Feb,2011</v>
      </c>
    </row>
    <row r="751" spans="1:19" ht="15.6" x14ac:dyDescent="0.3">
      <c r="A751" s="62">
        <v>718</v>
      </c>
      <c r="B751" s="63">
        <v>40575</v>
      </c>
      <c r="C751" s="64">
        <v>6</v>
      </c>
      <c r="D751" s="64" t="b">
        <f>IF(COUNTIF(AU$36:AU$52,Table8[[#This Row],[Date Day]]) &gt; 0, TRUE, FALSE)</f>
        <v>0</v>
      </c>
      <c r="E751" s="64">
        <f t="shared" si="22"/>
        <v>2</v>
      </c>
      <c r="F751" s="64">
        <v>3</v>
      </c>
      <c r="G751" s="65" t="str">
        <f>IF(Table8[[#This Row],[Weathersit]]=1, "BAD", IF(Table8[[#This Row],[Weathersit]]=2, "MODERATE", IF(Table8[[#This Row],[Weathersit]]=3, "GOOD")))</f>
        <v>GOOD</v>
      </c>
      <c r="H751" s="64">
        <v>22</v>
      </c>
      <c r="I751" s="65" t="str">
        <f>IF(Table8[[#This Row],[Temp]]&lt;11, "COLD", IF(Table8[[#This Row],[Temp]]&lt;=25, "COMFORTABLE", "WARM"))</f>
        <v>COMFORTABLE</v>
      </c>
      <c r="J751" s="64">
        <v>0.2424</v>
      </c>
      <c r="K751" s="64">
        <v>0.93</v>
      </c>
      <c r="L751" s="66">
        <v>10.45</v>
      </c>
      <c r="M751" s="75" t="s">
        <v>80</v>
      </c>
      <c r="N751" s="64">
        <v>1</v>
      </c>
      <c r="O751" s="64">
        <v>17</v>
      </c>
      <c r="P751" s="64">
        <v>18</v>
      </c>
      <c r="Q751" s="64"/>
      <c r="R751" s="65" t="str">
        <f t="shared" si="23"/>
        <v>Week 1</v>
      </c>
      <c r="S751" s="65" t="str">
        <f>TEXT(Table8[[#This Row],[Date Day]],"mmm,YYYY")</f>
        <v>Feb,2011</v>
      </c>
    </row>
    <row r="752" spans="1:19" ht="15.6" x14ac:dyDescent="0.3">
      <c r="A752" s="62">
        <v>719</v>
      </c>
      <c r="B752" s="63">
        <v>40575</v>
      </c>
      <c r="C752" s="64">
        <v>7</v>
      </c>
      <c r="D752" s="64" t="b">
        <f>IF(COUNTIF(AU$36:AU$52,Table8[[#This Row],[Date Day]]) &gt; 0, TRUE, FALSE)</f>
        <v>0</v>
      </c>
      <c r="E752" s="64">
        <f t="shared" si="22"/>
        <v>2</v>
      </c>
      <c r="F752" s="64">
        <v>3</v>
      </c>
      <c r="G752" s="65" t="str">
        <f>IF(Table8[[#This Row],[Weathersit]]=1, "BAD", IF(Table8[[#This Row],[Weathersit]]=2, "MODERATE", IF(Table8[[#This Row],[Weathersit]]=3, "GOOD")))</f>
        <v>GOOD</v>
      </c>
      <c r="H752" s="64">
        <v>22</v>
      </c>
      <c r="I752" s="65" t="str">
        <f>IF(Table8[[#This Row],[Temp]]&lt;11, "COLD", IF(Table8[[#This Row],[Temp]]&lt;=25, "COMFORTABLE", "WARM"))</f>
        <v>COMFORTABLE</v>
      </c>
      <c r="J752" s="64">
        <v>0.21210000000000001</v>
      </c>
      <c r="K752" s="64">
        <v>0.93</v>
      </c>
      <c r="L752" s="66">
        <v>22.39</v>
      </c>
      <c r="M752" s="75" t="s">
        <v>81</v>
      </c>
      <c r="N752" s="64">
        <v>1</v>
      </c>
      <c r="O752" s="64">
        <v>48</v>
      </c>
      <c r="P752" s="64">
        <v>49</v>
      </c>
      <c r="Q752" s="64"/>
      <c r="R752" s="65" t="str">
        <f t="shared" si="23"/>
        <v>Week 1</v>
      </c>
      <c r="S752" s="65" t="str">
        <f>TEXT(Table8[[#This Row],[Date Day]],"mmm,YYYY")</f>
        <v>Feb,2011</v>
      </c>
    </row>
    <row r="753" spans="1:19" ht="15.6" x14ac:dyDescent="0.3">
      <c r="A753" s="62">
        <v>720</v>
      </c>
      <c r="B753" s="63">
        <v>40575</v>
      </c>
      <c r="C753" s="64">
        <v>8</v>
      </c>
      <c r="D753" s="64" t="b">
        <f>IF(COUNTIF(AU$36:AU$52,Table8[[#This Row],[Date Day]]) &gt; 0, TRUE, FALSE)</f>
        <v>0</v>
      </c>
      <c r="E753" s="64">
        <f t="shared" si="22"/>
        <v>2</v>
      </c>
      <c r="F753" s="64">
        <v>3</v>
      </c>
      <c r="G753" s="65" t="str">
        <f>IF(Table8[[#This Row],[Weathersit]]=1, "BAD", IF(Table8[[#This Row],[Weathersit]]=2, "MODERATE", IF(Table8[[#This Row],[Weathersit]]=3, "GOOD")))</f>
        <v>GOOD</v>
      </c>
      <c r="H753" s="64">
        <v>22</v>
      </c>
      <c r="I753" s="65" t="str">
        <f>IF(Table8[[#This Row],[Temp]]&lt;11, "COLD", IF(Table8[[#This Row],[Temp]]&lt;=25, "COMFORTABLE", "WARM"))</f>
        <v>COMFORTABLE</v>
      </c>
      <c r="J753" s="64">
        <v>0.21210000000000001</v>
      </c>
      <c r="K753" s="64">
        <v>0.93</v>
      </c>
      <c r="L753" s="66">
        <v>22.39</v>
      </c>
      <c r="M753" s="75" t="s">
        <v>81</v>
      </c>
      <c r="N753" s="64">
        <v>1</v>
      </c>
      <c r="O753" s="64">
        <v>154</v>
      </c>
      <c r="P753" s="64">
        <v>155</v>
      </c>
      <c r="Q753" s="64"/>
      <c r="R753" s="65" t="str">
        <f t="shared" si="23"/>
        <v>Week 1</v>
      </c>
      <c r="S753" s="65" t="str">
        <f>TEXT(Table8[[#This Row],[Date Day]],"mmm,YYYY")</f>
        <v>Feb,2011</v>
      </c>
    </row>
    <row r="754" spans="1:19" ht="15.6" x14ac:dyDescent="0.3">
      <c r="A754" s="62">
        <v>721</v>
      </c>
      <c r="B754" s="63">
        <v>40575</v>
      </c>
      <c r="C754" s="64">
        <v>9</v>
      </c>
      <c r="D754" s="64" t="b">
        <f>IF(COUNTIF(AU$36:AU$52,Table8[[#This Row],[Date Day]]) &gt; 0, TRUE, FALSE)</f>
        <v>0</v>
      </c>
      <c r="E754" s="64">
        <f t="shared" si="22"/>
        <v>2</v>
      </c>
      <c r="F754" s="64">
        <v>2</v>
      </c>
      <c r="G754" s="65" t="str">
        <f>IF(Table8[[#This Row],[Weathersit]]=1, "BAD", IF(Table8[[#This Row],[Weathersit]]=2, "MODERATE", IF(Table8[[#This Row],[Weathersit]]=3, "GOOD")))</f>
        <v>MODERATE</v>
      </c>
      <c r="H754" s="64">
        <v>24</v>
      </c>
      <c r="I754" s="65" t="str">
        <f>IF(Table8[[#This Row],[Temp]]&lt;11, "COLD", IF(Table8[[#This Row],[Temp]]&lt;=25, "COMFORTABLE", "WARM"))</f>
        <v>COMFORTABLE</v>
      </c>
      <c r="J754" s="64">
        <v>0.2576</v>
      </c>
      <c r="K754" s="64">
        <v>0.93</v>
      </c>
      <c r="L754" s="66">
        <v>8.9599999999999991</v>
      </c>
      <c r="M754" s="75" t="s">
        <v>80</v>
      </c>
      <c r="N754" s="64">
        <v>4</v>
      </c>
      <c r="O754" s="64">
        <v>119</v>
      </c>
      <c r="P754" s="64">
        <v>123</v>
      </c>
      <c r="Q754" s="64"/>
      <c r="R754" s="65" t="str">
        <f t="shared" si="23"/>
        <v>Week 1</v>
      </c>
      <c r="S754" s="65" t="str">
        <f>TEXT(Table8[[#This Row],[Date Day]],"mmm,YYYY")</f>
        <v>Feb,2011</v>
      </c>
    </row>
    <row r="755" spans="1:19" ht="15.6" x14ac:dyDescent="0.3">
      <c r="A755" s="62">
        <v>722</v>
      </c>
      <c r="B755" s="63">
        <v>40575</v>
      </c>
      <c r="C755" s="64">
        <v>10</v>
      </c>
      <c r="D755" s="64" t="b">
        <f>IF(COUNTIF(AU$36:AU$52,Table8[[#This Row],[Date Day]]) &gt; 0, TRUE, FALSE)</f>
        <v>0</v>
      </c>
      <c r="E755" s="64">
        <f t="shared" si="22"/>
        <v>2</v>
      </c>
      <c r="F755" s="64">
        <v>2</v>
      </c>
      <c r="G755" s="65" t="str">
        <f>IF(Table8[[#This Row],[Weathersit]]=1, "BAD", IF(Table8[[#This Row],[Weathersit]]=2, "MODERATE", IF(Table8[[#This Row],[Weathersit]]=3, "GOOD")))</f>
        <v>MODERATE</v>
      </c>
      <c r="H755" s="64">
        <v>22</v>
      </c>
      <c r="I755" s="65" t="str">
        <f>IF(Table8[[#This Row],[Temp]]&lt;11, "COLD", IF(Table8[[#This Row],[Temp]]&lt;=25, "COMFORTABLE", "WARM"))</f>
        <v>COMFORTABLE</v>
      </c>
      <c r="J755" s="64">
        <v>0.2727</v>
      </c>
      <c r="K755" s="64">
        <v>1</v>
      </c>
      <c r="L755" s="66">
        <v>17.94158974358977</v>
      </c>
      <c r="M755" s="75" t="s">
        <v>80</v>
      </c>
      <c r="N755" s="64">
        <v>2</v>
      </c>
      <c r="O755" s="64">
        <v>59</v>
      </c>
      <c r="P755" s="64">
        <v>61</v>
      </c>
      <c r="Q755" s="64"/>
      <c r="R755" s="65" t="str">
        <f t="shared" si="23"/>
        <v>Week 1</v>
      </c>
      <c r="S755" s="65" t="str">
        <f>TEXT(Table8[[#This Row],[Date Day]],"mmm,YYYY")</f>
        <v>Feb,2011</v>
      </c>
    </row>
    <row r="756" spans="1:19" ht="15.6" x14ac:dyDescent="0.3">
      <c r="A756" s="62">
        <v>723</v>
      </c>
      <c r="B756" s="63">
        <v>40575</v>
      </c>
      <c r="C756" s="64">
        <v>11</v>
      </c>
      <c r="D756" s="64" t="b">
        <f>IF(COUNTIF(AU$36:AU$52,Table8[[#This Row],[Date Day]]) &gt; 0, TRUE, FALSE)</f>
        <v>0</v>
      </c>
      <c r="E756" s="64">
        <f t="shared" si="22"/>
        <v>2</v>
      </c>
      <c r="F756" s="64">
        <v>2</v>
      </c>
      <c r="G756" s="65" t="str">
        <f>IF(Table8[[#This Row],[Weathersit]]=1, "BAD", IF(Table8[[#This Row],[Weathersit]]=2, "MODERATE", IF(Table8[[#This Row],[Weathersit]]=3, "GOOD")))</f>
        <v>MODERATE</v>
      </c>
      <c r="H756" s="64">
        <v>24</v>
      </c>
      <c r="I756" s="65" t="str">
        <f>IF(Table8[[#This Row],[Temp]]&lt;11, "COLD", IF(Table8[[#This Row],[Temp]]&lt;=25, "COMFORTABLE", "WARM"))</f>
        <v>COMFORTABLE</v>
      </c>
      <c r="J756" s="64">
        <v>0.2273</v>
      </c>
      <c r="K756" s="64">
        <v>0.93</v>
      </c>
      <c r="L756" s="66">
        <v>19.400000000000002</v>
      </c>
      <c r="M756" s="75" t="s">
        <v>80</v>
      </c>
      <c r="N756" s="64">
        <v>5</v>
      </c>
      <c r="O756" s="64">
        <v>47</v>
      </c>
      <c r="P756" s="64">
        <v>52</v>
      </c>
      <c r="Q756" s="64"/>
      <c r="R756" s="65" t="str">
        <f t="shared" si="23"/>
        <v>Week 1</v>
      </c>
      <c r="S756" s="65" t="str">
        <f>TEXT(Table8[[#This Row],[Date Day]],"mmm,YYYY")</f>
        <v>Feb,2011</v>
      </c>
    </row>
    <row r="757" spans="1:19" ht="15.6" x14ac:dyDescent="0.3">
      <c r="A757" s="62">
        <v>724</v>
      </c>
      <c r="B757" s="63">
        <v>40575</v>
      </c>
      <c r="C757" s="64">
        <v>12</v>
      </c>
      <c r="D757" s="64" t="b">
        <f>IF(COUNTIF(AU$36:AU$52,Table8[[#This Row],[Date Day]]) &gt; 0, TRUE, FALSE)</f>
        <v>0</v>
      </c>
      <c r="E757" s="64">
        <f t="shared" si="22"/>
        <v>2</v>
      </c>
      <c r="F757" s="64">
        <v>2</v>
      </c>
      <c r="G757" s="65" t="str">
        <f>IF(Table8[[#This Row],[Weathersit]]=1, "BAD", IF(Table8[[#This Row],[Weathersit]]=2, "MODERATE", IF(Table8[[#This Row],[Weathersit]]=3, "GOOD")))</f>
        <v>MODERATE</v>
      </c>
      <c r="H757" s="64">
        <v>24</v>
      </c>
      <c r="I757" s="65" t="str">
        <f>IF(Table8[[#This Row],[Temp]]&lt;11, "COLD", IF(Table8[[#This Row],[Temp]]&lt;=25, "COMFORTABLE", "WARM"))</f>
        <v>COMFORTABLE</v>
      </c>
      <c r="J757" s="64">
        <v>0.2273</v>
      </c>
      <c r="K757" s="64">
        <v>0.93</v>
      </c>
      <c r="L757" s="66">
        <v>22.39</v>
      </c>
      <c r="M757" s="75" t="s">
        <v>81</v>
      </c>
      <c r="N757" s="64">
        <v>3</v>
      </c>
      <c r="O757" s="64">
        <v>61</v>
      </c>
      <c r="P757" s="64">
        <v>64</v>
      </c>
      <c r="Q757" s="64"/>
      <c r="R757" s="65" t="str">
        <f t="shared" si="23"/>
        <v>Week 1</v>
      </c>
      <c r="S757" s="65" t="str">
        <f>TEXT(Table8[[#This Row],[Date Day]],"mmm,YYYY")</f>
        <v>Feb,2011</v>
      </c>
    </row>
    <row r="758" spans="1:19" ht="15.6" x14ac:dyDescent="0.3">
      <c r="A758" s="62">
        <v>725</v>
      </c>
      <c r="B758" s="63">
        <v>40575</v>
      </c>
      <c r="C758" s="64">
        <v>13</v>
      </c>
      <c r="D758" s="64" t="b">
        <f>IF(COUNTIF(AU$36:AU$52,Table8[[#This Row],[Date Day]]) &gt; 0, TRUE, FALSE)</f>
        <v>0</v>
      </c>
      <c r="E758" s="64">
        <f t="shared" si="22"/>
        <v>2</v>
      </c>
      <c r="F758" s="64">
        <v>1</v>
      </c>
      <c r="G758" s="65" t="str">
        <f>IF(Table8[[#This Row],[Weathersit]]=1, "BAD", IF(Table8[[#This Row],[Weathersit]]=2, "MODERATE", IF(Table8[[#This Row],[Weathersit]]=3, "GOOD")))</f>
        <v>BAD</v>
      </c>
      <c r="H758" s="64">
        <v>34</v>
      </c>
      <c r="I758" s="65" t="str">
        <f>IF(Table8[[#This Row],[Temp]]&lt;11, "COLD", IF(Table8[[#This Row],[Temp]]&lt;=25, "COMFORTABLE", "WARM"))</f>
        <v>WARM</v>
      </c>
      <c r="J758" s="64">
        <v>0.33329999999999999</v>
      </c>
      <c r="K758" s="64">
        <v>0.93</v>
      </c>
      <c r="L758" s="66">
        <v>16.420000000000002</v>
      </c>
      <c r="M758" s="75" t="s">
        <v>80</v>
      </c>
      <c r="N758" s="64">
        <v>1</v>
      </c>
      <c r="O758" s="64">
        <v>74</v>
      </c>
      <c r="P758" s="64">
        <v>75</v>
      </c>
      <c r="Q758" s="64"/>
      <c r="R758" s="65" t="str">
        <f t="shared" si="23"/>
        <v>Week 1</v>
      </c>
      <c r="S758" s="65" t="str">
        <f>TEXT(Table8[[#This Row],[Date Day]],"mmm,YYYY")</f>
        <v>Feb,2011</v>
      </c>
    </row>
    <row r="759" spans="1:19" ht="15.6" x14ac:dyDescent="0.3">
      <c r="A759" s="62">
        <v>726</v>
      </c>
      <c r="B759" s="63">
        <v>40575</v>
      </c>
      <c r="C759" s="64">
        <v>14</v>
      </c>
      <c r="D759" s="64" t="b">
        <f>IF(COUNTIF(AU$36:AU$52,Table8[[#This Row],[Date Day]]) &gt; 0, TRUE, FALSE)</f>
        <v>0</v>
      </c>
      <c r="E759" s="64">
        <f t="shared" si="22"/>
        <v>2</v>
      </c>
      <c r="F759" s="64">
        <v>1</v>
      </c>
      <c r="G759" s="65" t="str">
        <f>IF(Table8[[#This Row],[Weathersit]]=1, "BAD", IF(Table8[[#This Row],[Weathersit]]=2, "MODERATE", IF(Table8[[#This Row],[Weathersit]]=3, "GOOD")))</f>
        <v>BAD</v>
      </c>
      <c r="H759" s="64">
        <v>38</v>
      </c>
      <c r="I759" s="65" t="str">
        <f>IF(Table8[[#This Row],[Temp]]&lt;11, "COLD", IF(Table8[[#This Row],[Temp]]&lt;=25, "COMFORTABLE", "WARM"))</f>
        <v>WARM</v>
      </c>
      <c r="J759" s="64">
        <v>0.39389999999999997</v>
      </c>
      <c r="K759" s="64">
        <v>0.82</v>
      </c>
      <c r="L759" s="66">
        <v>38.81</v>
      </c>
      <c r="M759" s="75" t="s">
        <v>84</v>
      </c>
      <c r="N759" s="64">
        <v>2</v>
      </c>
      <c r="O759" s="64">
        <v>61</v>
      </c>
      <c r="P759" s="64">
        <v>63</v>
      </c>
      <c r="Q759" s="64"/>
      <c r="R759" s="65" t="str">
        <f t="shared" si="23"/>
        <v>Week 1</v>
      </c>
      <c r="S759" s="65" t="str">
        <f>TEXT(Table8[[#This Row],[Date Day]],"mmm,YYYY")</f>
        <v>Feb,2011</v>
      </c>
    </row>
    <row r="760" spans="1:19" ht="15.6" x14ac:dyDescent="0.3">
      <c r="A760" s="62">
        <v>727</v>
      </c>
      <c r="B760" s="63">
        <v>40575</v>
      </c>
      <c r="C760" s="64">
        <v>15</v>
      </c>
      <c r="D760" s="64" t="b">
        <f>IF(COUNTIF(AU$36:AU$52,Table8[[#This Row],[Date Day]]) &gt; 0, TRUE, FALSE)</f>
        <v>0</v>
      </c>
      <c r="E760" s="64">
        <f t="shared" si="22"/>
        <v>2</v>
      </c>
      <c r="F760" s="64">
        <v>1</v>
      </c>
      <c r="G760" s="65" t="str">
        <f>IF(Table8[[#This Row],[Weathersit]]=1, "BAD", IF(Table8[[#This Row],[Weathersit]]=2, "MODERATE", IF(Table8[[#This Row],[Weathersit]]=3, "GOOD")))</f>
        <v>BAD</v>
      </c>
      <c r="H760" s="64">
        <v>38</v>
      </c>
      <c r="I760" s="65" t="str">
        <f>IF(Table8[[#This Row],[Temp]]&lt;11, "COLD", IF(Table8[[#This Row],[Temp]]&lt;=25, "COMFORTABLE", "WARM"))</f>
        <v>WARM</v>
      </c>
      <c r="J760" s="64">
        <v>0.39389999999999997</v>
      </c>
      <c r="K760" s="64">
        <v>0.76</v>
      </c>
      <c r="L760" s="66">
        <v>32.840000000000003</v>
      </c>
      <c r="M760" s="75" t="s">
        <v>84</v>
      </c>
      <c r="N760" s="64">
        <v>10</v>
      </c>
      <c r="O760" s="64">
        <v>66</v>
      </c>
      <c r="P760" s="64">
        <v>76</v>
      </c>
      <c r="Q760" s="64"/>
      <c r="R760" s="65" t="str">
        <f t="shared" si="23"/>
        <v>Week 1</v>
      </c>
      <c r="S760" s="65" t="str">
        <f>TEXT(Table8[[#This Row],[Date Day]],"mmm,YYYY")</f>
        <v>Feb,2011</v>
      </c>
    </row>
    <row r="761" spans="1:19" ht="15.6" x14ac:dyDescent="0.3">
      <c r="A761" s="62">
        <v>728</v>
      </c>
      <c r="B761" s="63">
        <v>40575</v>
      </c>
      <c r="C761" s="64">
        <v>16</v>
      </c>
      <c r="D761" s="64" t="b">
        <f>IF(COUNTIF(AU$36:AU$52,Table8[[#This Row],[Date Day]]) &gt; 0, TRUE, FALSE)</f>
        <v>0</v>
      </c>
      <c r="E761" s="64">
        <f t="shared" si="22"/>
        <v>2</v>
      </c>
      <c r="F761" s="64">
        <v>1</v>
      </c>
      <c r="G761" s="65" t="str">
        <f>IF(Table8[[#This Row],[Weathersit]]=1, "BAD", IF(Table8[[#This Row],[Weathersit]]=2, "MODERATE", IF(Table8[[#This Row],[Weathersit]]=3, "GOOD")))</f>
        <v>BAD</v>
      </c>
      <c r="H761" s="64">
        <v>36</v>
      </c>
      <c r="I761" s="65" t="str">
        <f>IF(Table8[[#This Row],[Temp]]&lt;11, "COLD", IF(Table8[[#This Row],[Temp]]&lt;=25, "COMFORTABLE", "WARM"))</f>
        <v>WARM</v>
      </c>
      <c r="J761" s="64">
        <v>0.33329999999999999</v>
      </c>
      <c r="K761" s="64">
        <v>0.71</v>
      </c>
      <c r="L761" s="66">
        <v>29.849999999999998</v>
      </c>
      <c r="M761" s="75" t="s">
        <v>81</v>
      </c>
      <c r="N761" s="64">
        <v>8</v>
      </c>
      <c r="O761" s="64">
        <v>95</v>
      </c>
      <c r="P761" s="64">
        <v>103</v>
      </c>
      <c r="Q761" s="64"/>
      <c r="R761" s="65" t="str">
        <f t="shared" si="23"/>
        <v>Week 1</v>
      </c>
      <c r="S761" s="65" t="str">
        <f>TEXT(Table8[[#This Row],[Date Day]],"mmm,YYYY")</f>
        <v>Feb,2011</v>
      </c>
    </row>
    <row r="762" spans="1:19" ht="15.6" x14ac:dyDescent="0.3">
      <c r="A762" s="62">
        <v>729</v>
      </c>
      <c r="B762" s="63">
        <v>40575</v>
      </c>
      <c r="C762" s="64">
        <v>17</v>
      </c>
      <c r="D762" s="64" t="b">
        <f>IF(COUNTIF(AU$36:AU$52,Table8[[#This Row],[Date Day]]) &gt; 0, TRUE, FALSE)</f>
        <v>0</v>
      </c>
      <c r="E762" s="64">
        <f t="shared" si="22"/>
        <v>2</v>
      </c>
      <c r="F762" s="64">
        <v>1</v>
      </c>
      <c r="G762" s="65" t="str">
        <f>IF(Table8[[#This Row],[Weathersit]]=1, "BAD", IF(Table8[[#This Row],[Weathersit]]=2, "MODERATE", IF(Table8[[#This Row],[Weathersit]]=3, "GOOD")))</f>
        <v>BAD</v>
      </c>
      <c r="H762" s="64">
        <v>36</v>
      </c>
      <c r="I762" s="65" t="str">
        <f>IF(Table8[[#This Row],[Temp]]&lt;11, "COLD", IF(Table8[[#This Row],[Temp]]&lt;=25, "COMFORTABLE", "WARM"))</f>
        <v>WARM</v>
      </c>
      <c r="J762" s="64">
        <v>0.31819999999999998</v>
      </c>
      <c r="K762" s="64">
        <v>0.53</v>
      </c>
      <c r="L762" s="66">
        <v>52.239999999999995</v>
      </c>
      <c r="M762" s="75" t="s">
        <v>84</v>
      </c>
      <c r="N762" s="64">
        <v>7</v>
      </c>
      <c r="O762" s="64">
        <v>183</v>
      </c>
      <c r="P762" s="64">
        <v>190</v>
      </c>
      <c r="Q762" s="64"/>
      <c r="R762" s="65" t="str">
        <f t="shared" si="23"/>
        <v>Week 1</v>
      </c>
      <c r="S762" s="65" t="str">
        <f>TEXT(Table8[[#This Row],[Date Day]],"mmm,YYYY")</f>
        <v>Feb,2011</v>
      </c>
    </row>
    <row r="763" spans="1:19" ht="15.6" x14ac:dyDescent="0.3">
      <c r="A763" s="62">
        <v>730</v>
      </c>
      <c r="B763" s="63">
        <v>40575</v>
      </c>
      <c r="C763" s="64">
        <v>18</v>
      </c>
      <c r="D763" s="64" t="b">
        <f>IF(COUNTIF(AU$36:AU$52,Table8[[#This Row],[Date Day]]) &gt; 0, TRUE, FALSE)</f>
        <v>0</v>
      </c>
      <c r="E763" s="64">
        <f t="shared" si="22"/>
        <v>2</v>
      </c>
      <c r="F763" s="64">
        <v>1</v>
      </c>
      <c r="G763" s="65" t="str">
        <f>IF(Table8[[#This Row],[Weathersit]]=1, "BAD", IF(Table8[[#This Row],[Weathersit]]=2, "MODERATE", IF(Table8[[#This Row],[Weathersit]]=3, "GOOD")))</f>
        <v>BAD</v>
      </c>
      <c r="H763" s="64">
        <v>34</v>
      </c>
      <c r="I763" s="65" t="str">
        <f>IF(Table8[[#This Row],[Temp]]&lt;11, "COLD", IF(Table8[[#This Row],[Temp]]&lt;=25, "COMFORTABLE", "WARM"))</f>
        <v>WARM</v>
      </c>
      <c r="J763" s="64">
        <v>0.28789999999999999</v>
      </c>
      <c r="K763" s="64">
        <v>0.42</v>
      </c>
      <c r="L763" s="66">
        <v>55.22</v>
      </c>
      <c r="M763" s="75" t="s">
        <v>84</v>
      </c>
      <c r="N763" s="64">
        <v>7</v>
      </c>
      <c r="O763" s="64">
        <v>175</v>
      </c>
      <c r="P763" s="64">
        <v>182</v>
      </c>
      <c r="Q763" s="64"/>
      <c r="R763" s="65" t="str">
        <f t="shared" si="23"/>
        <v>Week 1</v>
      </c>
      <c r="S763" s="65" t="str">
        <f>TEXT(Table8[[#This Row],[Date Day]],"mmm,YYYY")</f>
        <v>Feb,2011</v>
      </c>
    </row>
    <row r="764" spans="1:19" ht="15.6" x14ac:dyDescent="0.3">
      <c r="A764" s="62">
        <v>731</v>
      </c>
      <c r="B764" s="63">
        <v>40575</v>
      </c>
      <c r="C764" s="64">
        <v>19</v>
      </c>
      <c r="D764" s="64" t="b">
        <f>IF(COUNTIF(AU$36:AU$52,Table8[[#This Row],[Date Day]]) &gt; 0, TRUE, FALSE)</f>
        <v>0</v>
      </c>
      <c r="E764" s="64">
        <f t="shared" si="22"/>
        <v>2</v>
      </c>
      <c r="F764" s="64">
        <v>1</v>
      </c>
      <c r="G764" s="65" t="str">
        <f>IF(Table8[[#This Row],[Weathersit]]=1, "BAD", IF(Table8[[#This Row],[Weathersit]]=2, "MODERATE", IF(Table8[[#This Row],[Weathersit]]=3, "GOOD")))</f>
        <v>BAD</v>
      </c>
      <c r="H764" s="64">
        <v>28.000000000000004</v>
      </c>
      <c r="I764" s="65" t="str">
        <f>IF(Table8[[#This Row],[Temp]]&lt;11, "COLD", IF(Table8[[#This Row],[Temp]]&lt;=25, "COMFORTABLE", "WARM"))</f>
        <v>WARM</v>
      </c>
      <c r="J764" s="64">
        <v>0.2424</v>
      </c>
      <c r="K764" s="64">
        <v>0.45</v>
      </c>
      <c r="L764" s="66">
        <v>49.25</v>
      </c>
      <c r="M764" s="75" t="s">
        <v>84</v>
      </c>
      <c r="N764" s="64">
        <v>3</v>
      </c>
      <c r="O764" s="64">
        <v>88</v>
      </c>
      <c r="P764" s="64">
        <v>91</v>
      </c>
      <c r="Q764" s="64"/>
      <c r="R764" s="65" t="str">
        <f t="shared" si="23"/>
        <v>Week 1</v>
      </c>
      <c r="S764" s="65" t="str">
        <f>TEXT(Table8[[#This Row],[Date Day]],"mmm,YYYY")</f>
        <v>Feb,2011</v>
      </c>
    </row>
    <row r="765" spans="1:19" ht="15.6" x14ac:dyDescent="0.3">
      <c r="A765" s="62">
        <v>732</v>
      </c>
      <c r="B765" s="63">
        <v>40575</v>
      </c>
      <c r="C765" s="64">
        <v>20</v>
      </c>
      <c r="D765" s="64" t="b">
        <f>IF(COUNTIF(AU$36:AU$52,Table8[[#This Row],[Date Day]]) &gt; 0, TRUE, FALSE)</f>
        <v>0</v>
      </c>
      <c r="E765" s="64">
        <f t="shared" si="22"/>
        <v>2</v>
      </c>
      <c r="F765" s="64">
        <v>1</v>
      </c>
      <c r="G765" s="65" t="str">
        <f>IF(Table8[[#This Row],[Weathersit]]=1, "BAD", IF(Table8[[#This Row],[Weathersit]]=2, "MODERATE", IF(Table8[[#This Row],[Weathersit]]=3, "GOOD")))</f>
        <v>BAD</v>
      </c>
      <c r="H765" s="64">
        <v>24</v>
      </c>
      <c r="I765" s="65" t="str">
        <f>IF(Table8[[#This Row],[Temp]]&lt;11, "COLD", IF(Table8[[#This Row],[Temp]]&lt;=25, "COMFORTABLE", "WARM"))</f>
        <v>COMFORTABLE</v>
      </c>
      <c r="J765" s="64">
        <v>0.19700000000000001</v>
      </c>
      <c r="K765" s="64">
        <v>0.48</v>
      </c>
      <c r="L765" s="66">
        <v>55.22</v>
      </c>
      <c r="M765" s="75" t="s">
        <v>84</v>
      </c>
      <c r="N765" s="64">
        <v>4</v>
      </c>
      <c r="O765" s="64">
        <v>71</v>
      </c>
      <c r="P765" s="64">
        <v>75</v>
      </c>
      <c r="Q765" s="64"/>
      <c r="R765" s="65" t="str">
        <f t="shared" si="23"/>
        <v>Week 1</v>
      </c>
      <c r="S765" s="65" t="str">
        <f>TEXT(Table8[[#This Row],[Date Day]],"mmm,YYYY")</f>
        <v>Feb,2011</v>
      </c>
    </row>
    <row r="766" spans="1:19" ht="15.6" x14ac:dyDescent="0.3">
      <c r="A766" s="62">
        <v>733</v>
      </c>
      <c r="B766" s="63">
        <v>40575</v>
      </c>
      <c r="C766" s="64">
        <v>21</v>
      </c>
      <c r="D766" s="64" t="b">
        <f>IF(COUNTIF(AU$36:AU$52,Table8[[#This Row],[Date Day]]) &gt; 0, TRUE, FALSE)</f>
        <v>0</v>
      </c>
      <c r="E766" s="64">
        <f t="shared" si="22"/>
        <v>2</v>
      </c>
      <c r="F766" s="64">
        <v>1</v>
      </c>
      <c r="G766" s="65" t="str">
        <f>IF(Table8[[#This Row],[Weathersit]]=1, "BAD", IF(Table8[[#This Row],[Weathersit]]=2, "MODERATE", IF(Table8[[#This Row],[Weathersit]]=3, "GOOD")))</f>
        <v>BAD</v>
      </c>
      <c r="H766" s="64">
        <v>22</v>
      </c>
      <c r="I766" s="65" t="str">
        <f>IF(Table8[[#This Row],[Temp]]&lt;11, "COLD", IF(Table8[[#This Row],[Temp]]&lt;=25, "COMFORTABLE", "WARM"))</f>
        <v>COMFORTABLE</v>
      </c>
      <c r="J766" s="64">
        <v>0.19700000000000001</v>
      </c>
      <c r="K766" s="64">
        <v>0.47</v>
      </c>
      <c r="L766" s="66">
        <v>32.840000000000003</v>
      </c>
      <c r="M766" s="75" t="s">
        <v>84</v>
      </c>
      <c r="N766" s="64">
        <v>1</v>
      </c>
      <c r="O766" s="64">
        <v>62</v>
      </c>
      <c r="P766" s="64">
        <v>63</v>
      </c>
      <c r="Q766" s="64"/>
      <c r="R766" s="65" t="str">
        <f t="shared" si="23"/>
        <v>Week 1</v>
      </c>
      <c r="S766" s="65" t="str">
        <f>TEXT(Table8[[#This Row],[Date Day]],"mmm,YYYY")</f>
        <v>Feb,2011</v>
      </c>
    </row>
    <row r="767" spans="1:19" ht="15.6" x14ac:dyDescent="0.3">
      <c r="A767" s="62">
        <v>734</v>
      </c>
      <c r="B767" s="63">
        <v>40575</v>
      </c>
      <c r="C767" s="64">
        <v>22</v>
      </c>
      <c r="D767" s="64" t="b">
        <f>IF(COUNTIF(AU$36:AU$52,Table8[[#This Row],[Date Day]]) &gt; 0, TRUE, FALSE)</f>
        <v>0</v>
      </c>
      <c r="E767" s="64">
        <f t="shared" si="22"/>
        <v>2</v>
      </c>
      <c r="F767" s="64">
        <v>1</v>
      </c>
      <c r="G767" s="65" t="str">
        <f>IF(Table8[[#This Row],[Weathersit]]=1, "BAD", IF(Table8[[#This Row],[Weathersit]]=2, "MODERATE", IF(Table8[[#This Row],[Weathersit]]=3, "GOOD")))</f>
        <v>BAD</v>
      </c>
      <c r="H767" s="64">
        <v>22</v>
      </c>
      <c r="I767" s="65" t="str">
        <f>IF(Table8[[#This Row],[Temp]]&lt;11, "COLD", IF(Table8[[#This Row],[Temp]]&lt;=25, "COMFORTABLE", "WARM"))</f>
        <v>COMFORTABLE</v>
      </c>
      <c r="J767" s="64">
        <v>0.21210000000000001</v>
      </c>
      <c r="K767" s="64">
        <v>0.44</v>
      </c>
      <c r="L767" s="66">
        <v>25.369999999999997</v>
      </c>
      <c r="M767" s="75" t="s">
        <v>81</v>
      </c>
      <c r="N767" s="64">
        <v>5</v>
      </c>
      <c r="O767" s="64">
        <v>35</v>
      </c>
      <c r="P767" s="64">
        <v>40</v>
      </c>
      <c r="Q767" s="64"/>
      <c r="R767" s="65" t="str">
        <f t="shared" si="23"/>
        <v>Week 1</v>
      </c>
      <c r="S767" s="65" t="str">
        <f>TEXT(Table8[[#This Row],[Date Day]],"mmm,YYYY")</f>
        <v>Feb,2011</v>
      </c>
    </row>
    <row r="768" spans="1:19" ht="15.6" x14ac:dyDescent="0.3">
      <c r="A768" s="62">
        <v>735</v>
      </c>
      <c r="B768" s="63">
        <v>40575</v>
      </c>
      <c r="C768" s="64">
        <v>23</v>
      </c>
      <c r="D768" s="64" t="b">
        <f>IF(COUNTIF(AU$36:AU$52,Table8[[#This Row],[Date Day]]) &gt; 0, TRUE, FALSE)</f>
        <v>0</v>
      </c>
      <c r="E768" s="64">
        <f t="shared" si="22"/>
        <v>2</v>
      </c>
      <c r="F768" s="64">
        <v>1</v>
      </c>
      <c r="G768" s="65" t="str">
        <f>IF(Table8[[#This Row],[Weathersit]]=1, "BAD", IF(Table8[[#This Row],[Weathersit]]=2, "MODERATE", IF(Table8[[#This Row],[Weathersit]]=3, "GOOD")))</f>
        <v>BAD</v>
      </c>
      <c r="H768" s="64">
        <v>20</v>
      </c>
      <c r="I768" s="65" t="str">
        <f>IF(Table8[[#This Row],[Temp]]&lt;11, "COLD", IF(Table8[[#This Row],[Temp]]&lt;=25, "COMFORTABLE", "WARM"))</f>
        <v>COMFORTABLE</v>
      </c>
      <c r="J768" s="64">
        <v>0.16669999999999999</v>
      </c>
      <c r="K768" s="64">
        <v>0.44</v>
      </c>
      <c r="L768" s="66">
        <v>44.78</v>
      </c>
      <c r="M768" s="75" t="s">
        <v>84</v>
      </c>
      <c r="N768" s="64">
        <v>3</v>
      </c>
      <c r="O768" s="64">
        <v>29</v>
      </c>
      <c r="P768" s="64">
        <v>32</v>
      </c>
      <c r="Q768" s="64"/>
      <c r="R768" s="65" t="str">
        <f t="shared" si="23"/>
        <v>Week 1</v>
      </c>
      <c r="S768" s="65" t="str">
        <f>TEXT(Table8[[#This Row],[Date Day]],"mmm,YYYY")</f>
        <v>Feb,2011</v>
      </c>
    </row>
    <row r="769" spans="1:19" ht="15.6" x14ac:dyDescent="0.3">
      <c r="A769" s="62">
        <v>736</v>
      </c>
      <c r="B769" s="63">
        <v>40576</v>
      </c>
      <c r="C769" s="64">
        <v>0</v>
      </c>
      <c r="D769" s="64" t="b">
        <f>IF(COUNTIF(AU$36:AU$52,Table8[[#This Row],[Date Day]]) &gt; 0, TRUE, FALSE)</f>
        <v>0</v>
      </c>
      <c r="E769" s="64">
        <f t="shared" si="22"/>
        <v>3</v>
      </c>
      <c r="F769" s="64">
        <v>1</v>
      </c>
      <c r="G769" s="65" t="str">
        <f>IF(Table8[[#This Row],[Weathersit]]=1, "BAD", IF(Table8[[#This Row],[Weathersit]]=2, "MODERATE", IF(Table8[[#This Row],[Weathersit]]=3, "GOOD")))</f>
        <v>BAD</v>
      </c>
      <c r="H769" s="64">
        <v>20</v>
      </c>
      <c r="I769" s="65" t="str">
        <f>IF(Table8[[#This Row],[Temp]]&lt;11, "COLD", IF(Table8[[#This Row],[Temp]]&lt;=25, "COMFORTABLE", "WARM"))</f>
        <v>COMFORTABLE</v>
      </c>
      <c r="J769" s="64">
        <v>0.16669999999999999</v>
      </c>
      <c r="K769" s="64">
        <v>0.4</v>
      </c>
      <c r="L769" s="66">
        <v>44.78</v>
      </c>
      <c r="M769" s="75" t="s">
        <v>84</v>
      </c>
      <c r="N769" s="64">
        <v>1</v>
      </c>
      <c r="O769" s="64">
        <v>11</v>
      </c>
      <c r="P769" s="64">
        <v>12</v>
      </c>
      <c r="Q769" s="64"/>
      <c r="R769" s="65" t="str">
        <f t="shared" si="23"/>
        <v>Week 1</v>
      </c>
      <c r="S769" s="65" t="str">
        <f>TEXT(Table8[[#This Row],[Date Day]],"mmm,YYYY")</f>
        <v>Feb,2011</v>
      </c>
    </row>
    <row r="770" spans="1:19" ht="15.6" x14ac:dyDescent="0.3">
      <c r="A770" s="62">
        <v>737</v>
      </c>
      <c r="B770" s="63">
        <v>40576</v>
      </c>
      <c r="C770" s="64">
        <v>1</v>
      </c>
      <c r="D770" s="64" t="b">
        <f>IF(COUNTIF(AU$36:AU$52,Table8[[#This Row],[Date Day]]) &gt; 0, TRUE, FALSE)</f>
        <v>0</v>
      </c>
      <c r="E770" s="64">
        <f t="shared" si="22"/>
        <v>3</v>
      </c>
      <c r="F770" s="64">
        <v>1</v>
      </c>
      <c r="G770" s="65" t="str">
        <f>IF(Table8[[#This Row],[Weathersit]]=1, "BAD", IF(Table8[[#This Row],[Weathersit]]=2, "MODERATE", IF(Table8[[#This Row],[Weathersit]]=3, "GOOD")))</f>
        <v>BAD</v>
      </c>
      <c r="H770" s="64">
        <v>20</v>
      </c>
      <c r="I770" s="65" t="str">
        <f>IF(Table8[[#This Row],[Temp]]&lt;11, "COLD", IF(Table8[[#This Row],[Temp]]&lt;=25, "COMFORTABLE", "WARM"))</f>
        <v>COMFORTABLE</v>
      </c>
      <c r="J770" s="64">
        <v>0.1515</v>
      </c>
      <c r="K770" s="64">
        <v>0.44</v>
      </c>
      <c r="L770" s="66">
        <v>52.239999999999995</v>
      </c>
      <c r="M770" s="75" t="s">
        <v>84</v>
      </c>
      <c r="N770" s="64">
        <v>0</v>
      </c>
      <c r="O770" s="64">
        <v>5</v>
      </c>
      <c r="P770" s="64">
        <v>5</v>
      </c>
      <c r="Q770" s="64"/>
      <c r="R770" s="65" t="str">
        <f t="shared" si="23"/>
        <v>Week 1</v>
      </c>
      <c r="S770" s="65" t="str">
        <f>TEXT(Table8[[#This Row],[Date Day]],"mmm,YYYY")</f>
        <v>Feb,2011</v>
      </c>
    </row>
    <row r="771" spans="1:19" ht="15.6" x14ac:dyDescent="0.3">
      <c r="A771" s="62">
        <v>738</v>
      </c>
      <c r="B771" s="63">
        <v>40576</v>
      </c>
      <c r="C771" s="64">
        <v>2</v>
      </c>
      <c r="D771" s="64" t="b">
        <f>IF(COUNTIF(AU$36:AU$52,Table8[[#This Row],[Date Day]]) &gt; 0, TRUE, FALSE)</f>
        <v>0</v>
      </c>
      <c r="E771" s="64">
        <f t="shared" si="22"/>
        <v>3</v>
      </c>
      <c r="F771" s="64">
        <v>1</v>
      </c>
      <c r="G771" s="65" t="str">
        <f>IF(Table8[[#This Row],[Weathersit]]=1, "BAD", IF(Table8[[#This Row],[Weathersit]]=2, "MODERATE", IF(Table8[[#This Row],[Weathersit]]=3, "GOOD")))</f>
        <v>BAD</v>
      </c>
      <c r="H771" s="64">
        <v>18</v>
      </c>
      <c r="I771" s="65" t="str">
        <f>IF(Table8[[#This Row],[Temp]]&lt;11, "COLD", IF(Table8[[#This Row],[Temp]]&lt;=25, "COMFORTABLE", "WARM"))</f>
        <v>COMFORTABLE</v>
      </c>
      <c r="J771" s="64">
        <v>0.16669999999999999</v>
      </c>
      <c r="K771" s="64">
        <v>0.43</v>
      </c>
      <c r="L771" s="66">
        <v>25.369999999999997</v>
      </c>
      <c r="M771" s="75" t="s">
        <v>81</v>
      </c>
      <c r="N771" s="64">
        <v>0</v>
      </c>
      <c r="O771" s="64">
        <v>2</v>
      </c>
      <c r="P771" s="64">
        <v>2</v>
      </c>
      <c r="Q771" s="64"/>
      <c r="R771" s="65" t="str">
        <f t="shared" si="23"/>
        <v>Week 1</v>
      </c>
      <c r="S771" s="65" t="str">
        <f>TEXT(Table8[[#This Row],[Date Day]],"mmm,YYYY")</f>
        <v>Feb,2011</v>
      </c>
    </row>
    <row r="772" spans="1:19" ht="15.6" x14ac:dyDescent="0.3">
      <c r="A772" s="62">
        <v>739</v>
      </c>
      <c r="B772" s="63">
        <v>40576</v>
      </c>
      <c r="C772" s="64">
        <v>3</v>
      </c>
      <c r="D772" s="64" t="b">
        <f>IF(COUNTIF(AU$36:AU$52,Table8[[#This Row],[Date Day]]) &gt; 0, TRUE, FALSE)</f>
        <v>0</v>
      </c>
      <c r="E772" s="64">
        <f t="shared" si="22"/>
        <v>3</v>
      </c>
      <c r="F772" s="64">
        <v>1</v>
      </c>
      <c r="G772" s="65" t="str">
        <f>IF(Table8[[#This Row],[Weathersit]]=1, "BAD", IF(Table8[[#This Row],[Weathersit]]=2, "MODERATE", IF(Table8[[#This Row],[Weathersit]]=3, "GOOD")))</f>
        <v>BAD</v>
      </c>
      <c r="H772" s="64">
        <v>18</v>
      </c>
      <c r="I772" s="65" t="str">
        <f>IF(Table8[[#This Row],[Temp]]&lt;11, "COLD", IF(Table8[[#This Row],[Temp]]&lt;=25, "COMFORTABLE", "WARM"))</f>
        <v>COMFORTABLE</v>
      </c>
      <c r="J772" s="64">
        <v>0.16669999999999999</v>
      </c>
      <c r="K772" s="64">
        <v>0.43</v>
      </c>
      <c r="L772" s="66">
        <v>25.369999999999997</v>
      </c>
      <c r="M772" s="75" t="s">
        <v>81</v>
      </c>
      <c r="N772" s="64">
        <v>0</v>
      </c>
      <c r="O772" s="64">
        <v>1</v>
      </c>
      <c r="P772" s="64">
        <v>1</v>
      </c>
      <c r="Q772" s="64"/>
      <c r="R772" s="65" t="str">
        <f t="shared" si="23"/>
        <v>Week 1</v>
      </c>
      <c r="S772" s="65" t="str">
        <f>TEXT(Table8[[#This Row],[Date Day]],"mmm,YYYY")</f>
        <v>Feb,2011</v>
      </c>
    </row>
    <row r="773" spans="1:19" ht="15.6" x14ac:dyDescent="0.3">
      <c r="A773" s="62">
        <v>740</v>
      </c>
      <c r="B773" s="63">
        <v>40576</v>
      </c>
      <c r="C773" s="64">
        <v>5</v>
      </c>
      <c r="D773" s="64" t="b">
        <f>IF(COUNTIF(AU$36:AU$52,Table8[[#This Row],[Date Day]]) &gt; 0, TRUE, FALSE)</f>
        <v>0</v>
      </c>
      <c r="E773" s="64">
        <f t="shared" si="22"/>
        <v>3</v>
      </c>
      <c r="F773" s="64">
        <v>1</v>
      </c>
      <c r="G773" s="65" t="str">
        <f>IF(Table8[[#This Row],[Weathersit]]=1, "BAD", IF(Table8[[#This Row],[Weathersit]]=2, "MODERATE", IF(Table8[[#This Row],[Weathersit]]=3, "GOOD")))</f>
        <v>BAD</v>
      </c>
      <c r="H773" s="64">
        <v>16</v>
      </c>
      <c r="I773" s="65" t="str">
        <f>IF(Table8[[#This Row],[Temp]]&lt;11, "COLD", IF(Table8[[#This Row],[Temp]]&lt;=25, "COMFORTABLE", "WARM"))</f>
        <v>COMFORTABLE</v>
      </c>
      <c r="J773" s="64">
        <v>0.13639999999999999</v>
      </c>
      <c r="K773" s="64">
        <v>0.5</v>
      </c>
      <c r="L773" s="66">
        <v>29.849999999999998</v>
      </c>
      <c r="M773" s="75" t="s">
        <v>81</v>
      </c>
      <c r="N773" s="64">
        <v>0</v>
      </c>
      <c r="O773" s="64">
        <v>2</v>
      </c>
      <c r="P773" s="64">
        <v>2</v>
      </c>
      <c r="Q773" s="64"/>
      <c r="R773" s="65" t="str">
        <f t="shared" si="23"/>
        <v>Week 1</v>
      </c>
      <c r="S773" s="65" t="str">
        <f>TEXT(Table8[[#This Row],[Date Day]],"mmm,YYYY")</f>
        <v>Feb,2011</v>
      </c>
    </row>
    <row r="774" spans="1:19" ht="15.6" x14ac:dyDescent="0.3">
      <c r="A774" s="62">
        <v>741</v>
      </c>
      <c r="B774" s="63">
        <v>40576</v>
      </c>
      <c r="C774" s="64">
        <v>6</v>
      </c>
      <c r="D774" s="64" t="b">
        <f>IF(COUNTIF(AU$36:AU$52,Table8[[#This Row],[Date Day]]) &gt; 0, TRUE, FALSE)</f>
        <v>0</v>
      </c>
      <c r="E774" s="64">
        <f t="shared" si="22"/>
        <v>3</v>
      </c>
      <c r="F774" s="64">
        <v>1</v>
      </c>
      <c r="G774" s="65" t="str">
        <f>IF(Table8[[#This Row],[Weathersit]]=1, "BAD", IF(Table8[[#This Row],[Weathersit]]=2, "MODERATE", IF(Table8[[#This Row],[Weathersit]]=3, "GOOD")))</f>
        <v>BAD</v>
      </c>
      <c r="H774" s="64">
        <v>16</v>
      </c>
      <c r="I774" s="65" t="str">
        <f>IF(Table8[[#This Row],[Temp]]&lt;11, "COLD", IF(Table8[[#This Row],[Temp]]&lt;=25, "COMFORTABLE", "WARM"))</f>
        <v>COMFORTABLE</v>
      </c>
      <c r="J774" s="64">
        <v>0.13639999999999999</v>
      </c>
      <c r="K774" s="64">
        <v>0.43</v>
      </c>
      <c r="L774" s="66">
        <v>35.82</v>
      </c>
      <c r="M774" s="75" t="s">
        <v>84</v>
      </c>
      <c r="N774" s="64">
        <v>0</v>
      </c>
      <c r="O774" s="64">
        <v>39</v>
      </c>
      <c r="P774" s="64">
        <v>39</v>
      </c>
      <c r="Q774" s="64"/>
      <c r="R774" s="65" t="str">
        <f t="shared" si="23"/>
        <v>Week 1</v>
      </c>
      <c r="S774" s="65" t="str">
        <f>TEXT(Table8[[#This Row],[Date Day]],"mmm,YYYY")</f>
        <v>Feb,2011</v>
      </c>
    </row>
    <row r="775" spans="1:19" ht="15.6" x14ac:dyDescent="0.3">
      <c r="A775" s="62">
        <v>742</v>
      </c>
      <c r="B775" s="63">
        <v>40576</v>
      </c>
      <c r="C775" s="64">
        <v>7</v>
      </c>
      <c r="D775" s="64" t="b">
        <f>IF(COUNTIF(AU$36:AU$52,Table8[[#This Row],[Date Day]]) &gt; 0, TRUE, FALSE)</f>
        <v>0</v>
      </c>
      <c r="E775" s="64">
        <f t="shared" si="22"/>
        <v>3</v>
      </c>
      <c r="F775" s="64">
        <v>1</v>
      </c>
      <c r="G775" s="65" t="str">
        <f>IF(Table8[[#This Row],[Weathersit]]=1, "BAD", IF(Table8[[#This Row],[Weathersit]]=2, "MODERATE", IF(Table8[[#This Row],[Weathersit]]=3, "GOOD")))</f>
        <v>BAD</v>
      </c>
      <c r="H775" s="64">
        <v>14.000000000000002</v>
      </c>
      <c r="I775" s="65" t="str">
        <f>IF(Table8[[#This Row],[Temp]]&lt;11, "COLD", IF(Table8[[#This Row],[Temp]]&lt;=25, "COMFORTABLE", "WARM"))</f>
        <v>COMFORTABLE</v>
      </c>
      <c r="J775" s="64">
        <v>0.1212</v>
      </c>
      <c r="K775" s="64">
        <v>0.5</v>
      </c>
      <c r="L775" s="66">
        <v>32.840000000000003</v>
      </c>
      <c r="M775" s="75" t="s">
        <v>84</v>
      </c>
      <c r="N775" s="64">
        <v>1</v>
      </c>
      <c r="O775" s="64">
        <v>86</v>
      </c>
      <c r="P775" s="64">
        <v>87</v>
      </c>
      <c r="Q775" s="64"/>
      <c r="R775" s="65" t="str">
        <f t="shared" si="23"/>
        <v>Week 1</v>
      </c>
      <c r="S775" s="65" t="str">
        <f>TEXT(Table8[[#This Row],[Date Day]],"mmm,YYYY")</f>
        <v>Feb,2011</v>
      </c>
    </row>
    <row r="776" spans="1:19" ht="15.6" x14ac:dyDescent="0.3">
      <c r="A776" s="62">
        <v>743</v>
      </c>
      <c r="B776" s="63">
        <v>40576</v>
      </c>
      <c r="C776" s="64">
        <v>8</v>
      </c>
      <c r="D776" s="64" t="b">
        <f>IF(COUNTIF(AU$36:AU$52,Table8[[#This Row],[Date Day]]) &gt; 0, TRUE, FALSE)</f>
        <v>0</v>
      </c>
      <c r="E776" s="64">
        <f t="shared" si="22"/>
        <v>3</v>
      </c>
      <c r="F776" s="64">
        <v>1</v>
      </c>
      <c r="G776" s="65" t="str">
        <f>IF(Table8[[#This Row],[Weathersit]]=1, "BAD", IF(Table8[[#This Row],[Weathersit]]=2, "MODERATE", IF(Table8[[#This Row],[Weathersit]]=3, "GOOD")))</f>
        <v>BAD</v>
      </c>
      <c r="H776" s="64">
        <v>14.000000000000002</v>
      </c>
      <c r="I776" s="65" t="str">
        <f>IF(Table8[[#This Row],[Temp]]&lt;11, "COLD", IF(Table8[[#This Row],[Temp]]&lt;=25, "COMFORTABLE", "WARM"))</f>
        <v>COMFORTABLE</v>
      </c>
      <c r="J776" s="64">
        <v>0.1212</v>
      </c>
      <c r="K776" s="64">
        <v>0.5</v>
      </c>
      <c r="L776" s="66">
        <v>35.82</v>
      </c>
      <c r="M776" s="75" t="s">
        <v>84</v>
      </c>
      <c r="N776" s="64">
        <v>4</v>
      </c>
      <c r="O776" s="64">
        <v>184</v>
      </c>
      <c r="P776" s="64">
        <v>188</v>
      </c>
      <c r="Q776" s="64"/>
      <c r="R776" s="65" t="str">
        <f t="shared" si="23"/>
        <v>Week 1</v>
      </c>
      <c r="S776" s="65" t="str">
        <f>TEXT(Table8[[#This Row],[Date Day]],"mmm,YYYY")</f>
        <v>Feb,2011</v>
      </c>
    </row>
    <row r="777" spans="1:19" ht="15.6" x14ac:dyDescent="0.3">
      <c r="A777" s="62">
        <v>744</v>
      </c>
      <c r="B777" s="63">
        <v>40576</v>
      </c>
      <c r="C777" s="64">
        <v>9</v>
      </c>
      <c r="D777" s="64" t="b">
        <f>IF(COUNTIF(AU$36:AU$52,Table8[[#This Row],[Date Day]]) &gt; 0, TRUE, FALSE)</f>
        <v>0</v>
      </c>
      <c r="E777" s="64">
        <f t="shared" si="22"/>
        <v>3</v>
      </c>
      <c r="F777" s="64">
        <v>1</v>
      </c>
      <c r="G777" s="65" t="str">
        <f>IF(Table8[[#This Row],[Weathersit]]=1, "BAD", IF(Table8[[#This Row],[Weathersit]]=2, "MODERATE", IF(Table8[[#This Row],[Weathersit]]=3, "GOOD")))</f>
        <v>BAD</v>
      </c>
      <c r="H777" s="64">
        <v>16</v>
      </c>
      <c r="I777" s="65" t="str">
        <f>IF(Table8[[#This Row],[Temp]]&lt;11, "COLD", IF(Table8[[#This Row],[Temp]]&lt;=25, "COMFORTABLE", "WARM"))</f>
        <v>COMFORTABLE</v>
      </c>
      <c r="J777" s="64">
        <v>0.13639999999999999</v>
      </c>
      <c r="K777" s="64">
        <v>0.47</v>
      </c>
      <c r="L777" s="66">
        <v>29.849999999999998</v>
      </c>
      <c r="M777" s="75" t="s">
        <v>81</v>
      </c>
      <c r="N777" s="64">
        <v>6</v>
      </c>
      <c r="O777" s="64">
        <v>127</v>
      </c>
      <c r="P777" s="64">
        <v>133</v>
      </c>
      <c r="Q777" s="64"/>
      <c r="R777" s="65" t="str">
        <f t="shared" si="23"/>
        <v>Week 1</v>
      </c>
      <c r="S777" s="65" t="str">
        <f>TEXT(Table8[[#This Row],[Date Day]],"mmm,YYYY")</f>
        <v>Feb,2011</v>
      </c>
    </row>
    <row r="778" spans="1:19" ht="15.6" x14ac:dyDescent="0.3">
      <c r="A778" s="62">
        <v>745</v>
      </c>
      <c r="B778" s="63">
        <v>40576</v>
      </c>
      <c r="C778" s="64">
        <v>10</v>
      </c>
      <c r="D778" s="64" t="b">
        <f>IF(COUNTIF(AU$36:AU$52,Table8[[#This Row],[Date Day]]) &gt; 0, TRUE, FALSE)</f>
        <v>0</v>
      </c>
      <c r="E778" s="64">
        <f t="shared" si="22"/>
        <v>3</v>
      </c>
      <c r="F778" s="64">
        <v>1</v>
      </c>
      <c r="G778" s="65" t="str">
        <f>IF(Table8[[#This Row],[Weathersit]]=1, "BAD", IF(Table8[[#This Row],[Weathersit]]=2, "MODERATE", IF(Table8[[#This Row],[Weathersit]]=3, "GOOD")))</f>
        <v>BAD</v>
      </c>
      <c r="H778" s="64">
        <v>18</v>
      </c>
      <c r="I778" s="65" t="str">
        <f>IF(Table8[[#This Row],[Temp]]&lt;11, "COLD", IF(Table8[[#This Row],[Temp]]&lt;=25, "COMFORTABLE", "WARM"))</f>
        <v>COMFORTABLE</v>
      </c>
      <c r="J778" s="64">
        <v>0.1515</v>
      </c>
      <c r="K778" s="64">
        <v>0.43</v>
      </c>
      <c r="L778" s="66">
        <v>32.840000000000003</v>
      </c>
      <c r="M778" s="75" t="s">
        <v>84</v>
      </c>
      <c r="N778" s="64">
        <v>2</v>
      </c>
      <c r="O778" s="64">
        <v>50</v>
      </c>
      <c r="P778" s="64">
        <v>52</v>
      </c>
      <c r="Q778" s="64"/>
      <c r="R778" s="65" t="str">
        <f t="shared" si="23"/>
        <v>Week 1</v>
      </c>
      <c r="S778" s="65" t="str">
        <f>TEXT(Table8[[#This Row],[Date Day]],"mmm,YYYY")</f>
        <v>Feb,2011</v>
      </c>
    </row>
    <row r="779" spans="1:19" ht="15.6" x14ac:dyDescent="0.3">
      <c r="A779" s="62">
        <v>746</v>
      </c>
      <c r="B779" s="63">
        <v>40576</v>
      </c>
      <c r="C779" s="64">
        <v>11</v>
      </c>
      <c r="D779" s="64" t="b">
        <f>IF(COUNTIF(AU$36:AU$52,Table8[[#This Row],[Date Day]]) &gt; 0, TRUE, FALSE)</f>
        <v>0</v>
      </c>
      <c r="E779" s="64">
        <f t="shared" si="22"/>
        <v>3</v>
      </c>
      <c r="F779" s="64">
        <v>1</v>
      </c>
      <c r="G779" s="65" t="str">
        <f>IF(Table8[[#This Row],[Weathersit]]=1, "BAD", IF(Table8[[#This Row],[Weathersit]]=2, "MODERATE", IF(Table8[[#This Row],[Weathersit]]=3, "GOOD")))</f>
        <v>BAD</v>
      </c>
      <c r="H779" s="64">
        <v>18</v>
      </c>
      <c r="I779" s="65" t="str">
        <f>IF(Table8[[#This Row],[Temp]]&lt;11, "COLD", IF(Table8[[#This Row],[Temp]]&lt;=25, "COMFORTABLE", "WARM"))</f>
        <v>COMFORTABLE</v>
      </c>
      <c r="J779" s="64">
        <v>0.13639999999999999</v>
      </c>
      <c r="K779" s="64">
        <v>0.43</v>
      </c>
      <c r="L779" s="66">
        <v>44.78</v>
      </c>
      <c r="M779" s="75" t="s">
        <v>84</v>
      </c>
      <c r="N779" s="64">
        <v>9</v>
      </c>
      <c r="O779" s="64">
        <v>55</v>
      </c>
      <c r="P779" s="64">
        <v>64</v>
      </c>
      <c r="Q779" s="64"/>
      <c r="R779" s="65" t="str">
        <f t="shared" si="23"/>
        <v>Week 1</v>
      </c>
      <c r="S779" s="65" t="str">
        <f>TEXT(Table8[[#This Row],[Date Day]],"mmm,YYYY")</f>
        <v>Feb,2011</v>
      </c>
    </row>
    <row r="780" spans="1:19" ht="15.6" x14ac:dyDescent="0.3">
      <c r="A780" s="62">
        <v>747</v>
      </c>
      <c r="B780" s="63">
        <v>40576</v>
      </c>
      <c r="C780" s="64">
        <v>12</v>
      </c>
      <c r="D780" s="64" t="b">
        <f>IF(COUNTIF(AU$36:AU$52,Table8[[#This Row],[Date Day]]) &gt; 0, TRUE, FALSE)</f>
        <v>0</v>
      </c>
      <c r="E780" s="64">
        <f t="shared" si="22"/>
        <v>3</v>
      </c>
      <c r="F780" s="64">
        <v>1</v>
      </c>
      <c r="G780" s="65" t="str">
        <f>IF(Table8[[#This Row],[Weathersit]]=1, "BAD", IF(Table8[[#This Row],[Weathersit]]=2, "MODERATE", IF(Table8[[#This Row],[Weathersit]]=3, "GOOD")))</f>
        <v>BAD</v>
      </c>
      <c r="H780" s="64">
        <v>20</v>
      </c>
      <c r="I780" s="65" t="str">
        <f>IF(Table8[[#This Row],[Temp]]&lt;11, "COLD", IF(Table8[[#This Row],[Temp]]&lt;=25, "COMFORTABLE", "WARM"))</f>
        <v>COMFORTABLE</v>
      </c>
      <c r="J780" s="64">
        <v>0.18179999999999999</v>
      </c>
      <c r="K780" s="64">
        <v>0.4</v>
      </c>
      <c r="L780" s="66">
        <v>35.82</v>
      </c>
      <c r="M780" s="75" t="s">
        <v>84</v>
      </c>
      <c r="N780" s="64">
        <v>2</v>
      </c>
      <c r="O780" s="64">
        <v>67</v>
      </c>
      <c r="P780" s="64">
        <v>69</v>
      </c>
      <c r="Q780" s="64"/>
      <c r="R780" s="65" t="str">
        <f t="shared" si="23"/>
        <v>Week 1</v>
      </c>
      <c r="S780" s="65" t="str">
        <f>TEXT(Table8[[#This Row],[Date Day]],"mmm,YYYY")</f>
        <v>Feb,2011</v>
      </c>
    </row>
    <row r="781" spans="1:19" ht="15.6" x14ac:dyDescent="0.3">
      <c r="A781" s="62">
        <v>748</v>
      </c>
      <c r="B781" s="63">
        <v>40576</v>
      </c>
      <c r="C781" s="64">
        <v>13</v>
      </c>
      <c r="D781" s="64" t="b">
        <f>IF(COUNTIF(AU$36:AU$52,Table8[[#This Row],[Date Day]]) &gt; 0, TRUE, FALSE)</f>
        <v>0</v>
      </c>
      <c r="E781" s="64">
        <f t="shared" si="22"/>
        <v>3</v>
      </c>
      <c r="F781" s="64">
        <v>1</v>
      </c>
      <c r="G781" s="65" t="str">
        <f>IF(Table8[[#This Row],[Weathersit]]=1, "BAD", IF(Table8[[#This Row],[Weathersit]]=2, "MODERATE", IF(Table8[[#This Row],[Weathersit]]=3, "GOOD")))</f>
        <v>BAD</v>
      </c>
      <c r="H781" s="64">
        <v>20</v>
      </c>
      <c r="I781" s="65" t="str">
        <f>IF(Table8[[#This Row],[Temp]]&lt;11, "COLD", IF(Table8[[#This Row],[Temp]]&lt;=25, "COMFORTABLE", "WARM"))</f>
        <v>COMFORTABLE</v>
      </c>
      <c r="J781" s="64">
        <v>0.16669999999999999</v>
      </c>
      <c r="K781" s="64">
        <v>0.4</v>
      </c>
      <c r="L781" s="66">
        <v>41.79</v>
      </c>
      <c r="M781" s="75" t="s">
        <v>84</v>
      </c>
      <c r="N781" s="64">
        <v>4</v>
      </c>
      <c r="O781" s="64">
        <v>47</v>
      </c>
      <c r="P781" s="64">
        <v>51</v>
      </c>
      <c r="Q781" s="64"/>
      <c r="R781" s="65" t="str">
        <f t="shared" si="23"/>
        <v>Week 1</v>
      </c>
      <c r="S781" s="65" t="str">
        <f>TEXT(Table8[[#This Row],[Date Day]],"mmm,YYYY")</f>
        <v>Feb,2011</v>
      </c>
    </row>
    <row r="782" spans="1:19" ht="15.6" x14ac:dyDescent="0.3">
      <c r="A782" s="62">
        <v>749</v>
      </c>
      <c r="B782" s="63">
        <v>40576</v>
      </c>
      <c r="C782" s="64">
        <v>14</v>
      </c>
      <c r="D782" s="64" t="b">
        <f>IF(COUNTIF(AU$36:AU$52,Table8[[#This Row],[Date Day]]) &gt; 0, TRUE, FALSE)</f>
        <v>0</v>
      </c>
      <c r="E782" s="64">
        <f t="shared" si="22"/>
        <v>3</v>
      </c>
      <c r="F782" s="64">
        <v>1</v>
      </c>
      <c r="G782" s="65" t="str">
        <f>IF(Table8[[#This Row],[Weathersit]]=1, "BAD", IF(Table8[[#This Row],[Weathersit]]=2, "MODERATE", IF(Table8[[#This Row],[Weathersit]]=3, "GOOD")))</f>
        <v>BAD</v>
      </c>
      <c r="H782" s="64">
        <v>22</v>
      </c>
      <c r="I782" s="65" t="str">
        <f>IF(Table8[[#This Row],[Temp]]&lt;11, "COLD", IF(Table8[[#This Row],[Temp]]&lt;=25, "COMFORTABLE", "WARM"))</f>
        <v>COMFORTABLE</v>
      </c>
      <c r="J782" s="64">
        <v>0.19700000000000001</v>
      </c>
      <c r="K782" s="64">
        <v>0.37</v>
      </c>
      <c r="L782" s="66">
        <v>38.81</v>
      </c>
      <c r="M782" s="75" t="s">
        <v>84</v>
      </c>
      <c r="N782" s="64">
        <v>4</v>
      </c>
      <c r="O782" s="64">
        <v>43</v>
      </c>
      <c r="P782" s="64">
        <v>47</v>
      </c>
      <c r="Q782" s="64"/>
      <c r="R782" s="65" t="str">
        <f t="shared" si="23"/>
        <v>Week 1</v>
      </c>
      <c r="S782" s="65" t="str">
        <f>TEXT(Table8[[#This Row],[Date Day]],"mmm,YYYY")</f>
        <v>Feb,2011</v>
      </c>
    </row>
    <row r="783" spans="1:19" ht="15.6" x14ac:dyDescent="0.3">
      <c r="A783" s="62">
        <v>750</v>
      </c>
      <c r="B783" s="63">
        <v>40576</v>
      </c>
      <c r="C783" s="64">
        <v>15</v>
      </c>
      <c r="D783" s="64" t="b">
        <f>IF(COUNTIF(AU$36:AU$52,Table8[[#This Row],[Date Day]]) &gt; 0, TRUE, FALSE)</f>
        <v>0</v>
      </c>
      <c r="E783" s="64">
        <f t="shared" si="22"/>
        <v>3</v>
      </c>
      <c r="F783" s="64">
        <v>1</v>
      </c>
      <c r="G783" s="65" t="str">
        <f>IF(Table8[[#This Row],[Weathersit]]=1, "BAD", IF(Table8[[#This Row],[Weathersit]]=2, "MODERATE", IF(Table8[[#This Row],[Weathersit]]=3, "GOOD")))</f>
        <v>BAD</v>
      </c>
      <c r="H783" s="64">
        <v>22</v>
      </c>
      <c r="I783" s="65" t="str">
        <f>IF(Table8[[#This Row],[Temp]]&lt;11, "COLD", IF(Table8[[#This Row],[Temp]]&lt;=25, "COMFORTABLE", "WARM"))</f>
        <v>COMFORTABLE</v>
      </c>
      <c r="J783" s="64">
        <v>0.19700000000000001</v>
      </c>
      <c r="K783" s="64">
        <v>0.37</v>
      </c>
      <c r="L783" s="66">
        <v>32.840000000000003</v>
      </c>
      <c r="M783" s="75" t="s">
        <v>84</v>
      </c>
      <c r="N783" s="64">
        <v>4</v>
      </c>
      <c r="O783" s="64">
        <v>56</v>
      </c>
      <c r="P783" s="64">
        <v>60</v>
      </c>
      <c r="Q783" s="64"/>
      <c r="R783" s="65" t="str">
        <f t="shared" si="23"/>
        <v>Week 1</v>
      </c>
      <c r="S783" s="65" t="str">
        <f>TEXT(Table8[[#This Row],[Date Day]],"mmm,YYYY")</f>
        <v>Feb,2011</v>
      </c>
    </row>
    <row r="784" spans="1:19" ht="15.6" x14ac:dyDescent="0.3">
      <c r="A784" s="62">
        <v>751</v>
      </c>
      <c r="B784" s="63">
        <v>40576</v>
      </c>
      <c r="C784" s="64">
        <v>16</v>
      </c>
      <c r="D784" s="64" t="b">
        <f>IF(COUNTIF(AU$36:AU$52,Table8[[#This Row],[Date Day]]) &gt; 0, TRUE, FALSE)</f>
        <v>0</v>
      </c>
      <c r="E784" s="64">
        <f t="shared" si="22"/>
        <v>3</v>
      </c>
      <c r="F784" s="64">
        <v>1</v>
      </c>
      <c r="G784" s="65" t="str">
        <f>IF(Table8[[#This Row],[Weathersit]]=1, "BAD", IF(Table8[[#This Row],[Weathersit]]=2, "MODERATE", IF(Table8[[#This Row],[Weathersit]]=3, "GOOD")))</f>
        <v>BAD</v>
      </c>
      <c r="H784" s="64">
        <v>22</v>
      </c>
      <c r="I784" s="65" t="str">
        <f>IF(Table8[[#This Row],[Temp]]&lt;11, "COLD", IF(Table8[[#This Row],[Temp]]&lt;=25, "COMFORTABLE", "WARM"))</f>
        <v>COMFORTABLE</v>
      </c>
      <c r="J784" s="64">
        <v>0.21210000000000001</v>
      </c>
      <c r="K784" s="64">
        <v>0.37</v>
      </c>
      <c r="L784" s="66">
        <v>25.369999999999997</v>
      </c>
      <c r="M784" s="75" t="s">
        <v>81</v>
      </c>
      <c r="N784" s="64">
        <v>5</v>
      </c>
      <c r="O784" s="64">
        <v>73</v>
      </c>
      <c r="P784" s="64">
        <v>78</v>
      </c>
      <c r="Q784" s="64"/>
      <c r="R784" s="65" t="str">
        <f t="shared" si="23"/>
        <v>Week 1</v>
      </c>
      <c r="S784" s="65" t="str">
        <f>TEXT(Table8[[#This Row],[Date Day]],"mmm,YYYY")</f>
        <v>Feb,2011</v>
      </c>
    </row>
    <row r="785" spans="1:19" ht="15.6" x14ac:dyDescent="0.3">
      <c r="A785" s="62">
        <v>752</v>
      </c>
      <c r="B785" s="63">
        <v>40576</v>
      </c>
      <c r="C785" s="64">
        <v>17</v>
      </c>
      <c r="D785" s="64" t="b">
        <f>IF(COUNTIF(AU$36:AU$52,Table8[[#This Row],[Date Day]]) &gt; 0, TRUE, FALSE)</f>
        <v>0</v>
      </c>
      <c r="E785" s="64">
        <f t="shared" si="22"/>
        <v>3</v>
      </c>
      <c r="F785" s="64">
        <v>1</v>
      </c>
      <c r="G785" s="65" t="str">
        <f>IF(Table8[[#This Row],[Weathersit]]=1, "BAD", IF(Table8[[#This Row],[Weathersit]]=2, "MODERATE", IF(Table8[[#This Row],[Weathersit]]=3, "GOOD")))</f>
        <v>BAD</v>
      </c>
      <c r="H785" s="64">
        <v>20</v>
      </c>
      <c r="I785" s="65" t="str">
        <f>IF(Table8[[#This Row],[Temp]]&lt;11, "COLD", IF(Table8[[#This Row],[Temp]]&lt;=25, "COMFORTABLE", "WARM"))</f>
        <v>COMFORTABLE</v>
      </c>
      <c r="J785" s="64">
        <v>0.19700000000000001</v>
      </c>
      <c r="K785" s="64">
        <v>0.4</v>
      </c>
      <c r="L785" s="66">
        <v>19.400000000000002</v>
      </c>
      <c r="M785" s="75" t="s">
        <v>80</v>
      </c>
      <c r="N785" s="64">
        <v>5</v>
      </c>
      <c r="O785" s="64">
        <v>170</v>
      </c>
      <c r="P785" s="64">
        <v>175</v>
      </c>
      <c r="Q785" s="64"/>
      <c r="R785" s="65" t="str">
        <f t="shared" si="23"/>
        <v>Week 1</v>
      </c>
      <c r="S785" s="65" t="str">
        <f>TEXT(Table8[[#This Row],[Date Day]],"mmm,YYYY")</f>
        <v>Feb,2011</v>
      </c>
    </row>
    <row r="786" spans="1:19" ht="15.6" x14ac:dyDescent="0.3">
      <c r="A786" s="62">
        <v>753</v>
      </c>
      <c r="B786" s="63">
        <v>40576</v>
      </c>
      <c r="C786" s="64">
        <v>18</v>
      </c>
      <c r="D786" s="64" t="b">
        <f>IF(COUNTIF(AU$36:AU$52,Table8[[#This Row],[Date Day]]) &gt; 0, TRUE, FALSE)</f>
        <v>0</v>
      </c>
      <c r="E786" s="64">
        <f t="shared" si="22"/>
        <v>3</v>
      </c>
      <c r="F786" s="64">
        <v>1</v>
      </c>
      <c r="G786" s="65" t="str">
        <f>IF(Table8[[#This Row],[Weathersit]]=1, "BAD", IF(Table8[[#This Row],[Weathersit]]=2, "MODERATE", IF(Table8[[#This Row],[Weathersit]]=3, "GOOD")))</f>
        <v>BAD</v>
      </c>
      <c r="H786" s="64">
        <v>20</v>
      </c>
      <c r="I786" s="65" t="str">
        <f>IF(Table8[[#This Row],[Temp]]&lt;11, "COLD", IF(Table8[[#This Row],[Temp]]&lt;=25, "COMFORTABLE", "WARM"))</f>
        <v>COMFORTABLE</v>
      </c>
      <c r="J786" s="64">
        <v>0.21210000000000001</v>
      </c>
      <c r="K786" s="64">
        <v>0.4</v>
      </c>
      <c r="L786" s="66">
        <v>16.420000000000002</v>
      </c>
      <c r="M786" s="75" t="s">
        <v>80</v>
      </c>
      <c r="N786" s="64">
        <v>2</v>
      </c>
      <c r="O786" s="64">
        <v>145</v>
      </c>
      <c r="P786" s="64">
        <v>147</v>
      </c>
      <c r="Q786" s="64"/>
      <c r="R786" s="65" t="str">
        <f t="shared" si="23"/>
        <v>Week 1</v>
      </c>
      <c r="S786" s="65" t="str">
        <f>TEXT(Table8[[#This Row],[Date Day]],"mmm,YYYY")</f>
        <v>Feb,2011</v>
      </c>
    </row>
    <row r="787" spans="1:19" ht="15.6" x14ac:dyDescent="0.3">
      <c r="A787" s="62">
        <v>754</v>
      </c>
      <c r="B787" s="63">
        <v>40576</v>
      </c>
      <c r="C787" s="64">
        <v>19</v>
      </c>
      <c r="D787" s="64" t="b">
        <f>IF(COUNTIF(AU$36:AU$52,Table8[[#This Row],[Date Day]]) &gt; 0, TRUE, FALSE)</f>
        <v>0</v>
      </c>
      <c r="E787" s="64">
        <f t="shared" si="22"/>
        <v>3</v>
      </c>
      <c r="F787" s="64">
        <v>1</v>
      </c>
      <c r="G787" s="65" t="str">
        <f>IF(Table8[[#This Row],[Weathersit]]=1, "BAD", IF(Table8[[#This Row],[Weathersit]]=2, "MODERATE", IF(Table8[[#This Row],[Weathersit]]=3, "GOOD")))</f>
        <v>BAD</v>
      </c>
      <c r="H787" s="64">
        <v>20</v>
      </c>
      <c r="I787" s="65" t="str">
        <f>IF(Table8[[#This Row],[Temp]]&lt;11, "COLD", IF(Table8[[#This Row],[Temp]]&lt;=25, "COMFORTABLE", "WARM"))</f>
        <v>COMFORTABLE</v>
      </c>
      <c r="J787" s="64">
        <v>0.2576</v>
      </c>
      <c r="K787" s="64">
        <v>0.4</v>
      </c>
      <c r="L787" s="66">
        <v>17.94158974358977</v>
      </c>
      <c r="M787" s="75" t="s">
        <v>80</v>
      </c>
      <c r="N787" s="64">
        <v>4</v>
      </c>
      <c r="O787" s="64">
        <v>92</v>
      </c>
      <c r="P787" s="64">
        <v>96</v>
      </c>
      <c r="Q787" s="64"/>
      <c r="R787" s="65" t="str">
        <f t="shared" si="23"/>
        <v>Week 1</v>
      </c>
      <c r="S787" s="65" t="str">
        <f>TEXT(Table8[[#This Row],[Date Day]],"mmm,YYYY")</f>
        <v>Feb,2011</v>
      </c>
    </row>
    <row r="788" spans="1:19" ht="15.6" x14ac:dyDescent="0.3">
      <c r="A788" s="62">
        <v>755</v>
      </c>
      <c r="B788" s="63">
        <v>40576</v>
      </c>
      <c r="C788" s="64">
        <v>20</v>
      </c>
      <c r="D788" s="64" t="b">
        <f>IF(COUNTIF(AU$36:AU$52,Table8[[#This Row],[Date Day]]) &gt; 0, TRUE, FALSE)</f>
        <v>0</v>
      </c>
      <c r="E788" s="64">
        <f t="shared" si="22"/>
        <v>3</v>
      </c>
      <c r="F788" s="64">
        <v>1</v>
      </c>
      <c r="G788" s="65" t="str">
        <f>IF(Table8[[#This Row],[Weathersit]]=1, "BAD", IF(Table8[[#This Row],[Weathersit]]=2, "MODERATE", IF(Table8[[#This Row],[Weathersit]]=3, "GOOD")))</f>
        <v>BAD</v>
      </c>
      <c r="H788" s="64">
        <v>20</v>
      </c>
      <c r="I788" s="65" t="str">
        <f>IF(Table8[[#This Row],[Temp]]&lt;11, "COLD", IF(Table8[[#This Row],[Temp]]&lt;=25, "COMFORTABLE", "WARM"))</f>
        <v>COMFORTABLE</v>
      </c>
      <c r="J788" s="64">
        <v>0.2273</v>
      </c>
      <c r="K788" s="64">
        <v>0.47</v>
      </c>
      <c r="L788" s="66">
        <v>8.9599999999999991</v>
      </c>
      <c r="M788" s="75" t="s">
        <v>80</v>
      </c>
      <c r="N788" s="64">
        <v>1</v>
      </c>
      <c r="O788" s="64">
        <v>108</v>
      </c>
      <c r="P788" s="64">
        <v>109</v>
      </c>
      <c r="Q788" s="64"/>
      <c r="R788" s="65" t="str">
        <f t="shared" si="23"/>
        <v>Week 1</v>
      </c>
      <c r="S788" s="65" t="str">
        <f>TEXT(Table8[[#This Row],[Date Day]],"mmm,YYYY")</f>
        <v>Feb,2011</v>
      </c>
    </row>
    <row r="789" spans="1:19" ht="15.6" x14ac:dyDescent="0.3">
      <c r="A789" s="62">
        <v>756</v>
      </c>
      <c r="B789" s="63">
        <v>40576</v>
      </c>
      <c r="C789" s="64">
        <v>21</v>
      </c>
      <c r="D789" s="64" t="b">
        <f>IF(COUNTIF(AU$36:AU$52,Table8[[#This Row],[Date Day]]) &gt; 0, TRUE, FALSE)</f>
        <v>0</v>
      </c>
      <c r="E789" s="64">
        <f t="shared" si="22"/>
        <v>3</v>
      </c>
      <c r="F789" s="64">
        <v>1</v>
      </c>
      <c r="G789" s="65" t="str">
        <f>IF(Table8[[#This Row],[Weathersit]]=1, "BAD", IF(Table8[[#This Row],[Weathersit]]=2, "MODERATE", IF(Table8[[#This Row],[Weathersit]]=3, "GOOD")))</f>
        <v>BAD</v>
      </c>
      <c r="H789" s="64">
        <v>18</v>
      </c>
      <c r="I789" s="65" t="str">
        <f>IF(Table8[[#This Row],[Temp]]&lt;11, "COLD", IF(Table8[[#This Row],[Temp]]&lt;=25, "COMFORTABLE", "WARM"))</f>
        <v>COMFORTABLE</v>
      </c>
      <c r="J789" s="64">
        <v>0.21210000000000001</v>
      </c>
      <c r="K789" s="64">
        <v>0.55000000000000004</v>
      </c>
      <c r="L789" s="66">
        <v>10.45</v>
      </c>
      <c r="M789" s="75" t="s">
        <v>80</v>
      </c>
      <c r="N789" s="64">
        <v>1</v>
      </c>
      <c r="O789" s="64">
        <v>53</v>
      </c>
      <c r="P789" s="64">
        <v>54</v>
      </c>
      <c r="Q789" s="64"/>
      <c r="R789" s="65" t="str">
        <f t="shared" si="23"/>
        <v>Week 1</v>
      </c>
      <c r="S789" s="65" t="str">
        <f>TEXT(Table8[[#This Row],[Date Day]],"mmm,YYYY")</f>
        <v>Feb,2011</v>
      </c>
    </row>
    <row r="790" spans="1:19" ht="15.6" x14ac:dyDescent="0.3">
      <c r="A790" s="62">
        <v>757</v>
      </c>
      <c r="B790" s="63">
        <v>40576</v>
      </c>
      <c r="C790" s="64">
        <v>22</v>
      </c>
      <c r="D790" s="64" t="b">
        <f>IF(COUNTIF(AU$36:AU$52,Table8[[#This Row],[Date Day]]) &gt; 0, TRUE, FALSE)</f>
        <v>0</v>
      </c>
      <c r="E790" s="64">
        <f t="shared" si="22"/>
        <v>3</v>
      </c>
      <c r="F790" s="64">
        <v>1</v>
      </c>
      <c r="G790" s="65" t="str">
        <f>IF(Table8[[#This Row],[Weathersit]]=1, "BAD", IF(Table8[[#This Row],[Weathersit]]=2, "MODERATE", IF(Table8[[#This Row],[Weathersit]]=3, "GOOD")))</f>
        <v>BAD</v>
      </c>
      <c r="H790" s="64">
        <v>18</v>
      </c>
      <c r="I790" s="65" t="str">
        <f>IF(Table8[[#This Row],[Temp]]&lt;11, "COLD", IF(Table8[[#This Row],[Temp]]&lt;=25, "COMFORTABLE", "WARM"))</f>
        <v>COMFORTABLE</v>
      </c>
      <c r="J790" s="64">
        <v>0.21210000000000001</v>
      </c>
      <c r="K790" s="64">
        <v>0.51</v>
      </c>
      <c r="L790" s="66">
        <v>8.9599999999999991</v>
      </c>
      <c r="M790" s="75" t="s">
        <v>80</v>
      </c>
      <c r="N790" s="64">
        <v>2</v>
      </c>
      <c r="O790" s="64">
        <v>39</v>
      </c>
      <c r="P790" s="64">
        <v>41</v>
      </c>
      <c r="Q790" s="64"/>
      <c r="R790" s="65" t="str">
        <f t="shared" si="23"/>
        <v>Week 1</v>
      </c>
      <c r="S790" s="65" t="str">
        <f>TEXT(Table8[[#This Row],[Date Day]],"mmm,YYYY")</f>
        <v>Feb,2011</v>
      </c>
    </row>
    <row r="791" spans="1:19" ht="15.6" x14ac:dyDescent="0.3">
      <c r="A791" s="62">
        <v>758</v>
      </c>
      <c r="B791" s="63">
        <v>40576</v>
      </c>
      <c r="C791" s="64">
        <v>23</v>
      </c>
      <c r="D791" s="64" t="b">
        <f>IF(COUNTIF(AU$36:AU$52,Table8[[#This Row],[Date Day]]) &gt; 0, TRUE, FALSE)</f>
        <v>0</v>
      </c>
      <c r="E791" s="64">
        <f t="shared" si="22"/>
        <v>3</v>
      </c>
      <c r="F791" s="64">
        <v>1</v>
      </c>
      <c r="G791" s="65" t="str">
        <f>IF(Table8[[#This Row],[Weathersit]]=1, "BAD", IF(Table8[[#This Row],[Weathersit]]=2, "MODERATE", IF(Table8[[#This Row],[Weathersit]]=3, "GOOD")))</f>
        <v>BAD</v>
      </c>
      <c r="H791" s="64">
        <v>20</v>
      </c>
      <c r="I791" s="65" t="str">
        <f>IF(Table8[[#This Row],[Temp]]&lt;11, "COLD", IF(Table8[[#This Row],[Temp]]&lt;=25, "COMFORTABLE", "WARM"))</f>
        <v>COMFORTABLE</v>
      </c>
      <c r="J791" s="64">
        <v>0.2273</v>
      </c>
      <c r="K791" s="64">
        <v>0.47</v>
      </c>
      <c r="L791" s="66">
        <v>10.45</v>
      </c>
      <c r="M791" s="75" t="s">
        <v>80</v>
      </c>
      <c r="N791" s="64">
        <v>4</v>
      </c>
      <c r="O791" s="64">
        <v>34</v>
      </c>
      <c r="P791" s="64">
        <v>38</v>
      </c>
      <c r="Q791" s="64"/>
      <c r="R791" s="65" t="str">
        <f t="shared" si="23"/>
        <v>Week 1</v>
      </c>
      <c r="S791" s="65" t="str">
        <f>TEXT(Table8[[#This Row],[Date Day]],"mmm,YYYY")</f>
        <v>Feb,2011</v>
      </c>
    </row>
    <row r="792" spans="1:19" ht="15.6" x14ac:dyDescent="0.3">
      <c r="A792" s="62">
        <v>759</v>
      </c>
      <c r="B792" s="63">
        <v>40577</v>
      </c>
      <c r="C792" s="64">
        <v>0</v>
      </c>
      <c r="D792" s="64" t="b">
        <f>IF(COUNTIF(AU$36:AU$52,Table8[[#This Row],[Date Day]]) &gt; 0, TRUE, FALSE)</f>
        <v>0</v>
      </c>
      <c r="E792" s="64">
        <f t="shared" si="22"/>
        <v>4</v>
      </c>
      <c r="F792" s="64">
        <v>2</v>
      </c>
      <c r="G792" s="65" t="str">
        <f>IF(Table8[[#This Row],[Weathersit]]=1, "BAD", IF(Table8[[#This Row],[Weathersit]]=2, "MODERATE", IF(Table8[[#This Row],[Weathersit]]=3, "GOOD")))</f>
        <v>MODERATE</v>
      </c>
      <c r="H792" s="64">
        <v>20</v>
      </c>
      <c r="I792" s="65" t="str">
        <f>IF(Table8[[#This Row],[Temp]]&lt;11, "COLD", IF(Table8[[#This Row],[Temp]]&lt;=25, "COMFORTABLE", "WARM"))</f>
        <v>COMFORTABLE</v>
      </c>
      <c r="J792" s="64">
        <v>0.2576</v>
      </c>
      <c r="K792" s="64">
        <v>0.44</v>
      </c>
      <c r="L792" s="66">
        <v>17.94158974358977</v>
      </c>
      <c r="M792" s="75" t="s">
        <v>80</v>
      </c>
      <c r="N792" s="64">
        <v>3</v>
      </c>
      <c r="O792" s="64">
        <v>10</v>
      </c>
      <c r="P792" s="64">
        <v>13</v>
      </c>
      <c r="Q792" s="64"/>
      <c r="R792" s="65" t="str">
        <f t="shared" si="23"/>
        <v>Week 1</v>
      </c>
      <c r="S792" s="65" t="str">
        <f>TEXT(Table8[[#This Row],[Date Day]],"mmm,YYYY")</f>
        <v>Feb,2011</v>
      </c>
    </row>
    <row r="793" spans="1:19" ht="15.6" x14ac:dyDescent="0.3">
      <c r="A793" s="62">
        <v>760</v>
      </c>
      <c r="B793" s="63">
        <v>40577</v>
      </c>
      <c r="C793" s="64">
        <v>1</v>
      </c>
      <c r="D793" s="64" t="b">
        <f>IF(COUNTIF(AU$36:AU$52,Table8[[#This Row],[Date Day]]) &gt; 0, TRUE, FALSE)</f>
        <v>0</v>
      </c>
      <c r="E793" s="64">
        <f t="shared" si="22"/>
        <v>4</v>
      </c>
      <c r="F793" s="64">
        <v>2</v>
      </c>
      <c r="G793" s="65" t="str">
        <f>IF(Table8[[#This Row],[Weathersit]]=1, "BAD", IF(Table8[[#This Row],[Weathersit]]=2, "MODERATE", IF(Table8[[#This Row],[Weathersit]]=3, "GOOD")))</f>
        <v>MODERATE</v>
      </c>
      <c r="H793" s="64">
        <v>16</v>
      </c>
      <c r="I793" s="65" t="str">
        <f>IF(Table8[[#This Row],[Temp]]&lt;11, "COLD", IF(Table8[[#This Row],[Temp]]&lt;=25, "COMFORTABLE", "WARM"))</f>
        <v>COMFORTABLE</v>
      </c>
      <c r="J793" s="64">
        <v>0.2273</v>
      </c>
      <c r="K793" s="64">
        <v>0.59</v>
      </c>
      <c r="L793" s="66">
        <v>17.94158974358977</v>
      </c>
      <c r="M793" s="75" t="s">
        <v>80</v>
      </c>
      <c r="N793" s="64">
        <v>0</v>
      </c>
      <c r="O793" s="64">
        <v>7</v>
      </c>
      <c r="P793" s="64">
        <v>7</v>
      </c>
      <c r="Q793" s="64"/>
      <c r="R793" s="65" t="str">
        <f t="shared" si="23"/>
        <v>Week 1</v>
      </c>
      <c r="S793" s="65" t="str">
        <f>TEXT(Table8[[#This Row],[Date Day]],"mmm,YYYY")</f>
        <v>Feb,2011</v>
      </c>
    </row>
    <row r="794" spans="1:19" ht="15.6" x14ac:dyDescent="0.3">
      <c r="A794" s="62">
        <v>761</v>
      </c>
      <c r="B794" s="63">
        <v>40577</v>
      </c>
      <c r="C794" s="64">
        <v>2</v>
      </c>
      <c r="D794" s="64" t="b">
        <f>IF(COUNTIF(AU$36:AU$52,Table8[[#This Row],[Date Day]]) &gt; 0, TRUE, FALSE)</f>
        <v>0</v>
      </c>
      <c r="E794" s="64">
        <f t="shared" si="22"/>
        <v>4</v>
      </c>
      <c r="F794" s="64">
        <v>2</v>
      </c>
      <c r="G794" s="65" t="str">
        <f>IF(Table8[[#This Row],[Weathersit]]=1, "BAD", IF(Table8[[#This Row],[Weathersit]]=2, "MODERATE", IF(Table8[[#This Row],[Weathersit]]=3, "GOOD")))</f>
        <v>MODERATE</v>
      </c>
      <c r="H794" s="64">
        <v>14.000000000000002</v>
      </c>
      <c r="I794" s="65" t="str">
        <f>IF(Table8[[#This Row],[Temp]]&lt;11, "COLD", IF(Table8[[#This Row],[Temp]]&lt;=25, "COMFORTABLE", "WARM"))</f>
        <v>COMFORTABLE</v>
      </c>
      <c r="J794" s="64">
        <v>0.16669999999999999</v>
      </c>
      <c r="K794" s="64">
        <v>0.63</v>
      </c>
      <c r="L794" s="66">
        <v>10.45</v>
      </c>
      <c r="M794" s="75" t="s">
        <v>80</v>
      </c>
      <c r="N794" s="64">
        <v>0</v>
      </c>
      <c r="O794" s="64">
        <v>1</v>
      </c>
      <c r="P794" s="64">
        <v>1</v>
      </c>
      <c r="Q794" s="64"/>
      <c r="R794" s="65" t="str">
        <f t="shared" si="23"/>
        <v>Week 1</v>
      </c>
      <c r="S794" s="65" t="str">
        <f>TEXT(Table8[[#This Row],[Date Day]],"mmm,YYYY")</f>
        <v>Feb,2011</v>
      </c>
    </row>
    <row r="795" spans="1:19" ht="15.6" x14ac:dyDescent="0.3">
      <c r="A795" s="62">
        <v>762</v>
      </c>
      <c r="B795" s="63">
        <v>40577</v>
      </c>
      <c r="C795" s="64">
        <v>3</v>
      </c>
      <c r="D795" s="64" t="b">
        <f>IF(COUNTIF(AU$36:AU$52,Table8[[#This Row],[Date Day]]) &gt; 0, TRUE, FALSE)</f>
        <v>0</v>
      </c>
      <c r="E795" s="64">
        <f t="shared" si="22"/>
        <v>4</v>
      </c>
      <c r="F795" s="64">
        <v>2</v>
      </c>
      <c r="G795" s="65" t="str">
        <f>IF(Table8[[#This Row],[Weathersit]]=1, "BAD", IF(Table8[[#This Row],[Weathersit]]=2, "MODERATE", IF(Table8[[#This Row],[Weathersit]]=3, "GOOD")))</f>
        <v>MODERATE</v>
      </c>
      <c r="H795" s="64">
        <v>14.000000000000002</v>
      </c>
      <c r="I795" s="65" t="str">
        <f>IF(Table8[[#This Row],[Temp]]&lt;11, "COLD", IF(Table8[[#This Row],[Temp]]&lt;=25, "COMFORTABLE", "WARM"))</f>
        <v>COMFORTABLE</v>
      </c>
      <c r="J795" s="64">
        <v>0.16669999999999999</v>
      </c>
      <c r="K795" s="64">
        <v>0.63</v>
      </c>
      <c r="L795" s="66">
        <v>10.45</v>
      </c>
      <c r="M795" s="75" t="s">
        <v>80</v>
      </c>
      <c r="N795" s="64">
        <v>0</v>
      </c>
      <c r="O795" s="64">
        <v>1</v>
      </c>
      <c r="P795" s="64">
        <v>1</v>
      </c>
      <c r="Q795" s="64"/>
      <c r="R795" s="65" t="str">
        <f t="shared" si="23"/>
        <v>Week 1</v>
      </c>
      <c r="S795" s="65" t="str">
        <f>TEXT(Table8[[#This Row],[Date Day]],"mmm,YYYY")</f>
        <v>Feb,2011</v>
      </c>
    </row>
    <row r="796" spans="1:19" ht="15.6" x14ac:dyDescent="0.3">
      <c r="A796" s="62">
        <v>763</v>
      </c>
      <c r="B796" s="63">
        <v>40577</v>
      </c>
      <c r="C796" s="64">
        <v>5</v>
      </c>
      <c r="D796" s="64" t="b">
        <f>IF(COUNTIF(AU$36:AU$52,Table8[[#This Row],[Date Day]]) &gt; 0, TRUE, FALSE)</f>
        <v>0</v>
      </c>
      <c r="E796" s="64">
        <f t="shared" si="22"/>
        <v>4</v>
      </c>
      <c r="F796" s="64">
        <v>2</v>
      </c>
      <c r="G796" s="65" t="str">
        <f>IF(Table8[[#This Row],[Weathersit]]=1, "BAD", IF(Table8[[#This Row],[Weathersit]]=2, "MODERATE", IF(Table8[[#This Row],[Weathersit]]=3, "GOOD")))</f>
        <v>MODERATE</v>
      </c>
      <c r="H796" s="64">
        <v>14.000000000000002</v>
      </c>
      <c r="I796" s="65" t="str">
        <f>IF(Table8[[#This Row],[Temp]]&lt;11, "COLD", IF(Table8[[#This Row],[Temp]]&lt;=25, "COMFORTABLE", "WARM"))</f>
        <v>COMFORTABLE</v>
      </c>
      <c r="J796" s="64">
        <v>0.1515</v>
      </c>
      <c r="K796" s="64">
        <v>0.63</v>
      </c>
      <c r="L796" s="66">
        <v>13.43</v>
      </c>
      <c r="M796" s="75" t="s">
        <v>80</v>
      </c>
      <c r="N796" s="64">
        <v>0</v>
      </c>
      <c r="O796" s="64">
        <v>7</v>
      </c>
      <c r="P796" s="64">
        <v>7</v>
      </c>
      <c r="Q796" s="64"/>
      <c r="R796" s="65" t="str">
        <f t="shared" si="23"/>
        <v>Week 1</v>
      </c>
      <c r="S796" s="65" t="str">
        <f>TEXT(Table8[[#This Row],[Date Day]],"mmm,YYYY")</f>
        <v>Feb,2011</v>
      </c>
    </row>
    <row r="797" spans="1:19" ht="15.6" x14ac:dyDescent="0.3">
      <c r="A797" s="62">
        <v>764</v>
      </c>
      <c r="B797" s="63">
        <v>40577</v>
      </c>
      <c r="C797" s="64">
        <v>6</v>
      </c>
      <c r="D797" s="64" t="b">
        <f>IF(COUNTIF(AU$36:AU$52,Table8[[#This Row],[Date Day]]) &gt; 0, TRUE, FALSE)</f>
        <v>0</v>
      </c>
      <c r="E797" s="64">
        <f t="shared" si="22"/>
        <v>4</v>
      </c>
      <c r="F797" s="64">
        <v>2</v>
      </c>
      <c r="G797" s="65" t="str">
        <f>IF(Table8[[#This Row],[Weathersit]]=1, "BAD", IF(Table8[[#This Row],[Weathersit]]=2, "MODERATE", IF(Table8[[#This Row],[Weathersit]]=3, "GOOD")))</f>
        <v>MODERATE</v>
      </c>
      <c r="H797" s="64">
        <v>16</v>
      </c>
      <c r="I797" s="65" t="str">
        <f>IF(Table8[[#This Row],[Temp]]&lt;11, "COLD", IF(Table8[[#This Row],[Temp]]&lt;=25, "COMFORTABLE", "WARM"))</f>
        <v>COMFORTABLE</v>
      </c>
      <c r="J797" s="64">
        <v>0.2273</v>
      </c>
      <c r="K797" s="64">
        <v>0.55000000000000004</v>
      </c>
      <c r="L797" s="66">
        <v>17.94158974358977</v>
      </c>
      <c r="M797" s="75" t="s">
        <v>80</v>
      </c>
      <c r="N797" s="64">
        <v>2</v>
      </c>
      <c r="O797" s="64">
        <v>26</v>
      </c>
      <c r="P797" s="64">
        <v>28</v>
      </c>
      <c r="Q797" s="64"/>
      <c r="R797" s="65" t="str">
        <f t="shared" si="23"/>
        <v>Week 1</v>
      </c>
      <c r="S797" s="65" t="str">
        <f>TEXT(Table8[[#This Row],[Date Day]],"mmm,YYYY")</f>
        <v>Feb,2011</v>
      </c>
    </row>
    <row r="798" spans="1:19" ht="15.6" x14ac:dyDescent="0.3">
      <c r="A798" s="62">
        <v>765</v>
      </c>
      <c r="B798" s="63">
        <v>40577</v>
      </c>
      <c r="C798" s="64">
        <v>7</v>
      </c>
      <c r="D798" s="64" t="b">
        <f>IF(COUNTIF(AU$36:AU$52,Table8[[#This Row],[Date Day]]) &gt; 0, TRUE, FALSE)</f>
        <v>0</v>
      </c>
      <c r="E798" s="64">
        <f t="shared" si="22"/>
        <v>4</v>
      </c>
      <c r="F798" s="64">
        <v>1</v>
      </c>
      <c r="G798" s="65" t="str">
        <f>IF(Table8[[#This Row],[Weathersit]]=1, "BAD", IF(Table8[[#This Row],[Weathersit]]=2, "MODERATE", IF(Table8[[#This Row],[Weathersit]]=3, "GOOD")))</f>
        <v>BAD</v>
      </c>
      <c r="H798" s="64">
        <v>14.000000000000002</v>
      </c>
      <c r="I798" s="65" t="str">
        <f>IF(Table8[[#This Row],[Temp]]&lt;11, "COLD", IF(Table8[[#This Row],[Temp]]&lt;=25, "COMFORTABLE", "WARM"))</f>
        <v>COMFORTABLE</v>
      </c>
      <c r="J798" s="64">
        <v>0.21210000000000001</v>
      </c>
      <c r="K798" s="64">
        <v>0.59</v>
      </c>
      <c r="L798" s="66">
        <v>17.94158974358977</v>
      </c>
      <c r="M798" s="75" t="s">
        <v>80</v>
      </c>
      <c r="N798" s="64">
        <v>0</v>
      </c>
      <c r="O798" s="64">
        <v>87</v>
      </c>
      <c r="P798" s="64">
        <v>87</v>
      </c>
      <c r="Q798" s="64"/>
      <c r="R798" s="65" t="str">
        <f t="shared" si="23"/>
        <v>Week 1</v>
      </c>
      <c r="S798" s="65" t="str">
        <f>TEXT(Table8[[#This Row],[Date Day]],"mmm,YYYY")</f>
        <v>Feb,2011</v>
      </c>
    </row>
    <row r="799" spans="1:19" ht="15.6" x14ac:dyDescent="0.3">
      <c r="A799" s="62">
        <v>766</v>
      </c>
      <c r="B799" s="63">
        <v>40577</v>
      </c>
      <c r="C799" s="64">
        <v>8</v>
      </c>
      <c r="D799" s="64" t="b">
        <f>IF(COUNTIF(AU$36:AU$52,Table8[[#This Row],[Date Day]]) &gt; 0, TRUE, FALSE)</f>
        <v>0</v>
      </c>
      <c r="E799" s="64">
        <f t="shared" si="22"/>
        <v>4</v>
      </c>
      <c r="F799" s="64">
        <v>1</v>
      </c>
      <c r="G799" s="65" t="str">
        <f>IF(Table8[[#This Row],[Weathersit]]=1, "BAD", IF(Table8[[#This Row],[Weathersit]]=2, "MODERATE", IF(Table8[[#This Row],[Weathersit]]=3, "GOOD")))</f>
        <v>BAD</v>
      </c>
      <c r="H799" s="64">
        <v>14.000000000000002</v>
      </c>
      <c r="I799" s="65" t="str">
        <f>IF(Table8[[#This Row],[Temp]]&lt;11, "COLD", IF(Table8[[#This Row],[Temp]]&lt;=25, "COMFORTABLE", "WARM"))</f>
        <v>COMFORTABLE</v>
      </c>
      <c r="J799" s="64">
        <v>0.1515</v>
      </c>
      <c r="K799" s="64">
        <v>0.74</v>
      </c>
      <c r="L799" s="66">
        <v>13.43</v>
      </c>
      <c r="M799" s="75" t="s">
        <v>80</v>
      </c>
      <c r="N799" s="64">
        <v>3</v>
      </c>
      <c r="O799" s="64">
        <v>217</v>
      </c>
      <c r="P799" s="64">
        <v>220</v>
      </c>
      <c r="Q799" s="64"/>
      <c r="R799" s="65" t="str">
        <f t="shared" si="23"/>
        <v>Week 1</v>
      </c>
      <c r="S799" s="65" t="str">
        <f>TEXT(Table8[[#This Row],[Date Day]],"mmm,YYYY")</f>
        <v>Feb,2011</v>
      </c>
    </row>
    <row r="800" spans="1:19" ht="15.6" x14ac:dyDescent="0.3">
      <c r="A800" s="62">
        <v>767</v>
      </c>
      <c r="B800" s="63">
        <v>40577</v>
      </c>
      <c r="C800" s="64">
        <v>9</v>
      </c>
      <c r="D800" s="64" t="b">
        <f>IF(COUNTIF(AU$36:AU$52,Table8[[#This Row],[Date Day]]) &gt; 0, TRUE, FALSE)</f>
        <v>0</v>
      </c>
      <c r="E800" s="64">
        <f t="shared" si="22"/>
        <v>4</v>
      </c>
      <c r="F800" s="64">
        <v>2</v>
      </c>
      <c r="G800" s="65" t="str">
        <f>IF(Table8[[#This Row],[Weathersit]]=1, "BAD", IF(Table8[[#This Row],[Weathersit]]=2, "MODERATE", IF(Table8[[#This Row],[Weathersit]]=3, "GOOD")))</f>
        <v>MODERATE</v>
      </c>
      <c r="H800" s="64">
        <v>16</v>
      </c>
      <c r="I800" s="65" t="str">
        <f>IF(Table8[[#This Row],[Temp]]&lt;11, "COLD", IF(Table8[[#This Row],[Temp]]&lt;=25, "COMFORTABLE", "WARM"))</f>
        <v>COMFORTABLE</v>
      </c>
      <c r="J800" s="64">
        <v>0.18179999999999999</v>
      </c>
      <c r="K800" s="64">
        <v>0.8</v>
      </c>
      <c r="L800" s="66">
        <v>13.43</v>
      </c>
      <c r="M800" s="75" t="s">
        <v>80</v>
      </c>
      <c r="N800" s="64">
        <v>3</v>
      </c>
      <c r="O800" s="64">
        <v>124</v>
      </c>
      <c r="P800" s="64">
        <v>127</v>
      </c>
      <c r="Q800" s="64"/>
      <c r="R800" s="65" t="str">
        <f t="shared" si="23"/>
        <v>Week 1</v>
      </c>
      <c r="S800" s="65" t="str">
        <f>TEXT(Table8[[#This Row],[Date Day]],"mmm,YYYY")</f>
        <v>Feb,2011</v>
      </c>
    </row>
    <row r="801" spans="1:19" ht="15.6" x14ac:dyDescent="0.3">
      <c r="A801" s="62">
        <v>768</v>
      </c>
      <c r="B801" s="63">
        <v>40577</v>
      </c>
      <c r="C801" s="64">
        <v>10</v>
      </c>
      <c r="D801" s="64" t="b">
        <f>IF(COUNTIF(AU$36:AU$52,Table8[[#This Row],[Date Day]]) &gt; 0, TRUE, FALSE)</f>
        <v>0</v>
      </c>
      <c r="E801" s="64">
        <f t="shared" si="22"/>
        <v>4</v>
      </c>
      <c r="F801" s="64">
        <v>2</v>
      </c>
      <c r="G801" s="65" t="str">
        <f>IF(Table8[[#This Row],[Weathersit]]=1, "BAD", IF(Table8[[#This Row],[Weathersit]]=2, "MODERATE", IF(Table8[[#This Row],[Weathersit]]=3, "GOOD")))</f>
        <v>MODERATE</v>
      </c>
      <c r="H801" s="64">
        <v>20</v>
      </c>
      <c r="I801" s="65" t="str">
        <f>IF(Table8[[#This Row],[Temp]]&lt;11, "COLD", IF(Table8[[#This Row],[Temp]]&lt;=25, "COMFORTABLE", "WARM"))</f>
        <v>COMFORTABLE</v>
      </c>
      <c r="J801" s="64">
        <v>0.21210000000000001</v>
      </c>
      <c r="K801" s="64">
        <v>0.51</v>
      </c>
      <c r="L801" s="66">
        <v>13.43</v>
      </c>
      <c r="M801" s="75" t="s">
        <v>80</v>
      </c>
      <c r="N801" s="64">
        <v>5</v>
      </c>
      <c r="O801" s="64">
        <v>46</v>
      </c>
      <c r="P801" s="64">
        <v>51</v>
      </c>
      <c r="Q801" s="64"/>
      <c r="R801" s="65" t="str">
        <f t="shared" si="23"/>
        <v>Week 1</v>
      </c>
      <c r="S801" s="65" t="str">
        <f>TEXT(Table8[[#This Row],[Date Day]],"mmm,YYYY")</f>
        <v>Feb,2011</v>
      </c>
    </row>
    <row r="802" spans="1:19" ht="15.6" x14ac:dyDescent="0.3">
      <c r="A802" s="62">
        <v>769</v>
      </c>
      <c r="B802" s="63">
        <v>40577</v>
      </c>
      <c r="C802" s="64">
        <v>11</v>
      </c>
      <c r="D802" s="64" t="b">
        <f>IF(COUNTIF(AU$36:AU$52,Table8[[#This Row],[Date Day]]) &gt; 0, TRUE, FALSE)</f>
        <v>0</v>
      </c>
      <c r="E802" s="64">
        <f t="shared" ref="E802:E865" si="24">WEEKDAY(B:B,2)</f>
        <v>4</v>
      </c>
      <c r="F802" s="64">
        <v>1</v>
      </c>
      <c r="G802" s="65" t="str">
        <f>IF(Table8[[#This Row],[Weathersit]]=1, "BAD", IF(Table8[[#This Row],[Weathersit]]=2, "MODERATE", IF(Table8[[#This Row],[Weathersit]]=3, "GOOD")))</f>
        <v>BAD</v>
      </c>
      <c r="H802" s="64">
        <v>22</v>
      </c>
      <c r="I802" s="65" t="str">
        <f>IF(Table8[[#This Row],[Temp]]&lt;11, "COLD", IF(Table8[[#This Row],[Temp]]&lt;=25, "COMFORTABLE", "WARM"))</f>
        <v>COMFORTABLE</v>
      </c>
      <c r="J802" s="64">
        <v>0.2273</v>
      </c>
      <c r="K802" s="64">
        <v>0.51</v>
      </c>
      <c r="L802" s="66">
        <v>16.420000000000002</v>
      </c>
      <c r="M802" s="75" t="s">
        <v>80</v>
      </c>
      <c r="N802" s="64">
        <v>3</v>
      </c>
      <c r="O802" s="64">
        <v>61</v>
      </c>
      <c r="P802" s="64">
        <v>64</v>
      </c>
      <c r="Q802" s="64"/>
      <c r="R802" s="65" t="str">
        <f t="shared" ref="R802:R865" si="25">"Week " &amp; INT((DAY(B802)-1)/7)+1</f>
        <v>Week 1</v>
      </c>
      <c r="S802" s="65" t="str">
        <f>TEXT(Table8[[#This Row],[Date Day]],"mmm,YYYY")</f>
        <v>Feb,2011</v>
      </c>
    </row>
    <row r="803" spans="1:19" ht="15.6" x14ac:dyDescent="0.3">
      <c r="A803" s="62">
        <v>770</v>
      </c>
      <c r="B803" s="63">
        <v>40577</v>
      </c>
      <c r="C803" s="64">
        <v>12</v>
      </c>
      <c r="D803" s="64" t="b">
        <f>IF(COUNTIF(AU$36:AU$52,Table8[[#This Row],[Date Day]]) &gt; 0, TRUE, FALSE)</f>
        <v>0</v>
      </c>
      <c r="E803" s="64">
        <f t="shared" si="24"/>
        <v>4</v>
      </c>
      <c r="F803" s="64">
        <v>2</v>
      </c>
      <c r="G803" s="65" t="str">
        <f>IF(Table8[[#This Row],[Weathersit]]=1, "BAD", IF(Table8[[#This Row],[Weathersit]]=2, "MODERATE", IF(Table8[[#This Row],[Weathersit]]=3, "GOOD")))</f>
        <v>MODERATE</v>
      </c>
      <c r="H803" s="64">
        <v>24</v>
      </c>
      <c r="I803" s="65" t="str">
        <f>IF(Table8[[#This Row],[Temp]]&lt;11, "COLD", IF(Table8[[#This Row],[Temp]]&lt;=25, "COMFORTABLE", "WARM"))</f>
        <v>COMFORTABLE</v>
      </c>
      <c r="J803" s="64">
        <v>0.2424</v>
      </c>
      <c r="K803" s="64">
        <v>0.48</v>
      </c>
      <c r="L803" s="66">
        <v>16.420000000000002</v>
      </c>
      <c r="M803" s="75" t="s">
        <v>80</v>
      </c>
      <c r="N803" s="64">
        <v>8</v>
      </c>
      <c r="O803" s="64">
        <v>78</v>
      </c>
      <c r="P803" s="64">
        <v>86</v>
      </c>
      <c r="Q803" s="64"/>
      <c r="R803" s="65" t="str">
        <f t="shared" si="25"/>
        <v>Week 1</v>
      </c>
      <c r="S803" s="65" t="str">
        <f>TEXT(Table8[[#This Row],[Date Day]],"mmm,YYYY")</f>
        <v>Feb,2011</v>
      </c>
    </row>
    <row r="804" spans="1:19" ht="15.6" x14ac:dyDescent="0.3">
      <c r="A804" s="62">
        <v>771</v>
      </c>
      <c r="B804" s="63">
        <v>40577</v>
      </c>
      <c r="C804" s="64">
        <v>13</v>
      </c>
      <c r="D804" s="64" t="b">
        <f>IF(COUNTIF(AU$36:AU$52,Table8[[#This Row],[Date Day]]) &gt; 0, TRUE, FALSE)</f>
        <v>0</v>
      </c>
      <c r="E804" s="64">
        <f t="shared" si="24"/>
        <v>4</v>
      </c>
      <c r="F804" s="64">
        <v>2</v>
      </c>
      <c r="G804" s="65" t="str">
        <f>IF(Table8[[#This Row],[Weathersit]]=1, "BAD", IF(Table8[[#This Row],[Weathersit]]=2, "MODERATE", IF(Table8[[#This Row],[Weathersit]]=3, "GOOD")))</f>
        <v>MODERATE</v>
      </c>
      <c r="H804" s="64">
        <v>26</v>
      </c>
      <c r="I804" s="65" t="str">
        <f>IF(Table8[[#This Row],[Temp]]&lt;11, "COLD", IF(Table8[[#This Row],[Temp]]&lt;=25, "COMFORTABLE", "WARM"))</f>
        <v>WARM</v>
      </c>
      <c r="J804" s="64">
        <v>0.2576</v>
      </c>
      <c r="K804" s="64">
        <v>0.5</v>
      </c>
      <c r="L804" s="66">
        <v>22.39</v>
      </c>
      <c r="M804" s="75" t="s">
        <v>81</v>
      </c>
      <c r="N804" s="64">
        <v>9</v>
      </c>
      <c r="O804" s="64">
        <v>73</v>
      </c>
      <c r="P804" s="64">
        <v>82</v>
      </c>
      <c r="Q804" s="64"/>
      <c r="R804" s="65" t="str">
        <f t="shared" si="25"/>
        <v>Week 1</v>
      </c>
      <c r="S804" s="65" t="str">
        <f>TEXT(Table8[[#This Row],[Date Day]],"mmm,YYYY")</f>
        <v>Feb,2011</v>
      </c>
    </row>
    <row r="805" spans="1:19" ht="15.6" x14ac:dyDescent="0.3">
      <c r="A805" s="62">
        <v>772</v>
      </c>
      <c r="B805" s="63">
        <v>40577</v>
      </c>
      <c r="C805" s="64">
        <v>14</v>
      </c>
      <c r="D805" s="64" t="b">
        <f>IF(COUNTIF(AU$36:AU$52,Table8[[#This Row],[Date Day]]) &gt; 0, TRUE, FALSE)</f>
        <v>0</v>
      </c>
      <c r="E805" s="64">
        <f t="shared" si="24"/>
        <v>4</v>
      </c>
      <c r="F805" s="64">
        <v>2</v>
      </c>
      <c r="G805" s="65" t="str">
        <f>IF(Table8[[#This Row],[Weathersit]]=1, "BAD", IF(Table8[[#This Row],[Weathersit]]=2, "MODERATE", IF(Table8[[#This Row],[Weathersit]]=3, "GOOD")))</f>
        <v>MODERATE</v>
      </c>
      <c r="H805" s="64">
        <v>28.000000000000004</v>
      </c>
      <c r="I805" s="65" t="str">
        <f>IF(Table8[[#This Row],[Temp]]&lt;11, "COLD", IF(Table8[[#This Row],[Temp]]&lt;=25, "COMFORTABLE", "WARM"))</f>
        <v>WARM</v>
      </c>
      <c r="J805" s="64">
        <v>0.2727</v>
      </c>
      <c r="K805" s="64">
        <v>0.45</v>
      </c>
      <c r="L805" s="66">
        <v>16.420000000000002</v>
      </c>
      <c r="M805" s="75" t="s">
        <v>80</v>
      </c>
      <c r="N805" s="64">
        <v>15</v>
      </c>
      <c r="O805" s="64">
        <v>76</v>
      </c>
      <c r="P805" s="64">
        <v>91</v>
      </c>
      <c r="Q805" s="64"/>
      <c r="R805" s="65" t="str">
        <f t="shared" si="25"/>
        <v>Week 1</v>
      </c>
      <c r="S805" s="65" t="str">
        <f>TEXT(Table8[[#This Row],[Date Day]],"mmm,YYYY")</f>
        <v>Feb,2011</v>
      </c>
    </row>
    <row r="806" spans="1:19" ht="15.6" x14ac:dyDescent="0.3">
      <c r="A806" s="62">
        <v>773</v>
      </c>
      <c r="B806" s="63">
        <v>40577</v>
      </c>
      <c r="C806" s="64">
        <v>15</v>
      </c>
      <c r="D806" s="64" t="b">
        <f>IF(COUNTIF(AU$36:AU$52,Table8[[#This Row],[Date Day]]) &gt; 0, TRUE, FALSE)</f>
        <v>0</v>
      </c>
      <c r="E806" s="64">
        <f t="shared" si="24"/>
        <v>4</v>
      </c>
      <c r="F806" s="64">
        <v>2</v>
      </c>
      <c r="G806" s="65" t="str">
        <f>IF(Table8[[#This Row],[Weathersit]]=1, "BAD", IF(Table8[[#This Row],[Weathersit]]=2, "MODERATE", IF(Table8[[#This Row],[Weathersit]]=3, "GOOD")))</f>
        <v>MODERATE</v>
      </c>
      <c r="H806" s="64">
        <v>28.000000000000004</v>
      </c>
      <c r="I806" s="65" t="str">
        <f>IF(Table8[[#This Row],[Temp]]&lt;11, "COLD", IF(Table8[[#This Row],[Temp]]&lt;=25, "COMFORTABLE", "WARM"))</f>
        <v>WARM</v>
      </c>
      <c r="J806" s="64">
        <v>0.2727</v>
      </c>
      <c r="K806" s="64">
        <v>0.48</v>
      </c>
      <c r="L806" s="66">
        <v>25.369999999999997</v>
      </c>
      <c r="M806" s="75" t="s">
        <v>81</v>
      </c>
      <c r="N806" s="64">
        <v>9</v>
      </c>
      <c r="O806" s="64">
        <v>81</v>
      </c>
      <c r="P806" s="64">
        <v>90</v>
      </c>
      <c r="Q806" s="64"/>
      <c r="R806" s="65" t="str">
        <f t="shared" si="25"/>
        <v>Week 1</v>
      </c>
      <c r="S806" s="65" t="str">
        <f>TEXT(Table8[[#This Row],[Date Day]],"mmm,YYYY")</f>
        <v>Feb,2011</v>
      </c>
    </row>
    <row r="807" spans="1:19" ht="15.6" x14ac:dyDescent="0.3">
      <c r="A807" s="62">
        <v>774</v>
      </c>
      <c r="B807" s="63">
        <v>40577</v>
      </c>
      <c r="C807" s="64">
        <v>16</v>
      </c>
      <c r="D807" s="64" t="b">
        <f>IF(COUNTIF(AU$36:AU$52,Table8[[#This Row],[Date Day]]) &gt; 0, TRUE, FALSE)</f>
        <v>0</v>
      </c>
      <c r="E807" s="64">
        <f t="shared" si="24"/>
        <v>4</v>
      </c>
      <c r="F807" s="64">
        <v>2</v>
      </c>
      <c r="G807" s="65" t="str">
        <f>IF(Table8[[#This Row],[Weathersit]]=1, "BAD", IF(Table8[[#This Row],[Weathersit]]=2, "MODERATE", IF(Table8[[#This Row],[Weathersit]]=3, "GOOD")))</f>
        <v>MODERATE</v>
      </c>
      <c r="H807" s="64">
        <v>30</v>
      </c>
      <c r="I807" s="65" t="str">
        <f>IF(Table8[[#This Row],[Temp]]&lt;11, "COLD", IF(Table8[[#This Row],[Temp]]&lt;=25, "COMFORTABLE", "WARM"))</f>
        <v>WARM</v>
      </c>
      <c r="J807" s="64">
        <v>0.28789999999999999</v>
      </c>
      <c r="K807" s="64">
        <v>0.42</v>
      </c>
      <c r="L807" s="66">
        <v>22.39</v>
      </c>
      <c r="M807" s="75" t="s">
        <v>81</v>
      </c>
      <c r="N807" s="64">
        <v>8</v>
      </c>
      <c r="O807" s="64">
        <v>91</v>
      </c>
      <c r="P807" s="64">
        <v>99</v>
      </c>
      <c r="Q807" s="64"/>
      <c r="R807" s="65" t="str">
        <f t="shared" si="25"/>
        <v>Week 1</v>
      </c>
      <c r="S807" s="65" t="str">
        <f>TEXT(Table8[[#This Row],[Date Day]],"mmm,YYYY")</f>
        <v>Feb,2011</v>
      </c>
    </row>
    <row r="808" spans="1:19" ht="15.6" x14ac:dyDescent="0.3">
      <c r="A808" s="62">
        <v>775</v>
      </c>
      <c r="B808" s="63">
        <v>40577</v>
      </c>
      <c r="C808" s="64">
        <v>17</v>
      </c>
      <c r="D808" s="64" t="b">
        <f>IF(COUNTIF(AU$36:AU$52,Table8[[#This Row],[Date Day]]) &gt; 0, TRUE, FALSE)</f>
        <v>0</v>
      </c>
      <c r="E808" s="64">
        <f t="shared" si="24"/>
        <v>4</v>
      </c>
      <c r="F808" s="64">
        <v>2</v>
      </c>
      <c r="G808" s="65" t="str">
        <f>IF(Table8[[#This Row],[Weathersit]]=1, "BAD", IF(Table8[[#This Row],[Weathersit]]=2, "MODERATE", IF(Table8[[#This Row],[Weathersit]]=3, "GOOD")))</f>
        <v>MODERATE</v>
      </c>
      <c r="H808" s="64">
        <v>26</v>
      </c>
      <c r="I808" s="65" t="str">
        <f>IF(Table8[[#This Row],[Temp]]&lt;11, "COLD", IF(Table8[[#This Row],[Temp]]&lt;=25, "COMFORTABLE", "WARM"))</f>
        <v>WARM</v>
      </c>
      <c r="J808" s="64">
        <v>0.2727</v>
      </c>
      <c r="K808" s="64">
        <v>0.56000000000000005</v>
      </c>
      <c r="L808" s="66">
        <v>13.43</v>
      </c>
      <c r="M808" s="75" t="s">
        <v>80</v>
      </c>
      <c r="N808" s="64">
        <v>10</v>
      </c>
      <c r="O808" s="64">
        <v>195</v>
      </c>
      <c r="P808" s="64">
        <v>205</v>
      </c>
      <c r="Q808" s="64"/>
      <c r="R808" s="65" t="str">
        <f t="shared" si="25"/>
        <v>Week 1</v>
      </c>
      <c r="S808" s="65" t="str">
        <f>TEXT(Table8[[#This Row],[Date Day]],"mmm,YYYY")</f>
        <v>Feb,2011</v>
      </c>
    </row>
    <row r="809" spans="1:19" ht="15.6" x14ac:dyDescent="0.3">
      <c r="A809" s="62">
        <v>776</v>
      </c>
      <c r="B809" s="63">
        <v>40577</v>
      </c>
      <c r="C809" s="64">
        <v>18</v>
      </c>
      <c r="D809" s="64" t="b">
        <f>IF(COUNTIF(AU$36:AU$52,Table8[[#This Row],[Date Day]]) &gt; 0, TRUE, FALSE)</f>
        <v>0</v>
      </c>
      <c r="E809" s="64">
        <f t="shared" si="24"/>
        <v>4</v>
      </c>
      <c r="F809" s="64">
        <v>2</v>
      </c>
      <c r="G809" s="65" t="str">
        <f>IF(Table8[[#This Row],[Weathersit]]=1, "BAD", IF(Table8[[#This Row],[Weathersit]]=2, "MODERATE", IF(Table8[[#This Row],[Weathersit]]=3, "GOOD")))</f>
        <v>MODERATE</v>
      </c>
      <c r="H809" s="64">
        <v>24</v>
      </c>
      <c r="I809" s="65" t="str">
        <f>IF(Table8[[#This Row],[Temp]]&lt;11, "COLD", IF(Table8[[#This Row],[Temp]]&lt;=25, "COMFORTABLE", "WARM"))</f>
        <v>COMFORTABLE</v>
      </c>
      <c r="J809" s="64">
        <v>0.2576</v>
      </c>
      <c r="K809" s="64">
        <v>0.6</v>
      </c>
      <c r="L809" s="66">
        <v>10.45</v>
      </c>
      <c r="M809" s="75" t="s">
        <v>80</v>
      </c>
      <c r="N809" s="64">
        <v>3</v>
      </c>
      <c r="O809" s="64">
        <v>152</v>
      </c>
      <c r="P809" s="64">
        <v>155</v>
      </c>
      <c r="Q809" s="64"/>
      <c r="R809" s="65" t="str">
        <f t="shared" si="25"/>
        <v>Week 1</v>
      </c>
      <c r="S809" s="65" t="str">
        <f>TEXT(Table8[[#This Row],[Date Day]],"mmm,YYYY")</f>
        <v>Feb,2011</v>
      </c>
    </row>
    <row r="810" spans="1:19" ht="15.6" x14ac:dyDescent="0.3">
      <c r="A810" s="62">
        <v>777</v>
      </c>
      <c r="B810" s="63">
        <v>40577</v>
      </c>
      <c r="C810" s="64">
        <v>19</v>
      </c>
      <c r="D810" s="64" t="b">
        <f>IF(COUNTIF(AU$36:AU$52,Table8[[#This Row],[Date Day]]) &gt; 0, TRUE, FALSE)</f>
        <v>0</v>
      </c>
      <c r="E810" s="64">
        <f t="shared" si="24"/>
        <v>4</v>
      </c>
      <c r="F810" s="64">
        <v>2</v>
      </c>
      <c r="G810" s="65" t="str">
        <f>IF(Table8[[#This Row],[Weathersit]]=1, "BAD", IF(Table8[[#This Row],[Weathersit]]=2, "MODERATE", IF(Table8[[#This Row],[Weathersit]]=3, "GOOD")))</f>
        <v>MODERATE</v>
      </c>
      <c r="H810" s="64">
        <v>24</v>
      </c>
      <c r="I810" s="65" t="str">
        <f>IF(Table8[[#This Row],[Temp]]&lt;11, "COLD", IF(Table8[[#This Row],[Temp]]&lt;=25, "COMFORTABLE", "WARM"))</f>
        <v>COMFORTABLE</v>
      </c>
      <c r="J810" s="64">
        <v>0.2424</v>
      </c>
      <c r="K810" s="64">
        <v>0.65</v>
      </c>
      <c r="L810" s="66">
        <v>13.43</v>
      </c>
      <c r="M810" s="75" t="s">
        <v>80</v>
      </c>
      <c r="N810" s="64">
        <v>1</v>
      </c>
      <c r="O810" s="64">
        <v>102</v>
      </c>
      <c r="P810" s="64">
        <v>103</v>
      </c>
      <c r="Q810" s="64"/>
      <c r="R810" s="65" t="str">
        <f t="shared" si="25"/>
        <v>Week 1</v>
      </c>
      <c r="S810" s="65" t="str">
        <f>TEXT(Table8[[#This Row],[Date Day]],"mmm,YYYY")</f>
        <v>Feb,2011</v>
      </c>
    </row>
    <row r="811" spans="1:19" ht="15.6" x14ac:dyDescent="0.3">
      <c r="A811" s="62">
        <v>778</v>
      </c>
      <c r="B811" s="63">
        <v>40577</v>
      </c>
      <c r="C811" s="64">
        <v>20</v>
      </c>
      <c r="D811" s="64" t="b">
        <f>IF(COUNTIF(AU$36:AU$52,Table8[[#This Row],[Date Day]]) &gt; 0, TRUE, FALSE)</f>
        <v>0</v>
      </c>
      <c r="E811" s="64">
        <f t="shared" si="24"/>
        <v>4</v>
      </c>
      <c r="F811" s="64">
        <v>2</v>
      </c>
      <c r="G811" s="65" t="str">
        <f>IF(Table8[[#This Row],[Weathersit]]=1, "BAD", IF(Table8[[#This Row],[Weathersit]]=2, "MODERATE", IF(Table8[[#This Row],[Weathersit]]=3, "GOOD")))</f>
        <v>MODERATE</v>
      </c>
      <c r="H811" s="64">
        <v>24</v>
      </c>
      <c r="I811" s="65" t="str">
        <f>IF(Table8[[#This Row],[Temp]]&lt;11, "COLD", IF(Table8[[#This Row],[Temp]]&lt;=25, "COMFORTABLE", "WARM"))</f>
        <v>COMFORTABLE</v>
      </c>
      <c r="J811" s="64">
        <v>0.2424</v>
      </c>
      <c r="K811" s="64">
        <v>0.65</v>
      </c>
      <c r="L811" s="66">
        <v>16.420000000000002</v>
      </c>
      <c r="M811" s="75" t="s">
        <v>80</v>
      </c>
      <c r="N811" s="64">
        <v>2</v>
      </c>
      <c r="O811" s="64">
        <v>69</v>
      </c>
      <c r="P811" s="64">
        <v>71</v>
      </c>
      <c r="Q811" s="64"/>
      <c r="R811" s="65" t="str">
        <f t="shared" si="25"/>
        <v>Week 1</v>
      </c>
      <c r="S811" s="65" t="str">
        <f>TEXT(Table8[[#This Row],[Date Day]],"mmm,YYYY")</f>
        <v>Feb,2011</v>
      </c>
    </row>
    <row r="812" spans="1:19" ht="15.6" x14ac:dyDescent="0.3">
      <c r="A812" s="62">
        <v>779</v>
      </c>
      <c r="B812" s="63">
        <v>40577</v>
      </c>
      <c r="C812" s="64">
        <v>21</v>
      </c>
      <c r="D812" s="64" t="b">
        <f>IF(COUNTIF(AU$36:AU$52,Table8[[#This Row],[Date Day]]) &gt; 0, TRUE, FALSE)</f>
        <v>0</v>
      </c>
      <c r="E812" s="64">
        <f t="shared" si="24"/>
        <v>4</v>
      </c>
      <c r="F812" s="64">
        <v>2</v>
      </c>
      <c r="G812" s="65" t="str">
        <f>IF(Table8[[#This Row],[Weathersit]]=1, "BAD", IF(Table8[[#This Row],[Weathersit]]=2, "MODERATE", IF(Table8[[#This Row],[Weathersit]]=3, "GOOD")))</f>
        <v>MODERATE</v>
      </c>
      <c r="H812" s="64">
        <v>24</v>
      </c>
      <c r="I812" s="65" t="str">
        <f>IF(Table8[[#This Row],[Temp]]&lt;11, "COLD", IF(Table8[[#This Row],[Temp]]&lt;=25, "COMFORTABLE", "WARM"))</f>
        <v>COMFORTABLE</v>
      </c>
      <c r="J812" s="64">
        <v>0.2424</v>
      </c>
      <c r="K812" s="64">
        <v>0.7</v>
      </c>
      <c r="L812" s="66">
        <v>16.420000000000002</v>
      </c>
      <c r="M812" s="75" t="s">
        <v>80</v>
      </c>
      <c r="N812" s="64">
        <v>2</v>
      </c>
      <c r="O812" s="64">
        <v>41</v>
      </c>
      <c r="P812" s="64">
        <v>43</v>
      </c>
      <c r="Q812" s="64"/>
      <c r="R812" s="65" t="str">
        <f t="shared" si="25"/>
        <v>Week 1</v>
      </c>
      <c r="S812" s="65" t="str">
        <f>TEXT(Table8[[#This Row],[Date Day]],"mmm,YYYY")</f>
        <v>Feb,2011</v>
      </c>
    </row>
    <row r="813" spans="1:19" ht="15.6" x14ac:dyDescent="0.3">
      <c r="A813" s="62">
        <v>780</v>
      </c>
      <c r="B813" s="63">
        <v>40577</v>
      </c>
      <c r="C813" s="64">
        <v>22</v>
      </c>
      <c r="D813" s="64" t="b">
        <f>IF(COUNTIF(AU$36:AU$52,Table8[[#This Row],[Date Day]]) &gt; 0, TRUE, FALSE)</f>
        <v>0</v>
      </c>
      <c r="E813" s="64">
        <f t="shared" si="24"/>
        <v>4</v>
      </c>
      <c r="F813" s="64">
        <v>2</v>
      </c>
      <c r="G813" s="65" t="str">
        <f>IF(Table8[[#This Row],[Weathersit]]=1, "BAD", IF(Table8[[#This Row],[Weathersit]]=2, "MODERATE", IF(Table8[[#This Row],[Weathersit]]=3, "GOOD")))</f>
        <v>MODERATE</v>
      </c>
      <c r="H813" s="64">
        <v>24</v>
      </c>
      <c r="I813" s="65" t="str">
        <f>IF(Table8[[#This Row],[Temp]]&lt;11, "COLD", IF(Table8[[#This Row],[Temp]]&lt;=25, "COMFORTABLE", "WARM"))</f>
        <v>COMFORTABLE</v>
      </c>
      <c r="J813" s="64">
        <v>0.2424</v>
      </c>
      <c r="K813" s="64">
        <v>0.65</v>
      </c>
      <c r="L813" s="66">
        <v>16.420000000000002</v>
      </c>
      <c r="M813" s="75" t="s">
        <v>80</v>
      </c>
      <c r="N813" s="64">
        <v>1</v>
      </c>
      <c r="O813" s="64">
        <v>45</v>
      </c>
      <c r="P813" s="64">
        <v>46</v>
      </c>
      <c r="Q813" s="64"/>
      <c r="R813" s="65" t="str">
        <f t="shared" si="25"/>
        <v>Week 1</v>
      </c>
      <c r="S813" s="65" t="str">
        <f>TEXT(Table8[[#This Row],[Date Day]],"mmm,YYYY")</f>
        <v>Feb,2011</v>
      </c>
    </row>
    <row r="814" spans="1:19" ht="15.6" x14ac:dyDescent="0.3">
      <c r="A814" s="62">
        <v>781</v>
      </c>
      <c r="B814" s="63">
        <v>40577</v>
      </c>
      <c r="C814" s="64">
        <v>23</v>
      </c>
      <c r="D814" s="64" t="b">
        <f>IF(COUNTIF(AU$36:AU$52,Table8[[#This Row],[Date Day]]) &gt; 0, TRUE, FALSE)</f>
        <v>0</v>
      </c>
      <c r="E814" s="64">
        <f t="shared" si="24"/>
        <v>4</v>
      </c>
      <c r="F814" s="64">
        <v>2</v>
      </c>
      <c r="G814" s="65" t="str">
        <f>IF(Table8[[#This Row],[Weathersit]]=1, "BAD", IF(Table8[[#This Row],[Weathersit]]=2, "MODERATE", IF(Table8[[#This Row],[Weathersit]]=3, "GOOD")))</f>
        <v>MODERATE</v>
      </c>
      <c r="H814" s="64">
        <v>24</v>
      </c>
      <c r="I814" s="65" t="str">
        <f>IF(Table8[[#This Row],[Temp]]&lt;11, "COLD", IF(Table8[[#This Row],[Temp]]&lt;=25, "COMFORTABLE", "WARM"))</f>
        <v>COMFORTABLE</v>
      </c>
      <c r="J814" s="64">
        <v>0.2424</v>
      </c>
      <c r="K814" s="64">
        <v>0.7</v>
      </c>
      <c r="L814" s="66">
        <v>13.43</v>
      </c>
      <c r="M814" s="75" t="s">
        <v>80</v>
      </c>
      <c r="N814" s="64">
        <v>1</v>
      </c>
      <c r="O814" s="64">
        <v>30</v>
      </c>
      <c r="P814" s="64">
        <v>31</v>
      </c>
      <c r="Q814" s="64"/>
      <c r="R814" s="65" t="str">
        <f t="shared" si="25"/>
        <v>Week 1</v>
      </c>
      <c r="S814" s="65" t="str">
        <f>TEXT(Table8[[#This Row],[Date Day]],"mmm,YYYY")</f>
        <v>Feb,2011</v>
      </c>
    </row>
    <row r="815" spans="1:19" ht="15.6" x14ac:dyDescent="0.3">
      <c r="A815" s="62">
        <v>782</v>
      </c>
      <c r="B815" s="63">
        <v>40578</v>
      </c>
      <c r="C815" s="64">
        <v>0</v>
      </c>
      <c r="D815" s="64" t="b">
        <f>IF(COUNTIF(AU$36:AU$52,Table8[[#This Row],[Date Day]]) &gt; 0, TRUE, FALSE)</f>
        <v>0</v>
      </c>
      <c r="E815" s="64">
        <f t="shared" si="24"/>
        <v>5</v>
      </c>
      <c r="F815" s="64">
        <v>2</v>
      </c>
      <c r="G815" s="65" t="str">
        <f>IF(Table8[[#This Row],[Weathersit]]=1, "BAD", IF(Table8[[#This Row],[Weathersit]]=2, "MODERATE", IF(Table8[[#This Row],[Weathersit]]=3, "GOOD")))</f>
        <v>MODERATE</v>
      </c>
      <c r="H815" s="64">
        <v>24</v>
      </c>
      <c r="I815" s="65" t="str">
        <f>IF(Table8[[#This Row],[Temp]]&lt;11, "COLD", IF(Table8[[#This Row],[Temp]]&lt;=25, "COMFORTABLE", "WARM"))</f>
        <v>COMFORTABLE</v>
      </c>
      <c r="J815" s="64">
        <v>0.2424</v>
      </c>
      <c r="K815" s="64">
        <v>0.7</v>
      </c>
      <c r="L815" s="66">
        <v>16.420000000000002</v>
      </c>
      <c r="M815" s="75" t="s">
        <v>80</v>
      </c>
      <c r="N815" s="64">
        <v>3</v>
      </c>
      <c r="O815" s="64">
        <v>36</v>
      </c>
      <c r="P815" s="64">
        <v>39</v>
      </c>
      <c r="Q815" s="64"/>
      <c r="R815" s="65" t="str">
        <f t="shared" si="25"/>
        <v>Week 1</v>
      </c>
      <c r="S815" s="65" t="str">
        <f>TEXT(Table8[[#This Row],[Date Day]],"mmm,YYYY")</f>
        <v>Feb,2011</v>
      </c>
    </row>
    <row r="816" spans="1:19" ht="15.6" x14ac:dyDescent="0.3">
      <c r="A816" s="62">
        <v>783</v>
      </c>
      <c r="B816" s="63">
        <v>40578</v>
      </c>
      <c r="C816" s="64">
        <v>1</v>
      </c>
      <c r="D816" s="64" t="b">
        <f>IF(COUNTIF(AU$36:AU$52,Table8[[#This Row],[Date Day]]) &gt; 0, TRUE, FALSE)</f>
        <v>0</v>
      </c>
      <c r="E816" s="64">
        <f t="shared" si="24"/>
        <v>5</v>
      </c>
      <c r="F816" s="64">
        <v>2</v>
      </c>
      <c r="G816" s="65" t="str">
        <f>IF(Table8[[#This Row],[Weathersit]]=1, "BAD", IF(Table8[[#This Row],[Weathersit]]=2, "MODERATE", IF(Table8[[#This Row],[Weathersit]]=3, "GOOD")))</f>
        <v>MODERATE</v>
      </c>
      <c r="H816" s="64">
        <v>24</v>
      </c>
      <c r="I816" s="65" t="str">
        <f>IF(Table8[[#This Row],[Temp]]&lt;11, "COLD", IF(Table8[[#This Row],[Temp]]&lt;=25, "COMFORTABLE", "WARM"))</f>
        <v>COMFORTABLE</v>
      </c>
      <c r="J816" s="64">
        <v>0.2424</v>
      </c>
      <c r="K816" s="64">
        <v>0.65</v>
      </c>
      <c r="L816" s="66">
        <v>16.420000000000002</v>
      </c>
      <c r="M816" s="75" t="s">
        <v>80</v>
      </c>
      <c r="N816" s="64">
        <v>1</v>
      </c>
      <c r="O816" s="64">
        <v>17</v>
      </c>
      <c r="P816" s="64">
        <v>18</v>
      </c>
      <c r="Q816" s="64"/>
      <c r="R816" s="65" t="str">
        <f t="shared" si="25"/>
        <v>Week 1</v>
      </c>
      <c r="S816" s="65" t="str">
        <f>TEXT(Table8[[#This Row],[Date Day]],"mmm,YYYY")</f>
        <v>Feb,2011</v>
      </c>
    </row>
    <row r="817" spans="1:19" ht="15.6" x14ac:dyDescent="0.3">
      <c r="A817" s="62">
        <v>784</v>
      </c>
      <c r="B817" s="63">
        <v>40578</v>
      </c>
      <c r="C817" s="64">
        <v>2</v>
      </c>
      <c r="D817" s="64" t="b">
        <f>IF(COUNTIF(AU$36:AU$52,Table8[[#This Row],[Date Day]]) &gt; 0, TRUE, FALSE)</f>
        <v>0</v>
      </c>
      <c r="E817" s="64">
        <f t="shared" si="24"/>
        <v>5</v>
      </c>
      <c r="F817" s="64">
        <v>2</v>
      </c>
      <c r="G817" s="65" t="str">
        <f>IF(Table8[[#This Row],[Weathersit]]=1, "BAD", IF(Table8[[#This Row],[Weathersit]]=2, "MODERATE", IF(Table8[[#This Row],[Weathersit]]=3, "GOOD")))</f>
        <v>MODERATE</v>
      </c>
      <c r="H817" s="64">
        <v>24</v>
      </c>
      <c r="I817" s="65" t="str">
        <f>IF(Table8[[#This Row],[Temp]]&lt;11, "COLD", IF(Table8[[#This Row],[Temp]]&lt;=25, "COMFORTABLE", "WARM"))</f>
        <v>COMFORTABLE</v>
      </c>
      <c r="J817" s="64">
        <v>0.2424</v>
      </c>
      <c r="K817" s="64">
        <v>0.75</v>
      </c>
      <c r="L817" s="66">
        <v>16.420000000000002</v>
      </c>
      <c r="M817" s="75" t="s">
        <v>80</v>
      </c>
      <c r="N817" s="64">
        <v>5</v>
      </c>
      <c r="O817" s="64">
        <v>12</v>
      </c>
      <c r="P817" s="64">
        <v>17</v>
      </c>
      <c r="Q817" s="64"/>
      <c r="R817" s="65" t="str">
        <f t="shared" si="25"/>
        <v>Week 1</v>
      </c>
      <c r="S817" s="65" t="str">
        <f>TEXT(Table8[[#This Row],[Date Day]],"mmm,YYYY")</f>
        <v>Feb,2011</v>
      </c>
    </row>
    <row r="818" spans="1:19" ht="15.6" x14ac:dyDescent="0.3">
      <c r="A818" s="62">
        <v>785</v>
      </c>
      <c r="B818" s="63">
        <v>40578</v>
      </c>
      <c r="C818" s="64">
        <v>3</v>
      </c>
      <c r="D818" s="64" t="b">
        <f>IF(COUNTIF(AU$36:AU$52,Table8[[#This Row],[Date Day]]) &gt; 0, TRUE, FALSE)</f>
        <v>0</v>
      </c>
      <c r="E818" s="64">
        <f t="shared" si="24"/>
        <v>5</v>
      </c>
      <c r="F818" s="64">
        <v>2</v>
      </c>
      <c r="G818" s="65" t="str">
        <f>IF(Table8[[#This Row],[Weathersit]]=1, "BAD", IF(Table8[[#This Row],[Weathersit]]=2, "MODERATE", IF(Table8[[#This Row],[Weathersit]]=3, "GOOD")))</f>
        <v>MODERATE</v>
      </c>
      <c r="H818" s="64">
        <v>24</v>
      </c>
      <c r="I818" s="65" t="str">
        <f>IF(Table8[[#This Row],[Temp]]&lt;11, "COLD", IF(Table8[[#This Row],[Temp]]&lt;=25, "COMFORTABLE", "WARM"))</f>
        <v>COMFORTABLE</v>
      </c>
      <c r="J818" s="64">
        <v>0.2424</v>
      </c>
      <c r="K818" s="64">
        <v>0.75</v>
      </c>
      <c r="L818" s="66">
        <v>16.420000000000002</v>
      </c>
      <c r="M818" s="75" t="s">
        <v>80</v>
      </c>
      <c r="N818" s="64">
        <v>1</v>
      </c>
      <c r="O818" s="64">
        <v>10</v>
      </c>
      <c r="P818" s="64">
        <v>11</v>
      </c>
      <c r="Q818" s="64"/>
      <c r="R818" s="65" t="str">
        <f t="shared" si="25"/>
        <v>Week 1</v>
      </c>
      <c r="S818" s="65" t="str">
        <f>TEXT(Table8[[#This Row],[Date Day]],"mmm,YYYY")</f>
        <v>Feb,2011</v>
      </c>
    </row>
    <row r="819" spans="1:19" ht="15.6" x14ac:dyDescent="0.3">
      <c r="A819" s="62">
        <v>786</v>
      </c>
      <c r="B819" s="63">
        <v>40578</v>
      </c>
      <c r="C819" s="64">
        <v>4</v>
      </c>
      <c r="D819" s="64" t="b">
        <f>IF(COUNTIF(AU$36:AU$52,Table8[[#This Row],[Date Day]]) &gt; 0, TRUE, FALSE)</f>
        <v>0</v>
      </c>
      <c r="E819" s="64">
        <f t="shared" si="24"/>
        <v>5</v>
      </c>
      <c r="F819" s="64">
        <v>3</v>
      </c>
      <c r="G819" s="65" t="str">
        <f>IF(Table8[[#This Row],[Weathersit]]=1, "BAD", IF(Table8[[#This Row],[Weathersit]]=2, "MODERATE", IF(Table8[[#This Row],[Weathersit]]=3, "GOOD")))</f>
        <v>GOOD</v>
      </c>
      <c r="H819" s="64">
        <v>22</v>
      </c>
      <c r="I819" s="65" t="str">
        <f>IF(Table8[[#This Row],[Temp]]&lt;11, "COLD", IF(Table8[[#This Row],[Temp]]&lt;=25, "COMFORTABLE", "WARM"))</f>
        <v>COMFORTABLE</v>
      </c>
      <c r="J819" s="64">
        <v>0.2273</v>
      </c>
      <c r="K819" s="64">
        <v>0.93</v>
      </c>
      <c r="L819" s="66">
        <v>13.43</v>
      </c>
      <c r="M819" s="75" t="s">
        <v>80</v>
      </c>
      <c r="N819" s="64">
        <v>0</v>
      </c>
      <c r="O819" s="64">
        <v>8</v>
      </c>
      <c r="P819" s="64">
        <v>8</v>
      </c>
      <c r="Q819" s="64"/>
      <c r="R819" s="65" t="str">
        <f t="shared" si="25"/>
        <v>Week 1</v>
      </c>
      <c r="S819" s="65" t="str">
        <f>TEXT(Table8[[#This Row],[Date Day]],"mmm,YYYY")</f>
        <v>Feb,2011</v>
      </c>
    </row>
    <row r="820" spans="1:19" ht="15.6" x14ac:dyDescent="0.3">
      <c r="A820" s="62">
        <v>787</v>
      </c>
      <c r="B820" s="63">
        <v>40578</v>
      </c>
      <c r="C820" s="64">
        <v>5</v>
      </c>
      <c r="D820" s="64" t="b">
        <f>IF(COUNTIF(AU$36:AU$52,Table8[[#This Row],[Date Day]]) &gt; 0, TRUE, FALSE)</f>
        <v>0</v>
      </c>
      <c r="E820" s="64">
        <f t="shared" si="24"/>
        <v>5</v>
      </c>
      <c r="F820" s="64">
        <v>3</v>
      </c>
      <c r="G820" s="65" t="str">
        <f>IF(Table8[[#This Row],[Weathersit]]=1, "BAD", IF(Table8[[#This Row],[Weathersit]]=2, "MODERATE", IF(Table8[[#This Row],[Weathersit]]=3, "GOOD")))</f>
        <v>GOOD</v>
      </c>
      <c r="H820" s="64">
        <v>20</v>
      </c>
      <c r="I820" s="65" t="str">
        <f>IF(Table8[[#This Row],[Temp]]&lt;11, "COLD", IF(Table8[[#This Row],[Temp]]&lt;=25, "COMFORTABLE", "WARM"))</f>
        <v>COMFORTABLE</v>
      </c>
      <c r="J820" s="64">
        <v>0.2273</v>
      </c>
      <c r="K820" s="64">
        <v>1</v>
      </c>
      <c r="L820" s="66">
        <v>8.9599999999999991</v>
      </c>
      <c r="M820" s="75" t="s">
        <v>80</v>
      </c>
      <c r="N820" s="64">
        <v>0</v>
      </c>
      <c r="O820" s="64">
        <v>9</v>
      </c>
      <c r="P820" s="64">
        <v>9</v>
      </c>
      <c r="Q820" s="64"/>
      <c r="R820" s="65" t="str">
        <f t="shared" si="25"/>
        <v>Week 1</v>
      </c>
      <c r="S820" s="65" t="str">
        <f>TEXT(Table8[[#This Row],[Date Day]],"mmm,YYYY")</f>
        <v>Feb,2011</v>
      </c>
    </row>
    <row r="821" spans="1:19" ht="15.6" x14ac:dyDescent="0.3">
      <c r="A821" s="62">
        <v>788</v>
      </c>
      <c r="B821" s="63">
        <v>40578</v>
      </c>
      <c r="C821" s="64">
        <v>6</v>
      </c>
      <c r="D821" s="64" t="b">
        <f>IF(COUNTIF(AU$36:AU$52,Table8[[#This Row],[Date Day]]) &gt; 0, TRUE, FALSE)</f>
        <v>0</v>
      </c>
      <c r="E821" s="64">
        <f t="shared" si="24"/>
        <v>5</v>
      </c>
      <c r="F821" s="64">
        <v>3</v>
      </c>
      <c r="G821" s="65" t="str">
        <f>IF(Table8[[#This Row],[Weathersit]]=1, "BAD", IF(Table8[[#This Row],[Weathersit]]=2, "MODERATE", IF(Table8[[#This Row],[Weathersit]]=3, "GOOD")))</f>
        <v>GOOD</v>
      </c>
      <c r="H821" s="64">
        <v>20</v>
      </c>
      <c r="I821" s="65" t="str">
        <f>IF(Table8[[#This Row],[Temp]]&lt;11, "COLD", IF(Table8[[#This Row],[Temp]]&lt;=25, "COMFORTABLE", "WARM"))</f>
        <v>COMFORTABLE</v>
      </c>
      <c r="J821" s="64">
        <v>0.2576</v>
      </c>
      <c r="K821" s="64">
        <v>1</v>
      </c>
      <c r="L821" s="66">
        <v>17.94158974358977</v>
      </c>
      <c r="M821" s="75" t="s">
        <v>80</v>
      </c>
      <c r="N821" s="64">
        <v>0</v>
      </c>
      <c r="O821" s="64">
        <v>4</v>
      </c>
      <c r="P821" s="64">
        <v>4</v>
      </c>
      <c r="Q821" s="64"/>
      <c r="R821" s="65" t="str">
        <f t="shared" si="25"/>
        <v>Week 1</v>
      </c>
      <c r="S821" s="65" t="str">
        <f>TEXT(Table8[[#This Row],[Date Day]],"mmm,YYYY")</f>
        <v>Feb,2011</v>
      </c>
    </row>
    <row r="822" spans="1:19" ht="15.6" x14ac:dyDescent="0.3">
      <c r="A822" s="62">
        <v>789</v>
      </c>
      <c r="B822" s="63">
        <v>40578</v>
      </c>
      <c r="C822" s="64">
        <v>7</v>
      </c>
      <c r="D822" s="64" t="b">
        <f>IF(COUNTIF(AU$36:AU$52,Table8[[#This Row],[Date Day]]) &gt; 0, TRUE, FALSE)</f>
        <v>0</v>
      </c>
      <c r="E822" s="64">
        <f t="shared" si="24"/>
        <v>5</v>
      </c>
      <c r="F822" s="64">
        <v>3</v>
      </c>
      <c r="G822" s="65" t="str">
        <f>IF(Table8[[#This Row],[Weathersit]]=1, "BAD", IF(Table8[[#This Row],[Weathersit]]=2, "MODERATE", IF(Table8[[#This Row],[Weathersit]]=3, "GOOD")))</f>
        <v>GOOD</v>
      </c>
      <c r="H822" s="64">
        <v>22</v>
      </c>
      <c r="I822" s="65" t="str">
        <f>IF(Table8[[#This Row],[Temp]]&lt;11, "COLD", IF(Table8[[#This Row],[Temp]]&lt;=25, "COMFORTABLE", "WARM"))</f>
        <v>COMFORTABLE</v>
      </c>
      <c r="J822" s="64">
        <v>0.2576</v>
      </c>
      <c r="K822" s="64">
        <v>0.93</v>
      </c>
      <c r="L822" s="66">
        <v>8.9599999999999991</v>
      </c>
      <c r="M822" s="75" t="s">
        <v>80</v>
      </c>
      <c r="N822" s="64">
        <v>0</v>
      </c>
      <c r="O822" s="64">
        <v>4</v>
      </c>
      <c r="P822" s="64">
        <v>4</v>
      </c>
      <c r="Q822" s="64"/>
      <c r="R822" s="65" t="str">
        <f t="shared" si="25"/>
        <v>Week 1</v>
      </c>
      <c r="S822" s="65" t="str">
        <f>TEXT(Table8[[#This Row],[Date Day]],"mmm,YYYY")</f>
        <v>Feb,2011</v>
      </c>
    </row>
    <row r="823" spans="1:19" ht="15.6" x14ac:dyDescent="0.3">
      <c r="A823" s="62">
        <v>790</v>
      </c>
      <c r="B823" s="63">
        <v>40578</v>
      </c>
      <c r="C823" s="64">
        <v>8</v>
      </c>
      <c r="D823" s="64" t="b">
        <f>IF(COUNTIF(AU$36:AU$52,Table8[[#This Row],[Date Day]]) &gt; 0, TRUE, FALSE)</f>
        <v>0</v>
      </c>
      <c r="E823" s="64">
        <f t="shared" si="24"/>
        <v>5</v>
      </c>
      <c r="F823" s="64">
        <v>3</v>
      </c>
      <c r="G823" s="65" t="str">
        <f>IF(Table8[[#This Row],[Weathersit]]=1, "BAD", IF(Table8[[#This Row],[Weathersit]]=2, "MODERATE", IF(Table8[[#This Row],[Weathersit]]=3, "GOOD")))</f>
        <v>GOOD</v>
      </c>
      <c r="H823" s="64">
        <v>20</v>
      </c>
      <c r="I823" s="65" t="str">
        <f>IF(Table8[[#This Row],[Temp]]&lt;11, "COLD", IF(Table8[[#This Row],[Temp]]&lt;=25, "COMFORTABLE", "WARM"))</f>
        <v>COMFORTABLE</v>
      </c>
      <c r="J823" s="64">
        <v>0.2273</v>
      </c>
      <c r="K823" s="64">
        <v>1</v>
      </c>
      <c r="L823" s="66">
        <v>8.9599999999999991</v>
      </c>
      <c r="M823" s="75" t="s">
        <v>80</v>
      </c>
      <c r="N823" s="64">
        <v>0</v>
      </c>
      <c r="O823" s="64">
        <v>10</v>
      </c>
      <c r="P823" s="64">
        <v>10</v>
      </c>
      <c r="Q823" s="64"/>
      <c r="R823" s="65" t="str">
        <f t="shared" si="25"/>
        <v>Week 1</v>
      </c>
      <c r="S823" s="65" t="str">
        <f>TEXT(Table8[[#This Row],[Date Day]],"mmm,YYYY")</f>
        <v>Feb,2011</v>
      </c>
    </row>
    <row r="824" spans="1:19" ht="15.6" x14ac:dyDescent="0.3">
      <c r="A824" s="62">
        <v>791</v>
      </c>
      <c r="B824" s="63">
        <v>40578</v>
      </c>
      <c r="C824" s="64">
        <v>9</v>
      </c>
      <c r="D824" s="64" t="b">
        <f>IF(COUNTIF(AU$36:AU$52,Table8[[#This Row],[Date Day]]) &gt; 0, TRUE, FALSE)</f>
        <v>0</v>
      </c>
      <c r="E824" s="64">
        <f t="shared" si="24"/>
        <v>5</v>
      </c>
      <c r="F824" s="64">
        <v>3</v>
      </c>
      <c r="G824" s="65" t="str">
        <f>IF(Table8[[#This Row],[Weathersit]]=1, "BAD", IF(Table8[[#This Row],[Weathersit]]=2, "MODERATE", IF(Table8[[#This Row],[Weathersit]]=3, "GOOD")))</f>
        <v>GOOD</v>
      </c>
      <c r="H824" s="64">
        <v>20</v>
      </c>
      <c r="I824" s="65" t="str">
        <f>IF(Table8[[#This Row],[Temp]]&lt;11, "COLD", IF(Table8[[#This Row],[Temp]]&lt;=25, "COMFORTABLE", "WARM"))</f>
        <v>COMFORTABLE</v>
      </c>
      <c r="J824" s="64">
        <v>0.2273</v>
      </c>
      <c r="K824" s="64">
        <v>1</v>
      </c>
      <c r="L824" s="66">
        <v>8.9599999999999991</v>
      </c>
      <c r="M824" s="75" t="s">
        <v>80</v>
      </c>
      <c r="N824" s="64">
        <v>3</v>
      </c>
      <c r="O824" s="64">
        <v>17</v>
      </c>
      <c r="P824" s="64">
        <v>20</v>
      </c>
      <c r="Q824" s="64"/>
      <c r="R824" s="65" t="str">
        <f t="shared" si="25"/>
        <v>Week 1</v>
      </c>
      <c r="S824" s="65" t="str">
        <f>TEXT(Table8[[#This Row],[Date Day]],"mmm,YYYY")</f>
        <v>Feb,2011</v>
      </c>
    </row>
    <row r="825" spans="1:19" ht="15.6" x14ac:dyDescent="0.3">
      <c r="A825" s="62">
        <v>792</v>
      </c>
      <c r="B825" s="63">
        <v>40578</v>
      </c>
      <c r="C825" s="64">
        <v>10</v>
      </c>
      <c r="D825" s="64" t="b">
        <f>IF(COUNTIF(AU$36:AU$52,Table8[[#This Row],[Date Day]]) &gt; 0, TRUE, FALSE)</f>
        <v>0</v>
      </c>
      <c r="E825" s="64">
        <f t="shared" si="24"/>
        <v>5</v>
      </c>
      <c r="F825" s="64">
        <v>3</v>
      </c>
      <c r="G825" s="65" t="str">
        <f>IF(Table8[[#This Row],[Weathersit]]=1, "BAD", IF(Table8[[#This Row],[Weathersit]]=2, "MODERATE", IF(Table8[[#This Row],[Weathersit]]=3, "GOOD")))</f>
        <v>GOOD</v>
      </c>
      <c r="H825" s="64">
        <v>20</v>
      </c>
      <c r="I825" s="65" t="str">
        <f>IF(Table8[[#This Row],[Temp]]&lt;11, "COLD", IF(Table8[[#This Row],[Temp]]&lt;=25, "COMFORTABLE", "WARM"))</f>
        <v>COMFORTABLE</v>
      </c>
      <c r="J825" s="64">
        <v>0.21210000000000001</v>
      </c>
      <c r="K825" s="64">
        <v>1</v>
      </c>
      <c r="L825" s="66">
        <v>13.43</v>
      </c>
      <c r="M825" s="75" t="s">
        <v>80</v>
      </c>
      <c r="N825" s="64">
        <v>3</v>
      </c>
      <c r="O825" s="64">
        <v>31</v>
      </c>
      <c r="P825" s="64">
        <v>34</v>
      </c>
      <c r="Q825" s="64"/>
      <c r="R825" s="65" t="str">
        <f t="shared" si="25"/>
        <v>Week 1</v>
      </c>
      <c r="S825" s="65" t="str">
        <f>TEXT(Table8[[#This Row],[Date Day]],"mmm,YYYY")</f>
        <v>Feb,2011</v>
      </c>
    </row>
    <row r="826" spans="1:19" ht="15.6" x14ac:dyDescent="0.3">
      <c r="A826" s="62">
        <v>793</v>
      </c>
      <c r="B826" s="63">
        <v>40578</v>
      </c>
      <c r="C826" s="64">
        <v>11</v>
      </c>
      <c r="D826" s="64" t="b">
        <f>IF(COUNTIF(AU$36:AU$52,Table8[[#This Row],[Date Day]]) &gt; 0, TRUE, FALSE)</f>
        <v>0</v>
      </c>
      <c r="E826" s="64">
        <f t="shared" si="24"/>
        <v>5</v>
      </c>
      <c r="F826" s="64">
        <v>3</v>
      </c>
      <c r="G826" s="65" t="str">
        <f>IF(Table8[[#This Row],[Weathersit]]=1, "BAD", IF(Table8[[#This Row],[Weathersit]]=2, "MODERATE", IF(Table8[[#This Row],[Weathersit]]=3, "GOOD")))</f>
        <v>GOOD</v>
      </c>
      <c r="H826" s="64">
        <v>22</v>
      </c>
      <c r="I826" s="65" t="str">
        <f>IF(Table8[[#This Row],[Temp]]&lt;11, "COLD", IF(Table8[[#This Row],[Temp]]&lt;=25, "COMFORTABLE", "WARM"))</f>
        <v>COMFORTABLE</v>
      </c>
      <c r="J826" s="64">
        <v>0.2273</v>
      </c>
      <c r="K826" s="64">
        <v>1</v>
      </c>
      <c r="L826" s="66">
        <v>13.43</v>
      </c>
      <c r="M826" s="75" t="s">
        <v>80</v>
      </c>
      <c r="N826" s="64">
        <v>1</v>
      </c>
      <c r="O826" s="64">
        <v>46</v>
      </c>
      <c r="P826" s="64">
        <v>47</v>
      </c>
      <c r="Q826" s="64"/>
      <c r="R826" s="65" t="str">
        <f t="shared" si="25"/>
        <v>Week 1</v>
      </c>
      <c r="S826" s="65" t="str">
        <f>TEXT(Table8[[#This Row],[Date Day]],"mmm,YYYY")</f>
        <v>Feb,2011</v>
      </c>
    </row>
    <row r="827" spans="1:19" ht="15.6" x14ac:dyDescent="0.3">
      <c r="A827" s="62">
        <v>794</v>
      </c>
      <c r="B827" s="63">
        <v>40578</v>
      </c>
      <c r="C827" s="64">
        <v>12</v>
      </c>
      <c r="D827" s="64" t="b">
        <f>IF(COUNTIF(AU$36:AU$52,Table8[[#This Row],[Date Day]]) &gt; 0, TRUE, FALSE)</f>
        <v>0</v>
      </c>
      <c r="E827" s="64">
        <f t="shared" si="24"/>
        <v>5</v>
      </c>
      <c r="F827" s="64">
        <v>3</v>
      </c>
      <c r="G827" s="65" t="str">
        <f>IF(Table8[[#This Row],[Weathersit]]=1, "BAD", IF(Table8[[#This Row],[Weathersit]]=2, "MODERATE", IF(Table8[[#This Row],[Weathersit]]=3, "GOOD")))</f>
        <v>GOOD</v>
      </c>
      <c r="H827" s="64">
        <v>22</v>
      </c>
      <c r="I827" s="65" t="str">
        <f>IF(Table8[[#This Row],[Temp]]&lt;11, "COLD", IF(Table8[[#This Row],[Temp]]&lt;=25, "COMFORTABLE", "WARM"))</f>
        <v>COMFORTABLE</v>
      </c>
      <c r="J827" s="64">
        <v>0.2273</v>
      </c>
      <c r="K827" s="64">
        <v>1</v>
      </c>
      <c r="L827" s="66">
        <v>16.420000000000002</v>
      </c>
      <c r="M827" s="75" t="s">
        <v>80</v>
      </c>
      <c r="N827" s="64">
        <v>10</v>
      </c>
      <c r="O827" s="64">
        <v>42</v>
      </c>
      <c r="P827" s="64">
        <v>52</v>
      </c>
      <c r="Q827" s="64"/>
      <c r="R827" s="65" t="str">
        <f t="shared" si="25"/>
        <v>Week 1</v>
      </c>
      <c r="S827" s="65" t="str">
        <f>TEXT(Table8[[#This Row],[Date Day]],"mmm,YYYY")</f>
        <v>Feb,2011</v>
      </c>
    </row>
    <row r="828" spans="1:19" ht="15.6" x14ac:dyDescent="0.3">
      <c r="A828" s="62">
        <v>795</v>
      </c>
      <c r="B828" s="63">
        <v>40578</v>
      </c>
      <c r="C828" s="64">
        <v>13</v>
      </c>
      <c r="D828" s="64" t="b">
        <f>IF(COUNTIF(AU$36:AU$52,Table8[[#This Row],[Date Day]]) &gt; 0, TRUE, FALSE)</f>
        <v>0</v>
      </c>
      <c r="E828" s="64">
        <f t="shared" si="24"/>
        <v>5</v>
      </c>
      <c r="F828" s="64">
        <v>3</v>
      </c>
      <c r="G828" s="65" t="str">
        <f>IF(Table8[[#This Row],[Weathersit]]=1, "BAD", IF(Table8[[#This Row],[Weathersit]]=2, "MODERATE", IF(Table8[[#This Row],[Weathersit]]=3, "GOOD")))</f>
        <v>GOOD</v>
      </c>
      <c r="H828" s="64">
        <v>22</v>
      </c>
      <c r="I828" s="65" t="str">
        <f>IF(Table8[[#This Row],[Temp]]&lt;11, "COLD", IF(Table8[[#This Row],[Temp]]&lt;=25, "COMFORTABLE", "WARM"))</f>
        <v>COMFORTABLE</v>
      </c>
      <c r="J828" s="64">
        <v>0.2273</v>
      </c>
      <c r="K828" s="64">
        <v>1</v>
      </c>
      <c r="L828" s="66">
        <v>16.420000000000002</v>
      </c>
      <c r="M828" s="75" t="s">
        <v>80</v>
      </c>
      <c r="N828" s="64">
        <v>10</v>
      </c>
      <c r="O828" s="64">
        <v>62</v>
      </c>
      <c r="P828" s="64">
        <v>72</v>
      </c>
      <c r="Q828" s="64"/>
      <c r="R828" s="65" t="str">
        <f t="shared" si="25"/>
        <v>Week 1</v>
      </c>
      <c r="S828" s="65" t="str">
        <f>TEXT(Table8[[#This Row],[Date Day]],"mmm,YYYY")</f>
        <v>Feb,2011</v>
      </c>
    </row>
    <row r="829" spans="1:19" ht="15.6" x14ac:dyDescent="0.3">
      <c r="A829" s="62">
        <v>796</v>
      </c>
      <c r="B829" s="63">
        <v>40578</v>
      </c>
      <c r="C829" s="64">
        <v>14</v>
      </c>
      <c r="D829" s="64" t="b">
        <f>IF(COUNTIF(AU$36:AU$52,Table8[[#This Row],[Date Day]]) &gt; 0, TRUE, FALSE)</f>
        <v>0</v>
      </c>
      <c r="E829" s="64">
        <f t="shared" si="24"/>
        <v>5</v>
      </c>
      <c r="F829" s="64">
        <v>3</v>
      </c>
      <c r="G829" s="65" t="str">
        <f>IF(Table8[[#This Row],[Weathersit]]=1, "BAD", IF(Table8[[#This Row],[Weathersit]]=2, "MODERATE", IF(Table8[[#This Row],[Weathersit]]=3, "GOOD")))</f>
        <v>GOOD</v>
      </c>
      <c r="H829" s="64">
        <v>22</v>
      </c>
      <c r="I829" s="65" t="str">
        <f>IF(Table8[[#This Row],[Temp]]&lt;11, "COLD", IF(Table8[[#This Row],[Temp]]&lt;=25, "COMFORTABLE", "WARM"))</f>
        <v>COMFORTABLE</v>
      </c>
      <c r="J829" s="64">
        <v>0.2727</v>
      </c>
      <c r="K829" s="64">
        <v>1</v>
      </c>
      <c r="L829" s="66">
        <v>17.94158974358977</v>
      </c>
      <c r="M829" s="75" t="s">
        <v>80</v>
      </c>
      <c r="N829" s="64">
        <v>5</v>
      </c>
      <c r="O829" s="64">
        <v>50</v>
      </c>
      <c r="P829" s="64">
        <v>55</v>
      </c>
      <c r="Q829" s="64"/>
      <c r="R829" s="65" t="str">
        <f t="shared" si="25"/>
        <v>Week 1</v>
      </c>
      <c r="S829" s="65" t="str">
        <f>TEXT(Table8[[#This Row],[Date Day]],"mmm,YYYY")</f>
        <v>Feb,2011</v>
      </c>
    </row>
    <row r="830" spans="1:19" ht="15.6" x14ac:dyDescent="0.3">
      <c r="A830" s="62">
        <v>797</v>
      </c>
      <c r="B830" s="63">
        <v>40578</v>
      </c>
      <c r="C830" s="64">
        <v>15</v>
      </c>
      <c r="D830" s="64" t="b">
        <f>IF(COUNTIF(AU$36:AU$52,Table8[[#This Row],[Date Day]]) &gt; 0, TRUE, FALSE)</f>
        <v>0</v>
      </c>
      <c r="E830" s="64">
        <f t="shared" si="24"/>
        <v>5</v>
      </c>
      <c r="F830" s="64">
        <v>3</v>
      </c>
      <c r="G830" s="65" t="str">
        <f>IF(Table8[[#This Row],[Weathersit]]=1, "BAD", IF(Table8[[#This Row],[Weathersit]]=2, "MODERATE", IF(Table8[[#This Row],[Weathersit]]=3, "GOOD")))</f>
        <v>GOOD</v>
      </c>
      <c r="H830" s="64">
        <v>22</v>
      </c>
      <c r="I830" s="65" t="str">
        <f>IF(Table8[[#This Row],[Temp]]&lt;11, "COLD", IF(Table8[[#This Row],[Temp]]&lt;=25, "COMFORTABLE", "WARM"))</f>
        <v>COMFORTABLE</v>
      </c>
      <c r="J830" s="64">
        <v>0.2727</v>
      </c>
      <c r="K830" s="64">
        <v>1</v>
      </c>
      <c r="L830" s="66">
        <v>17.94158974358977</v>
      </c>
      <c r="M830" s="75" t="s">
        <v>80</v>
      </c>
      <c r="N830" s="64">
        <v>11</v>
      </c>
      <c r="O830" s="64">
        <v>49</v>
      </c>
      <c r="P830" s="64">
        <v>60</v>
      </c>
      <c r="Q830" s="64"/>
      <c r="R830" s="65" t="str">
        <f t="shared" si="25"/>
        <v>Week 1</v>
      </c>
      <c r="S830" s="65" t="str">
        <f>TEXT(Table8[[#This Row],[Date Day]],"mmm,YYYY")</f>
        <v>Feb,2011</v>
      </c>
    </row>
    <row r="831" spans="1:19" ht="15.6" x14ac:dyDescent="0.3">
      <c r="A831" s="62">
        <v>798</v>
      </c>
      <c r="B831" s="63">
        <v>40578</v>
      </c>
      <c r="C831" s="64">
        <v>16</v>
      </c>
      <c r="D831" s="64" t="b">
        <f>IF(COUNTIF(AU$36:AU$52,Table8[[#This Row],[Date Day]]) &gt; 0, TRUE, FALSE)</f>
        <v>0</v>
      </c>
      <c r="E831" s="64">
        <f t="shared" si="24"/>
        <v>5</v>
      </c>
      <c r="F831" s="64">
        <v>3</v>
      </c>
      <c r="G831" s="65" t="str">
        <f>IF(Table8[[#This Row],[Weathersit]]=1, "BAD", IF(Table8[[#This Row],[Weathersit]]=2, "MODERATE", IF(Table8[[#This Row],[Weathersit]]=3, "GOOD")))</f>
        <v>GOOD</v>
      </c>
      <c r="H831" s="64">
        <v>22</v>
      </c>
      <c r="I831" s="65" t="str">
        <f>IF(Table8[[#This Row],[Temp]]&lt;11, "COLD", IF(Table8[[#This Row],[Temp]]&lt;=25, "COMFORTABLE", "WARM"))</f>
        <v>COMFORTABLE</v>
      </c>
      <c r="J831" s="64">
        <v>0.2273</v>
      </c>
      <c r="K831" s="64">
        <v>1</v>
      </c>
      <c r="L831" s="66">
        <v>13.43</v>
      </c>
      <c r="M831" s="75" t="s">
        <v>80</v>
      </c>
      <c r="N831" s="64">
        <v>8</v>
      </c>
      <c r="O831" s="64">
        <v>63</v>
      </c>
      <c r="P831" s="64">
        <v>71</v>
      </c>
      <c r="Q831" s="64"/>
      <c r="R831" s="65" t="str">
        <f t="shared" si="25"/>
        <v>Week 1</v>
      </c>
      <c r="S831" s="65" t="str">
        <f>TEXT(Table8[[#This Row],[Date Day]],"mmm,YYYY")</f>
        <v>Feb,2011</v>
      </c>
    </row>
    <row r="832" spans="1:19" ht="15.6" x14ac:dyDescent="0.3">
      <c r="A832" s="62">
        <v>799</v>
      </c>
      <c r="B832" s="63">
        <v>40578</v>
      </c>
      <c r="C832" s="64">
        <v>17</v>
      </c>
      <c r="D832" s="64" t="b">
        <f>IF(COUNTIF(AU$36:AU$52,Table8[[#This Row],[Date Day]]) &gt; 0, TRUE, FALSE)</f>
        <v>0</v>
      </c>
      <c r="E832" s="64">
        <f t="shared" si="24"/>
        <v>5</v>
      </c>
      <c r="F832" s="64">
        <v>2</v>
      </c>
      <c r="G832" s="65" t="str">
        <f>IF(Table8[[#This Row],[Weathersit]]=1, "BAD", IF(Table8[[#This Row],[Weathersit]]=2, "MODERATE", IF(Table8[[#This Row],[Weathersit]]=3, "GOOD")))</f>
        <v>MODERATE</v>
      </c>
      <c r="H832" s="64">
        <v>24</v>
      </c>
      <c r="I832" s="65" t="str">
        <f>IF(Table8[[#This Row],[Temp]]&lt;11, "COLD", IF(Table8[[#This Row],[Temp]]&lt;=25, "COMFORTABLE", "WARM"))</f>
        <v>COMFORTABLE</v>
      </c>
      <c r="J832" s="64">
        <v>0.21210000000000001</v>
      </c>
      <c r="K832" s="64">
        <v>1</v>
      </c>
      <c r="L832" s="66">
        <v>28.360000000000003</v>
      </c>
      <c r="M832" s="75" t="s">
        <v>81</v>
      </c>
      <c r="N832" s="64">
        <v>14</v>
      </c>
      <c r="O832" s="64">
        <v>64</v>
      </c>
      <c r="P832" s="64">
        <v>78</v>
      </c>
      <c r="Q832" s="64"/>
      <c r="R832" s="65" t="str">
        <f t="shared" si="25"/>
        <v>Week 1</v>
      </c>
      <c r="S832" s="65" t="str">
        <f>TEXT(Table8[[#This Row],[Date Day]],"mmm,YYYY")</f>
        <v>Feb,2011</v>
      </c>
    </row>
    <row r="833" spans="1:19" ht="15.6" x14ac:dyDescent="0.3">
      <c r="A833" s="62">
        <v>800</v>
      </c>
      <c r="B833" s="63">
        <v>40578</v>
      </c>
      <c r="C833" s="64">
        <v>18</v>
      </c>
      <c r="D833" s="64" t="b">
        <f>IF(COUNTIF(AU$36:AU$52,Table8[[#This Row],[Date Day]]) &gt; 0, TRUE, FALSE)</f>
        <v>0</v>
      </c>
      <c r="E833" s="64">
        <f t="shared" si="24"/>
        <v>5</v>
      </c>
      <c r="F833" s="64">
        <v>2</v>
      </c>
      <c r="G833" s="65" t="str">
        <f>IF(Table8[[#This Row],[Weathersit]]=1, "BAD", IF(Table8[[#This Row],[Weathersit]]=2, "MODERATE", IF(Table8[[#This Row],[Weathersit]]=3, "GOOD")))</f>
        <v>MODERATE</v>
      </c>
      <c r="H833" s="64">
        <v>28.000000000000004</v>
      </c>
      <c r="I833" s="65" t="str">
        <f>IF(Table8[[#This Row],[Temp]]&lt;11, "COLD", IF(Table8[[#This Row],[Temp]]&lt;=25, "COMFORTABLE", "WARM"))</f>
        <v>WARM</v>
      </c>
      <c r="J833" s="64">
        <v>0.2424</v>
      </c>
      <c r="K833" s="64">
        <v>0.93</v>
      </c>
      <c r="L833" s="66">
        <v>44.78</v>
      </c>
      <c r="M833" s="75" t="s">
        <v>84</v>
      </c>
      <c r="N833" s="64">
        <v>2</v>
      </c>
      <c r="O833" s="64">
        <v>81</v>
      </c>
      <c r="P833" s="64">
        <v>83</v>
      </c>
      <c r="Q833" s="64"/>
      <c r="R833" s="65" t="str">
        <f t="shared" si="25"/>
        <v>Week 1</v>
      </c>
      <c r="S833" s="65" t="str">
        <f>TEXT(Table8[[#This Row],[Date Day]],"mmm,YYYY")</f>
        <v>Feb,2011</v>
      </c>
    </row>
    <row r="834" spans="1:19" ht="15.6" x14ac:dyDescent="0.3">
      <c r="A834" s="62">
        <v>801</v>
      </c>
      <c r="B834" s="63">
        <v>40578</v>
      </c>
      <c r="C834" s="64">
        <v>19</v>
      </c>
      <c r="D834" s="64" t="b">
        <f>IF(COUNTIF(AU$36:AU$52,Table8[[#This Row],[Date Day]]) &gt; 0, TRUE, FALSE)</f>
        <v>0</v>
      </c>
      <c r="E834" s="64">
        <f t="shared" si="24"/>
        <v>5</v>
      </c>
      <c r="F834" s="64">
        <v>2</v>
      </c>
      <c r="G834" s="65" t="str">
        <f>IF(Table8[[#This Row],[Weathersit]]=1, "BAD", IF(Table8[[#This Row],[Weathersit]]=2, "MODERATE", IF(Table8[[#This Row],[Weathersit]]=3, "GOOD")))</f>
        <v>MODERATE</v>
      </c>
      <c r="H834" s="64">
        <v>28.000000000000004</v>
      </c>
      <c r="I834" s="65" t="str">
        <f>IF(Table8[[#This Row],[Temp]]&lt;11, "COLD", IF(Table8[[#This Row],[Temp]]&lt;=25, "COMFORTABLE", "WARM"))</f>
        <v>WARM</v>
      </c>
      <c r="J834" s="64">
        <v>0.2424</v>
      </c>
      <c r="K834" s="64">
        <v>0.93</v>
      </c>
      <c r="L834" s="66">
        <v>44.78</v>
      </c>
      <c r="M834" s="75" t="s">
        <v>84</v>
      </c>
      <c r="N834" s="64">
        <v>6</v>
      </c>
      <c r="O834" s="64">
        <v>78</v>
      </c>
      <c r="P834" s="64">
        <v>84</v>
      </c>
      <c r="Q834" s="64"/>
      <c r="R834" s="65" t="str">
        <f t="shared" si="25"/>
        <v>Week 1</v>
      </c>
      <c r="S834" s="65" t="str">
        <f>TEXT(Table8[[#This Row],[Date Day]],"mmm,YYYY")</f>
        <v>Feb,2011</v>
      </c>
    </row>
    <row r="835" spans="1:19" ht="15.6" x14ac:dyDescent="0.3">
      <c r="A835" s="62">
        <v>802</v>
      </c>
      <c r="B835" s="63">
        <v>40578</v>
      </c>
      <c r="C835" s="64">
        <v>20</v>
      </c>
      <c r="D835" s="64" t="b">
        <f>IF(COUNTIF(AU$36:AU$52,Table8[[#This Row],[Date Day]]) &gt; 0, TRUE, FALSE)</f>
        <v>0</v>
      </c>
      <c r="E835" s="64">
        <f t="shared" si="24"/>
        <v>5</v>
      </c>
      <c r="F835" s="64">
        <v>1</v>
      </c>
      <c r="G835" s="65" t="str">
        <f>IF(Table8[[#This Row],[Weathersit]]=1, "BAD", IF(Table8[[#This Row],[Weathersit]]=2, "MODERATE", IF(Table8[[#This Row],[Weathersit]]=3, "GOOD")))</f>
        <v>BAD</v>
      </c>
      <c r="H835" s="64">
        <v>30</v>
      </c>
      <c r="I835" s="65" t="str">
        <f>IF(Table8[[#This Row],[Temp]]&lt;11, "COLD", IF(Table8[[#This Row],[Temp]]&lt;=25, "COMFORTABLE", "WARM"))</f>
        <v>WARM</v>
      </c>
      <c r="J835" s="64">
        <v>0.28789999999999999</v>
      </c>
      <c r="K835" s="64">
        <v>0.87</v>
      </c>
      <c r="L835" s="66">
        <v>25.369999999999997</v>
      </c>
      <c r="M835" s="75" t="s">
        <v>81</v>
      </c>
      <c r="N835" s="64">
        <v>5</v>
      </c>
      <c r="O835" s="64">
        <v>64</v>
      </c>
      <c r="P835" s="64">
        <v>69</v>
      </c>
      <c r="Q835" s="64"/>
      <c r="R835" s="65" t="str">
        <f t="shared" si="25"/>
        <v>Week 1</v>
      </c>
      <c r="S835" s="65" t="str">
        <f>TEXT(Table8[[#This Row],[Date Day]],"mmm,YYYY")</f>
        <v>Feb,2011</v>
      </c>
    </row>
    <row r="836" spans="1:19" ht="15.6" x14ac:dyDescent="0.3">
      <c r="A836" s="62">
        <v>803</v>
      </c>
      <c r="B836" s="63">
        <v>40578</v>
      </c>
      <c r="C836" s="64">
        <v>21</v>
      </c>
      <c r="D836" s="64" t="b">
        <f>IF(COUNTIF(AU$36:AU$52,Table8[[#This Row],[Date Day]]) &gt; 0, TRUE, FALSE)</f>
        <v>0</v>
      </c>
      <c r="E836" s="64">
        <f t="shared" si="24"/>
        <v>5</v>
      </c>
      <c r="F836" s="64">
        <v>1</v>
      </c>
      <c r="G836" s="65" t="str">
        <f>IF(Table8[[#This Row],[Weathersit]]=1, "BAD", IF(Table8[[#This Row],[Weathersit]]=2, "MODERATE", IF(Table8[[#This Row],[Weathersit]]=3, "GOOD")))</f>
        <v>BAD</v>
      </c>
      <c r="H836" s="64">
        <v>26</v>
      </c>
      <c r="I836" s="65" t="str">
        <f>IF(Table8[[#This Row],[Temp]]&lt;11, "COLD", IF(Table8[[#This Row],[Temp]]&lt;=25, "COMFORTABLE", "WARM"))</f>
        <v>WARM</v>
      </c>
      <c r="J836" s="64">
        <v>0.2576</v>
      </c>
      <c r="K836" s="64">
        <v>1</v>
      </c>
      <c r="L836" s="66">
        <v>19.400000000000002</v>
      </c>
      <c r="M836" s="75" t="s">
        <v>80</v>
      </c>
      <c r="N836" s="64">
        <v>3</v>
      </c>
      <c r="O836" s="64">
        <v>53</v>
      </c>
      <c r="P836" s="64">
        <v>56</v>
      </c>
      <c r="Q836" s="64"/>
      <c r="R836" s="65" t="str">
        <f t="shared" si="25"/>
        <v>Week 1</v>
      </c>
      <c r="S836" s="65" t="str">
        <f>TEXT(Table8[[#This Row],[Date Day]],"mmm,YYYY")</f>
        <v>Feb,2011</v>
      </c>
    </row>
    <row r="837" spans="1:19" ht="15.6" x14ac:dyDescent="0.3">
      <c r="A837" s="62">
        <v>804</v>
      </c>
      <c r="B837" s="63">
        <v>40578</v>
      </c>
      <c r="C837" s="64">
        <v>22</v>
      </c>
      <c r="D837" s="64" t="b">
        <f>IF(COUNTIF(AU$36:AU$52,Table8[[#This Row],[Date Day]]) &gt; 0, TRUE, FALSE)</f>
        <v>0</v>
      </c>
      <c r="E837" s="64">
        <f t="shared" si="24"/>
        <v>5</v>
      </c>
      <c r="F837" s="64">
        <v>1</v>
      </c>
      <c r="G837" s="65" t="str">
        <f>IF(Table8[[#This Row],[Weathersit]]=1, "BAD", IF(Table8[[#This Row],[Weathersit]]=2, "MODERATE", IF(Table8[[#This Row],[Weathersit]]=3, "GOOD")))</f>
        <v>BAD</v>
      </c>
      <c r="H837" s="64">
        <v>26</v>
      </c>
      <c r="I837" s="65" t="str">
        <f>IF(Table8[[#This Row],[Temp]]&lt;11, "COLD", IF(Table8[[#This Row],[Temp]]&lt;=25, "COMFORTABLE", "WARM"))</f>
        <v>WARM</v>
      </c>
      <c r="J837" s="64">
        <v>0.2727</v>
      </c>
      <c r="K837" s="64">
        <v>0.93</v>
      </c>
      <c r="L837" s="66">
        <v>13.43</v>
      </c>
      <c r="M837" s="75" t="s">
        <v>80</v>
      </c>
      <c r="N837" s="64">
        <v>2</v>
      </c>
      <c r="O837" s="64">
        <v>43</v>
      </c>
      <c r="P837" s="64">
        <v>45</v>
      </c>
      <c r="Q837" s="64"/>
      <c r="R837" s="65" t="str">
        <f t="shared" si="25"/>
        <v>Week 1</v>
      </c>
      <c r="S837" s="65" t="str">
        <f>TEXT(Table8[[#This Row],[Date Day]],"mmm,YYYY")</f>
        <v>Feb,2011</v>
      </c>
    </row>
    <row r="838" spans="1:19" ht="15.6" x14ac:dyDescent="0.3">
      <c r="A838" s="62">
        <v>805</v>
      </c>
      <c r="B838" s="63">
        <v>40578</v>
      </c>
      <c r="C838" s="64">
        <v>23</v>
      </c>
      <c r="D838" s="64" t="b">
        <f>IF(COUNTIF(AU$36:AU$52,Table8[[#This Row],[Date Day]]) &gt; 0, TRUE, FALSE)</f>
        <v>0</v>
      </c>
      <c r="E838" s="64">
        <f t="shared" si="24"/>
        <v>5</v>
      </c>
      <c r="F838" s="64">
        <v>1</v>
      </c>
      <c r="G838" s="65" t="str">
        <f>IF(Table8[[#This Row],[Weathersit]]=1, "BAD", IF(Table8[[#This Row],[Weathersit]]=2, "MODERATE", IF(Table8[[#This Row],[Weathersit]]=3, "GOOD")))</f>
        <v>BAD</v>
      </c>
      <c r="H838" s="64">
        <v>26</v>
      </c>
      <c r="I838" s="65" t="str">
        <f>IF(Table8[[#This Row],[Temp]]&lt;11, "COLD", IF(Table8[[#This Row],[Temp]]&lt;=25, "COMFORTABLE", "WARM"))</f>
        <v>WARM</v>
      </c>
      <c r="J838" s="64">
        <v>0.2576</v>
      </c>
      <c r="K838" s="64">
        <v>0.93</v>
      </c>
      <c r="L838" s="66">
        <v>22.39</v>
      </c>
      <c r="M838" s="75" t="s">
        <v>81</v>
      </c>
      <c r="N838" s="64">
        <v>7</v>
      </c>
      <c r="O838" s="64">
        <v>52</v>
      </c>
      <c r="P838" s="64">
        <v>59</v>
      </c>
      <c r="Q838" s="64"/>
      <c r="R838" s="65" t="str">
        <f t="shared" si="25"/>
        <v>Week 1</v>
      </c>
      <c r="S838" s="65" t="str">
        <f>TEXT(Table8[[#This Row],[Date Day]],"mmm,YYYY")</f>
        <v>Feb,2011</v>
      </c>
    </row>
    <row r="839" spans="1:19" ht="15.6" x14ac:dyDescent="0.3">
      <c r="A839" s="62">
        <v>806</v>
      </c>
      <c r="B839" s="63">
        <v>40579</v>
      </c>
      <c r="C839" s="64">
        <v>0</v>
      </c>
      <c r="D839" s="64" t="b">
        <f>IF(COUNTIF(AU$36:AU$52,Table8[[#This Row],[Date Day]]) &gt; 0, TRUE, FALSE)</f>
        <v>0</v>
      </c>
      <c r="E839" s="64">
        <f t="shared" si="24"/>
        <v>6</v>
      </c>
      <c r="F839" s="64">
        <v>1</v>
      </c>
      <c r="G839" s="65" t="str">
        <f>IF(Table8[[#This Row],[Weathersit]]=1, "BAD", IF(Table8[[#This Row],[Weathersit]]=2, "MODERATE", IF(Table8[[#This Row],[Weathersit]]=3, "GOOD")))</f>
        <v>BAD</v>
      </c>
      <c r="H839" s="64">
        <v>26</v>
      </c>
      <c r="I839" s="65" t="str">
        <f>IF(Table8[[#This Row],[Temp]]&lt;11, "COLD", IF(Table8[[#This Row],[Temp]]&lt;=25, "COMFORTABLE", "WARM"))</f>
        <v>WARM</v>
      </c>
      <c r="J839" s="64">
        <v>0.2576</v>
      </c>
      <c r="K839" s="64">
        <v>0.7</v>
      </c>
      <c r="L839" s="66">
        <v>19.400000000000002</v>
      </c>
      <c r="M839" s="75" t="s">
        <v>80</v>
      </c>
      <c r="N839" s="64">
        <v>2</v>
      </c>
      <c r="O839" s="64">
        <v>37</v>
      </c>
      <c r="P839" s="64">
        <v>39</v>
      </c>
      <c r="Q839" s="64"/>
      <c r="R839" s="65" t="str">
        <f t="shared" si="25"/>
        <v>Week 1</v>
      </c>
      <c r="S839" s="65" t="str">
        <f>TEXT(Table8[[#This Row],[Date Day]],"mmm,YYYY")</f>
        <v>Feb,2011</v>
      </c>
    </row>
    <row r="840" spans="1:19" ht="15.6" x14ac:dyDescent="0.3">
      <c r="A840" s="62">
        <v>807</v>
      </c>
      <c r="B840" s="63">
        <v>40579</v>
      </c>
      <c r="C840" s="64">
        <v>1</v>
      </c>
      <c r="D840" s="64" t="b">
        <f>IF(COUNTIF(AU$36:AU$52,Table8[[#This Row],[Date Day]]) &gt; 0, TRUE, FALSE)</f>
        <v>0</v>
      </c>
      <c r="E840" s="64">
        <f t="shared" si="24"/>
        <v>6</v>
      </c>
      <c r="F840" s="64">
        <v>1</v>
      </c>
      <c r="G840" s="65" t="str">
        <f>IF(Table8[[#This Row],[Weathersit]]=1, "BAD", IF(Table8[[#This Row],[Weathersit]]=2, "MODERATE", IF(Table8[[#This Row],[Weathersit]]=3, "GOOD")))</f>
        <v>BAD</v>
      </c>
      <c r="H840" s="64">
        <v>26</v>
      </c>
      <c r="I840" s="65" t="str">
        <f>IF(Table8[[#This Row],[Temp]]&lt;11, "COLD", IF(Table8[[#This Row],[Temp]]&lt;=25, "COMFORTABLE", "WARM"))</f>
        <v>WARM</v>
      </c>
      <c r="J840" s="64">
        <v>0.2273</v>
      </c>
      <c r="K840" s="64">
        <v>0.65</v>
      </c>
      <c r="L840" s="66">
        <v>41.79</v>
      </c>
      <c r="M840" s="75" t="s">
        <v>84</v>
      </c>
      <c r="N840" s="64">
        <v>4</v>
      </c>
      <c r="O840" s="64">
        <v>40</v>
      </c>
      <c r="P840" s="64">
        <v>44</v>
      </c>
      <c r="Q840" s="64"/>
      <c r="R840" s="65" t="str">
        <f t="shared" si="25"/>
        <v>Week 1</v>
      </c>
      <c r="S840" s="65" t="str">
        <f>TEXT(Table8[[#This Row],[Date Day]],"mmm,YYYY")</f>
        <v>Feb,2011</v>
      </c>
    </row>
    <row r="841" spans="1:19" ht="15.6" x14ac:dyDescent="0.3">
      <c r="A841" s="62">
        <v>808</v>
      </c>
      <c r="B841" s="63">
        <v>40579</v>
      </c>
      <c r="C841" s="64">
        <v>2</v>
      </c>
      <c r="D841" s="64" t="b">
        <f>IF(COUNTIF(AU$36:AU$52,Table8[[#This Row],[Date Day]]) &gt; 0, TRUE, FALSE)</f>
        <v>0</v>
      </c>
      <c r="E841" s="64">
        <f t="shared" si="24"/>
        <v>6</v>
      </c>
      <c r="F841" s="64">
        <v>1</v>
      </c>
      <c r="G841" s="65" t="str">
        <f>IF(Table8[[#This Row],[Weathersit]]=1, "BAD", IF(Table8[[#This Row],[Weathersit]]=2, "MODERATE", IF(Table8[[#This Row],[Weathersit]]=3, "GOOD")))</f>
        <v>BAD</v>
      </c>
      <c r="H841" s="64">
        <v>26</v>
      </c>
      <c r="I841" s="65" t="str">
        <f>IF(Table8[[#This Row],[Temp]]&lt;11, "COLD", IF(Table8[[#This Row],[Temp]]&lt;=25, "COMFORTABLE", "WARM"))</f>
        <v>WARM</v>
      </c>
      <c r="J841" s="64">
        <v>0.2273</v>
      </c>
      <c r="K841" s="64">
        <v>0.6</v>
      </c>
      <c r="L841" s="66">
        <v>32.840000000000003</v>
      </c>
      <c r="M841" s="75" t="s">
        <v>84</v>
      </c>
      <c r="N841" s="64">
        <v>0</v>
      </c>
      <c r="O841" s="64">
        <v>20</v>
      </c>
      <c r="P841" s="64">
        <v>20</v>
      </c>
      <c r="Q841" s="64"/>
      <c r="R841" s="65" t="str">
        <f t="shared" si="25"/>
        <v>Week 1</v>
      </c>
      <c r="S841" s="65" t="str">
        <f>TEXT(Table8[[#This Row],[Date Day]],"mmm,YYYY")</f>
        <v>Feb,2011</v>
      </c>
    </row>
    <row r="842" spans="1:19" ht="15.6" x14ac:dyDescent="0.3">
      <c r="A842" s="62">
        <v>809</v>
      </c>
      <c r="B842" s="63">
        <v>40579</v>
      </c>
      <c r="C842" s="64">
        <v>3</v>
      </c>
      <c r="D842" s="64" t="b">
        <f>IF(COUNTIF(AU$36:AU$52,Table8[[#This Row],[Date Day]]) &gt; 0, TRUE, FALSE)</f>
        <v>0</v>
      </c>
      <c r="E842" s="64">
        <f t="shared" si="24"/>
        <v>6</v>
      </c>
      <c r="F842" s="64">
        <v>1</v>
      </c>
      <c r="G842" s="65" t="str">
        <f>IF(Table8[[#This Row],[Weathersit]]=1, "BAD", IF(Table8[[#This Row],[Weathersit]]=2, "MODERATE", IF(Table8[[#This Row],[Weathersit]]=3, "GOOD")))</f>
        <v>BAD</v>
      </c>
      <c r="H842" s="64">
        <v>26</v>
      </c>
      <c r="I842" s="65" t="str">
        <f>IF(Table8[[#This Row],[Temp]]&lt;11, "COLD", IF(Table8[[#This Row],[Temp]]&lt;=25, "COMFORTABLE", "WARM"))</f>
        <v>WARM</v>
      </c>
      <c r="J842" s="64">
        <v>0.28789999999999999</v>
      </c>
      <c r="K842" s="64">
        <v>0.6</v>
      </c>
      <c r="L842" s="66">
        <v>8.9599999999999991</v>
      </c>
      <c r="M842" s="75" t="s">
        <v>80</v>
      </c>
      <c r="N842" s="64">
        <v>3</v>
      </c>
      <c r="O842" s="64">
        <v>10</v>
      </c>
      <c r="P842" s="64">
        <v>13</v>
      </c>
      <c r="Q842" s="64"/>
      <c r="R842" s="65" t="str">
        <f t="shared" si="25"/>
        <v>Week 1</v>
      </c>
      <c r="S842" s="65" t="str">
        <f>TEXT(Table8[[#This Row],[Date Day]],"mmm,YYYY")</f>
        <v>Feb,2011</v>
      </c>
    </row>
    <row r="843" spans="1:19" ht="15.6" x14ac:dyDescent="0.3">
      <c r="A843" s="62">
        <v>810</v>
      </c>
      <c r="B843" s="63">
        <v>40579</v>
      </c>
      <c r="C843" s="64">
        <v>4</v>
      </c>
      <c r="D843" s="64" t="b">
        <f>IF(COUNTIF(AU$36:AU$52,Table8[[#This Row],[Date Day]]) &gt; 0, TRUE, FALSE)</f>
        <v>0</v>
      </c>
      <c r="E843" s="64">
        <f t="shared" si="24"/>
        <v>6</v>
      </c>
      <c r="F843" s="64">
        <v>1</v>
      </c>
      <c r="G843" s="65" t="str">
        <f>IF(Table8[[#This Row],[Weathersit]]=1, "BAD", IF(Table8[[#This Row],[Weathersit]]=2, "MODERATE", IF(Table8[[#This Row],[Weathersit]]=3, "GOOD")))</f>
        <v>BAD</v>
      </c>
      <c r="H843" s="64">
        <v>26</v>
      </c>
      <c r="I843" s="65" t="str">
        <f>IF(Table8[[#This Row],[Temp]]&lt;11, "COLD", IF(Table8[[#This Row],[Temp]]&lt;=25, "COMFORTABLE", "WARM"))</f>
        <v>WARM</v>
      </c>
      <c r="J843" s="64">
        <v>0.2273</v>
      </c>
      <c r="K843" s="64">
        <v>0.6</v>
      </c>
      <c r="L843" s="66">
        <v>35.82</v>
      </c>
      <c r="M843" s="75" t="s">
        <v>84</v>
      </c>
      <c r="N843" s="64">
        <v>0</v>
      </c>
      <c r="O843" s="64">
        <v>2</v>
      </c>
      <c r="P843" s="64">
        <v>2</v>
      </c>
      <c r="Q843" s="64"/>
      <c r="R843" s="65" t="str">
        <f t="shared" si="25"/>
        <v>Week 1</v>
      </c>
      <c r="S843" s="65" t="str">
        <f>TEXT(Table8[[#This Row],[Date Day]],"mmm,YYYY")</f>
        <v>Feb,2011</v>
      </c>
    </row>
    <row r="844" spans="1:19" ht="15.6" x14ac:dyDescent="0.3">
      <c r="A844" s="62">
        <v>811</v>
      </c>
      <c r="B844" s="63">
        <v>40579</v>
      </c>
      <c r="C844" s="64">
        <v>5</v>
      </c>
      <c r="D844" s="64" t="b">
        <f>IF(COUNTIF(AU$36:AU$52,Table8[[#This Row],[Date Day]]) &gt; 0, TRUE, FALSE)</f>
        <v>0</v>
      </c>
      <c r="E844" s="64">
        <f t="shared" si="24"/>
        <v>6</v>
      </c>
      <c r="F844" s="64">
        <v>1</v>
      </c>
      <c r="G844" s="65" t="str">
        <f>IF(Table8[[#This Row],[Weathersit]]=1, "BAD", IF(Table8[[#This Row],[Weathersit]]=2, "MODERATE", IF(Table8[[#This Row],[Weathersit]]=3, "GOOD")))</f>
        <v>BAD</v>
      </c>
      <c r="H844" s="64">
        <v>26</v>
      </c>
      <c r="I844" s="65" t="str">
        <f>IF(Table8[[#This Row],[Temp]]&lt;11, "COLD", IF(Table8[[#This Row],[Temp]]&lt;=25, "COMFORTABLE", "WARM"))</f>
        <v>WARM</v>
      </c>
      <c r="J844" s="64">
        <v>0.2576</v>
      </c>
      <c r="K844" s="64">
        <v>0.6</v>
      </c>
      <c r="L844" s="66">
        <v>22.39</v>
      </c>
      <c r="M844" s="75" t="s">
        <v>81</v>
      </c>
      <c r="N844" s="64">
        <v>0</v>
      </c>
      <c r="O844" s="64">
        <v>1</v>
      </c>
      <c r="P844" s="64">
        <v>1</v>
      </c>
      <c r="Q844" s="64"/>
      <c r="R844" s="65" t="str">
        <f t="shared" si="25"/>
        <v>Week 1</v>
      </c>
      <c r="S844" s="65" t="str">
        <f>TEXT(Table8[[#This Row],[Date Day]],"mmm,YYYY")</f>
        <v>Feb,2011</v>
      </c>
    </row>
    <row r="845" spans="1:19" ht="15.6" x14ac:dyDescent="0.3">
      <c r="A845" s="62">
        <v>812</v>
      </c>
      <c r="B845" s="63">
        <v>40579</v>
      </c>
      <c r="C845" s="64">
        <v>6</v>
      </c>
      <c r="D845" s="64" t="b">
        <f>IF(COUNTIF(AU$36:AU$52,Table8[[#This Row],[Date Day]]) &gt; 0, TRUE, FALSE)</f>
        <v>0</v>
      </c>
      <c r="E845" s="64">
        <f t="shared" si="24"/>
        <v>6</v>
      </c>
      <c r="F845" s="64">
        <v>1</v>
      </c>
      <c r="G845" s="65" t="str">
        <f>IF(Table8[[#This Row],[Weathersit]]=1, "BAD", IF(Table8[[#This Row],[Weathersit]]=2, "MODERATE", IF(Table8[[#This Row],[Weathersit]]=3, "GOOD")))</f>
        <v>BAD</v>
      </c>
      <c r="H845" s="64">
        <v>26</v>
      </c>
      <c r="I845" s="65" t="str">
        <f>IF(Table8[[#This Row],[Temp]]&lt;11, "COLD", IF(Table8[[#This Row],[Temp]]&lt;=25, "COMFORTABLE", "WARM"))</f>
        <v>WARM</v>
      </c>
      <c r="J845" s="64">
        <v>0.2576</v>
      </c>
      <c r="K845" s="64">
        <v>0.6</v>
      </c>
      <c r="L845" s="66">
        <v>22.39</v>
      </c>
      <c r="M845" s="75" t="s">
        <v>81</v>
      </c>
      <c r="N845" s="64">
        <v>0</v>
      </c>
      <c r="O845" s="64">
        <v>1</v>
      </c>
      <c r="P845" s="64">
        <v>1</v>
      </c>
      <c r="Q845" s="64"/>
      <c r="R845" s="65" t="str">
        <f t="shared" si="25"/>
        <v>Week 1</v>
      </c>
      <c r="S845" s="65" t="str">
        <f>TEXT(Table8[[#This Row],[Date Day]],"mmm,YYYY")</f>
        <v>Feb,2011</v>
      </c>
    </row>
    <row r="846" spans="1:19" ht="15.6" x14ac:dyDescent="0.3">
      <c r="A846" s="62">
        <v>813</v>
      </c>
      <c r="B846" s="63">
        <v>40579</v>
      </c>
      <c r="C846" s="64">
        <v>7</v>
      </c>
      <c r="D846" s="64" t="b">
        <f>IF(COUNTIF(AU$36:AU$52,Table8[[#This Row],[Date Day]]) &gt; 0, TRUE, FALSE)</f>
        <v>0</v>
      </c>
      <c r="E846" s="64">
        <f t="shared" si="24"/>
        <v>6</v>
      </c>
      <c r="F846" s="64">
        <v>1</v>
      </c>
      <c r="G846" s="65" t="str">
        <f>IF(Table8[[#This Row],[Weathersit]]=1, "BAD", IF(Table8[[#This Row],[Weathersit]]=2, "MODERATE", IF(Table8[[#This Row],[Weathersit]]=3, "GOOD")))</f>
        <v>BAD</v>
      </c>
      <c r="H846" s="64">
        <v>24</v>
      </c>
      <c r="I846" s="65" t="str">
        <f>IF(Table8[[#This Row],[Temp]]&lt;11, "COLD", IF(Table8[[#This Row],[Temp]]&lt;=25, "COMFORTABLE", "WARM"))</f>
        <v>COMFORTABLE</v>
      </c>
      <c r="J846" s="64">
        <v>0.2424</v>
      </c>
      <c r="K846" s="64">
        <v>0.65</v>
      </c>
      <c r="L846" s="66">
        <v>16.420000000000002</v>
      </c>
      <c r="M846" s="75" t="s">
        <v>80</v>
      </c>
      <c r="N846" s="64">
        <v>0</v>
      </c>
      <c r="O846" s="64">
        <v>8</v>
      </c>
      <c r="P846" s="64">
        <v>8</v>
      </c>
      <c r="Q846" s="64"/>
      <c r="R846" s="65" t="str">
        <f t="shared" si="25"/>
        <v>Week 1</v>
      </c>
      <c r="S846" s="65" t="str">
        <f>TEXT(Table8[[#This Row],[Date Day]],"mmm,YYYY")</f>
        <v>Feb,2011</v>
      </c>
    </row>
    <row r="847" spans="1:19" ht="15.6" x14ac:dyDescent="0.3">
      <c r="A847" s="62">
        <v>814</v>
      </c>
      <c r="B847" s="63">
        <v>40579</v>
      </c>
      <c r="C847" s="64">
        <v>8</v>
      </c>
      <c r="D847" s="64" t="b">
        <f>IF(COUNTIF(AU$36:AU$52,Table8[[#This Row],[Date Day]]) &gt; 0, TRUE, FALSE)</f>
        <v>0</v>
      </c>
      <c r="E847" s="64">
        <f t="shared" si="24"/>
        <v>6</v>
      </c>
      <c r="F847" s="64">
        <v>1</v>
      </c>
      <c r="G847" s="65" t="str">
        <f>IF(Table8[[#This Row],[Weathersit]]=1, "BAD", IF(Table8[[#This Row],[Weathersit]]=2, "MODERATE", IF(Table8[[#This Row],[Weathersit]]=3, "GOOD")))</f>
        <v>BAD</v>
      </c>
      <c r="H847" s="64">
        <v>24</v>
      </c>
      <c r="I847" s="65" t="str">
        <f>IF(Table8[[#This Row],[Temp]]&lt;11, "COLD", IF(Table8[[#This Row],[Temp]]&lt;=25, "COMFORTABLE", "WARM"))</f>
        <v>COMFORTABLE</v>
      </c>
      <c r="J847" s="64">
        <v>0.2576</v>
      </c>
      <c r="K847" s="64">
        <v>0.65</v>
      </c>
      <c r="L847" s="66">
        <v>10.45</v>
      </c>
      <c r="M847" s="75" t="s">
        <v>80</v>
      </c>
      <c r="N847" s="64">
        <v>2</v>
      </c>
      <c r="O847" s="64">
        <v>21</v>
      </c>
      <c r="P847" s="64">
        <v>23</v>
      </c>
      <c r="Q847" s="64"/>
      <c r="R847" s="65" t="str">
        <f t="shared" si="25"/>
        <v>Week 1</v>
      </c>
      <c r="S847" s="65" t="str">
        <f>TEXT(Table8[[#This Row],[Date Day]],"mmm,YYYY")</f>
        <v>Feb,2011</v>
      </c>
    </row>
    <row r="848" spans="1:19" ht="15.6" x14ac:dyDescent="0.3">
      <c r="A848" s="62">
        <v>815</v>
      </c>
      <c r="B848" s="63">
        <v>40579</v>
      </c>
      <c r="C848" s="64">
        <v>9</v>
      </c>
      <c r="D848" s="64" t="b">
        <f>IF(COUNTIF(AU$36:AU$52,Table8[[#This Row],[Date Day]]) &gt; 0, TRUE, FALSE)</f>
        <v>0</v>
      </c>
      <c r="E848" s="64">
        <f t="shared" si="24"/>
        <v>6</v>
      </c>
      <c r="F848" s="64">
        <v>1</v>
      </c>
      <c r="G848" s="65" t="str">
        <f>IF(Table8[[#This Row],[Weathersit]]=1, "BAD", IF(Table8[[#This Row],[Weathersit]]=2, "MODERATE", IF(Table8[[#This Row],[Weathersit]]=3, "GOOD")))</f>
        <v>BAD</v>
      </c>
      <c r="H848" s="64">
        <v>28.000000000000004</v>
      </c>
      <c r="I848" s="65" t="str">
        <f>IF(Table8[[#This Row],[Temp]]&lt;11, "COLD", IF(Table8[[#This Row],[Temp]]&lt;=25, "COMFORTABLE", "WARM"))</f>
        <v>WARM</v>
      </c>
      <c r="J848" s="64">
        <v>0.28789999999999999</v>
      </c>
      <c r="K848" s="64">
        <v>0.56000000000000005</v>
      </c>
      <c r="L848" s="66">
        <v>10.45</v>
      </c>
      <c r="M848" s="75" t="s">
        <v>80</v>
      </c>
      <c r="N848" s="64">
        <v>7</v>
      </c>
      <c r="O848" s="64">
        <v>38</v>
      </c>
      <c r="P848" s="64">
        <v>45</v>
      </c>
      <c r="Q848" s="64"/>
      <c r="R848" s="65" t="str">
        <f t="shared" si="25"/>
        <v>Week 1</v>
      </c>
      <c r="S848" s="65" t="str">
        <f>TEXT(Table8[[#This Row],[Date Day]],"mmm,YYYY")</f>
        <v>Feb,2011</v>
      </c>
    </row>
    <row r="849" spans="1:19" ht="15.6" x14ac:dyDescent="0.3">
      <c r="A849" s="62">
        <v>816</v>
      </c>
      <c r="B849" s="63">
        <v>40579</v>
      </c>
      <c r="C849" s="64">
        <v>10</v>
      </c>
      <c r="D849" s="64" t="b">
        <f>IF(COUNTIF(AU$36:AU$52,Table8[[#This Row],[Date Day]]) &gt; 0, TRUE, FALSE)</f>
        <v>0</v>
      </c>
      <c r="E849" s="64">
        <f t="shared" si="24"/>
        <v>6</v>
      </c>
      <c r="F849" s="64">
        <v>1</v>
      </c>
      <c r="G849" s="65" t="str">
        <f>IF(Table8[[#This Row],[Weathersit]]=1, "BAD", IF(Table8[[#This Row],[Weathersit]]=2, "MODERATE", IF(Table8[[#This Row],[Weathersit]]=3, "GOOD")))</f>
        <v>BAD</v>
      </c>
      <c r="H849" s="64">
        <v>30</v>
      </c>
      <c r="I849" s="65" t="str">
        <f>IF(Table8[[#This Row],[Temp]]&lt;11, "COLD", IF(Table8[[#This Row],[Temp]]&lt;=25, "COMFORTABLE", "WARM"))</f>
        <v>WARM</v>
      </c>
      <c r="J849" s="64">
        <v>0.28789999999999999</v>
      </c>
      <c r="K849" s="64">
        <v>0.52</v>
      </c>
      <c r="L849" s="66">
        <v>25.369999999999997</v>
      </c>
      <c r="M849" s="75" t="s">
        <v>81</v>
      </c>
      <c r="N849" s="64">
        <v>15</v>
      </c>
      <c r="O849" s="64">
        <v>74</v>
      </c>
      <c r="P849" s="64">
        <v>89</v>
      </c>
      <c r="Q849" s="64"/>
      <c r="R849" s="65" t="str">
        <f t="shared" si="25"/>
        <v>Week 1</v>
      </c>
      <c r="S849" s="65" t="str">
        <f>TEXT(Table8[[#This Row],[Date Day]],"mmm,YYYY")</f>
        <v>Feb,2011</v>
      </c>
    </row>
    <row r="850" spans="1:19" ht="15.6" x14ac:dyDescent="0.3">
      <c r="A850" s="62">
        <v>817</v>
      </c>
      <c r="B850" s="63">
        <v>40579</v>
      </c>
      <c r="C850" s="64">
        <v>11</v>
      </c>
      <c r="D850" s="64" t="b">
        <f>IF(COUNTIF(AU$36:AU$52,Table8[[#This Row],[Date Day]]) &gt; 0, TRUE, FALSE)</f>
        <v>0</v>
      </c>
      <c r="E850" s="64">
        <f t="shared" si="24"/>
        <v>6</v>
      </c>
      <c r="F850" s="64">
        <v>1</v>
      </c>
      <c r="G850" s="65" t="str">
        <f>IF(Table8[[#This Row],[Weathersit]]=1, "BAD", IF(Table8[[#This Row],[Weathersit]]=2, "MODERATE", IF(Table8[[#This Row],[Weathersit]]=3, "GOOD")))</f>
        <v>BAD</v>
      </c>
      <c r="H850" s="64">
        <v>32</v>
      </c>
      <c r="I850" s="65" t="str">
        <f>IF(Table8[[#This Row],[Temp]]&lt;11, "COLD", IF(Table8[[#This Row],[Temp]]&lt;=25, "COMFORTABLE", "WARM"))</f>
        <v>WARM</v>
      </c>
      <c r="J850" s="64">
        <v>0.30299999999999999</v>
      </c>
      <c r="K850" s="64">
        <v>0.49</v>
      </c>
      <c r="L850" s="66">
        <v>25.369999999999997</v>
      </c>
      <c r="M850" s="75" t="s">
        <v>81</v>
      </c>
      <c r="N850" s="64">
        <v>28</v>
      </c>
      <c r="O850" s="64">
        <v>89</v>
      </c>
      <c r="P850" s="64">
        <v>117</v>
      </c>
      <c r="Q850" s="64"/>
      <c r="R850" s="65" t="str">
        <f t="shared" si="25"/>
        <v>Week 1</v>
      </c>
      <c r="S850" s="65" t="str">
        <f>TEXT(Table8[[#This Row],[Date Day]],"mmm,YYYY")</f>
        <v>Feb,2011</v>
      </c>
    </row>
    <row r="851" spans="1:19" ht="15.6" x14ac:dyDescent="0.3">
      <c r="A851" s="62">
        <v>818</v>
      </c>
      <c r="B851" s="63">
        <v>40579</v>
      </c>
      <c r="C851" s="64">
        <v>12</v>
      </c>
      <c r="D851" s="64" t="b">
        <f>IF(COUNTIF(AU$36:AU$52,Table8[[#This Row],[Date Day]]) &gt; 0, TRUE, FALSE)</f>
        <v>0</v>
      </c>
      <c r="E851" s="64">
        <f t="shared" si="24"/>
        <v>6</v>
      </c>
      <c r="F851" s="64">
        <v>1</v>
      </c>
      <c r="G851" s="65" t="str">
        <f>IF(Table8[[#This Row],[Weathersit]]=1, "BAD", IF(Table8[[#This Row],[Weathersit]]=2, "MODERATE", IF(Table8[[#This Row],[Weathersit]]=3, "GOOD")))</f>
        <v>BAD</v>
      </c>
      <c r="H851" s="64">
        <v>34</v>
      </c>
      <c r="I851" s="65" t="str">
        <f>IF(Table8[[#This Row],[Temp]]&lt;11, "COLD", IF(Table8[[#This Row],[Temp]]&lt;=25, "COMFORTABLE", "WARM"))</f>
        <v>WARM</v>
      </c>
      <c r="J851" s="64">
        <v>0.33329999999999999</v>
      </c>
      <c r="K851" s="64">
        <v>0.46</v>
      </c>
      <c r="L851" s="66">
        <v>17.94158974358977</v>
      </c>
      <c r="M851" s="75" t="s">
        <v>80</v>
      </c>
      <c r="N851" s="64">
        <v>48</v>
      </c>
      <c r="O851" s="64">
        <v>126</v>
      </c>
      <c r="P851" s="64">
        <v>174</v>
      </c>
      <c r="Q851" s="64"/>
      <c r="R851" s="65" t="str">
        <f t="shared" si="25"/>
        <v>Week 1</v>
      </c>
      <c r="S851" s="65" t="str">
        <f>TEXT(Table8[[#This Row],[Date Day]],"mmm,YYYY")</f>
        <v>Feb,2011</v>
      </c>
    </row>
    <row r="852" spans="1:19" ht="15.6" x14ac:dyDescent="0.3">
      <c r="A852" s="62">
        <v>819</v>
      </c>
      <c r="B852" s="63">
        <v>40579</v>
      </c>
      <c r="C852" s="64">
        <v>13</v>
      </c>
      <c r="D852" s="64" t="b">
        <f>IF(COUNTIF(AU$36:AU$52,Table8[[#This Row],[Date Day]]) &gt; 0, TRUE, FALSE)</f>
        <v>0</v>
      </c>
      <c r="E852" s="64">
        <f t="shared" si="24"/>
        <v>6</v>
      </c>
      <c r="F852" s="64">
        <v>1</v>
      </c>
      <c r="G852" s="65" t="str">
        <f>IF(Table8[[#This Row],[Weathersit]]=1, "BAD", IF(Table8[[#This Row],[Weathersit]]=2, "MODERATE", IF(Table8[[#This Row],[Weathersit]]=3, "GOOD")))</f>
        <v>BAD</v>
      </c>
      <c r="H852" s="64">
        <v>34</v>
      </c>
      <c r="I852" s="65" t="str">
        <f>IF(Table8[[#This Row],[Temp]]&lt;11, "COLD", IF(Table8[[#This Row],[Temp]]&lt;=25, "COMFORTABLE", "WARM"))</f>
        <v>WARM</v>
      </c>
      <c r="J852" s="64">
        <v>0.36359999999999998</v>
      </c>
      <c r="K852" s="64">
        <v>0.46</v>
      </c>
      <c r="L852" s="66">
        <v>17.94158974358977</v>
      </c>
      <c r="M852" s="75" t="s">
        <v>80</v>
      </c>
      <c r="N852" s="64">
        <v>47</v>
      </c>
      <c r="O852" s="64">
        <v>135</v>
      </c>
      <c r="P852" s="64">
        <v>182</v>
      </c>
      <c r="Q852" s="64"/>
      <c r="R852" s="65" t="str">
        <f t="shared" si="25"/>
        <v>Week 1</v>
      </c>
      <c r="S852" s="65" t="str">
        <f>TEXT(Table8[[#This Row],[Date Day]],"mmm,YYYY")</f>
        <v>Feb,2011</v>
      </c>
    </row>
    <row r="853" spans="1:19" ht="15.6" x14ac:dyDescent="0.3">
      <c r="A853" s="62">
        <v>820</v>
      </c>
      <c r="B853" s="63">
        <v>40579</v>
      </c>
      <c r="C853" s="64">
        <v>14</v>
      </c>
      <c r="D853" s="64" t="b">
        <f>IF(COUNTIF(AU$36:AU$52,Table8[[#This Row],[Date Day]]) &gt; 0, TRUE, FALSE)</f>
        <v>0</v>
      </c>
      <c r="E853" s="64">
        <f t="shared" si="24"/>
        <v>6</v>
      </c>
      <c r="F853" s="64">
        <v>1</v>
      </c>
      <c r="G853" s="65" t="str">
        <f>IF(Table8[[#This Row],[Weathersit]]=1, "BAD", IF(Table8[[#This Row],[Weathersit]]=2, "MODERATE", IF(Table8[[#This Row],[Weathersit]]=3, "GOOD")))</f>
        <v>BAD</v>
      </c>
      <c r="H853" s="64">
        <v>34</v>
      </c>
      <c r="I853" s="65" t="str">
        <f>IF(Table8[[#This Row],[Temp]]&lt;11, "COLD", IF(Table8[[#This Row],[Temp]]&lt;=25, "COMFORTABLE", "WARM"))</f>
        <v>WARM</v>
      </c>
      <c r="J853" s="64">
        <v>0.34849999999999998</v>
      </c>
      <c r="K853" s="64">
        <v>0.46</v>
      </c>
      <c r="L853" s="66">
        <v>8.9599999999999991</v>
      </c>
      <c r="M853" s="75" t="s">
        <v>80</v>
      </c>
      <c r="N853" s="64">
        <v>47</v>
      </c>
      <c r="O853" s="64">
        <v>114</v>
      </c>
      <c r="P853" s="64">
        <v>161</v>
      </c>
      <c r="Q853" s="64"/>
      <c r="R853" s="65" t="str">
        <f t="shared" si="25"/>
        <v>Week 1</v>
      </c>
      <c r="S853" s="65" t="str">
        <f>TEXT(Table8[[#This Row],[Date Day]],"mmm,YYYY")</f>
        <v>Feb,2011</v>
      </c>
    </row>
    <row r="854" spans="1:19" ht="15.6" x14ac:dyDescent="0.3">
      <c r="A854" s="62">
        <v>821</v>
      </c>
      <c r="B854" s="63">
        <v>40579</v>
      </c>
      <c r="C854" s="64">
        <v>15</v>
      </c>
      <c r="D854" s="64" t="b">
        <f>IF(COUNTIF(AU$36:AU$52,Table8[[#This Row],[Date Day]]) &gt; 0, TRUE, FALSE)</f>
        <v>0</v>
      </c>
      <c r="E854" s="64">
        <f t="shared" si="24"/>
        <v>6</v>
      </c>
      <c r="F854" s="64">
        <v>1</v>
      </c>
      <c r="G854" s="65" t="str">
        <f>IF(Table8[[#This Row],[Weathersit]]=1, "BAD", IF(Table8[[#This Row],[Weathersit]]=2, "MODERATE", IF(Table8[[#This Row],[Weathersit]]=3, "GOOD")))</f>
        <v>BAD</v>
      </c>
      <c r="H854" s="64">
        <v>34</v>
      </c>
      <c r="I854" s="65" t="str">
        <f>IF(Table8[[#This Row],[Temp]]&lt;11, "COLD", IF(Table8[[#This Row],[Temp]]&lt;=25, "COMFORTABLE", "WARM"))</f>
        <v>WARM</v>
      </c>
      <c r="J854" s="64">
        <v>0.34849999999999998</v>
      </c>
      <c r="K854" s="64">
        <v>0.46</v>
      </c>
      <c r="L854" s="66">
        <v>8.9599999999999991</v>
      </c>
      <c r="M854" s="75" t="s">
        <v>80</v>
      </c>
      <c r="N854" s="64">
        <v>52</v>
      </c>
      <c r="O854" s="64">
        <v>130</v>
      </c>
      <c r="P854" s="64">
        <v>182</v>
      </c>
      <c r="Q854" s="64"/>
      <c r="R854" s="65" t="str">
        <f t="shared" si="25"/>
        <v>Week 1</v>
      </c>
      <c r="S854" s="65" t="str">
        <f>TEXT(Table8[[#This Row],[Date Day]],"mmm,YYYY")</f>
        <v>Feb,2011</v>
      </c>
    </row>
    <row r="855" spans="1:19" ht="15.6" x14ac:dyDescent="0.3">
      <c r="A855" s="62">
        <v>822</v>
      </c>
      <c r="B855" s="63">
        <v>40579</v>
      </c>
      <c r="C855" s="64">
        <v>16</v>
      </c>
      <c r="D855" s="64" t="b">
        <f>IF(COUNTIF(AU$36:AU$52,Table8[[#This Row],[Date Day]]) &gt; 0, TRUE, FALSE)</f>
        <v>0</v>
      </c>
      <c r="E855" s="64">
        <f t="shared" si="24"/>
        <v>6</v>
      </c>
      <c r="F855" s="64">
        <v>1</v>
      </c>
      <c r="G855" s="65" t="str">
        <f>IF(Table8[[#This Row],[Weathersit]]=1, "BAD", IF(Table8[[#This Row],[Weathersit]]=2, "MODERATE", IF(Table8[[#This Row],[Weathersit]]=3, "GOOD")))</f>
        <v>BAD</v>
      </c>
      <c r="H855" s="64">
        <v>34</v>
      </c>
      <c r="I855" s="65" t="str">
        <f>IF(Table8[[#This Row],[Temp]]&lt;11, "COLD", IF(Table8[[#This Row],[Temp]]&lt;=25, "COMFORTABLE", "WARM"))</f>
        <v>WARM</v>
      </c>
      <c r="J855" s="64">
        <v>0.34849999999999998</v>
      </c>
      <c r="K855" s="64">
        <v>0.49</v>
      </c>
      <c r="L855" s="66">
        <v>10.45</v>
      </c>
      <c r="M855" s="75" t="s">
        <v>80</v>
      </c>
      <c r="N855" s="64">
        <v>42</v>
      </c>
      <c r="O855" s="64">
        <v>115</v>
      </c>
      <c r="P855" s="64">
        <v>157</v>
      </c>
      <c r="Q855" s="64"/>
      <c r="R855" s="65" t="str">
        <f t="shared" si="25"/>
        <v>Week 1</v>
      </c>
      <c r="S855" s="65" t="str">
        <f>TEXT(Table8[[#This Row],[Date Day]],"mmm,YYYY")</f>
        <v>Feb,2011</v>
      </c>
    </row>
    <row r="856" spans="1:19" ht="15.6" x14ac:dyDescent="0.3">
      <c r="A856" s="62">
        <v>823</v>
      </c>
      <c r="B856" s="63">
        <v>40579</v>
      </c>
      <c r="C856" s="64">
        <v>17</v>
      </c>
      <c r="D856" s="64" t="b">
        <f>IF(COUNTIF(AU$36:AU$52,Table8[[#This Row],[Date Day]]) &gt; 0, TRUE, FALSE)</f>
        <v>0</v>
      </c>
      <c r="E856" s="64">
        <f t="shared" si="24"/>
        <v>6</v>
      </c>
      <c r="F856" s="64">
        <v>1</v>
      </c>
      <c r="G856" s="65" t="str">
        <f>IF(Table8[[#This Row],[Weathersit]]=1, "BAD", IF(Table8[[#This Row],[Weathersit]]=2, "MODERATE", IF(Table8[[#This Row],[Weathersit]]=3, "GOOD")))</f>
        <v>BAD</v>
      </c>
      <c r="H856" s="64">
        <v>34</v>
      </c>
      <c r="I856" s="65" t="str">
        <f>IF(Table8[[#This Row],[Temp]]&lt;11, "COLD", IF(Table8[[#This Row],[Temp]]&lt;=25, "COMFORTABLE", "WARM"))</f>
        <v>WARM</v>
      </c>
      <c r="J856" s="64">
        <v>0.36359999999999998</v>
      </c>
      <c r="K856" s="64">
        <v>0.46</v>
      </c>
      <c r="L856" s="66">
        <v>17.94158974358977</v>
      </c>
      <c r="M856" s="75" t="s">
        <v>80</v>
      </c>
      <c r="N856" s="64">
        <v>24</v>
      </c>
      <c r="O856" s="64">
        <v>97</v>
      </c>
      <c r="P856" s="64">
        <v>121</v>
      </c>
      <c r="Q856" s="64"/>
      <c r="R856" s="65" t="str">
        <f t="shared" si="25"/>
        <v>Week 1</v>
      </c>
      <c r="S856" s="65" t="str">
        <f>TEXT(Table8[[#This Row],[Date Day]],"mmm,YYYY")</f>
        <v>Feb,2011</v>
      </c>
    </row>
    <row r="857" spans="1:19" ht="15.6" x14ac:dyDescent="0.3">
      <c r="A857" s="62">
        <v>824</v>
      </c>
      <c r="B857" s="63">
        <v>40579</v>
      </c>
      <c r="C857" s="64">
        <v>18</v>
      </c>
      <c r="D857" s="64" t="b">
        <f>IF(COUNTIF(AU$36:AU$52,Table8[[#This Row],[Date Day]]) &gt; 0, TRUE, FALSE)</f>
        <v>0</v>
      </c>
      <c r="E857" s="64">
        <f t="shared" si="24"/>
        <v>6</v>
      </c>
      <c r="F857" s="64">
        <v>1</v>
      </c>
      <c r="G857" s="65" t="str">
        <f>IF(Table8[[#This Row],[Weathersit]]=1, "BAD", IF(Table8[[#This Row],[Weathersit]]=2, "MODERATE", IF(Table8[[#This Row],[Weathersit]]=3, "GOOD")))</f>
        <v>BAD</v>
      </c>
      <c r="H857" s="64">
        <v>30</v>
      </c>
      <c r="I857" s="65" t="str">
        <f>IF(Table8[[#This Row],[Temp]]&lt;11, "COLD", IF(Table8[[#This Row],[Temp]]&lt;=25, "COMFORTABLE", "WARM"))</f>
        <v>WARM</v>
      </c>
      <c r="J857" s="64">
        <v>0.30299999999999999</v>
      </c>
      <c r="K857" s="64">
        <v>0.56000000000000005</v>
      </c>
      <c r="L857" s="66">
        <v>16.420000000000002</v>
      </c>
      <c r="M857" s="75" t="s">
        <v>80</v>
      </c>
      <c r="N857" s="64">
        <v>13</v>
      </c>
      <c r="O857" s="64">
        <v>65</v>
      </c>
      <c r="P857" s="64">
        <v>78</v>
      </c>
      <c r="Q857" s="64"/>
      <c r="R857" s="65" t="str">
        <f t="shared" si="25"/>
        <v>Week 1</v>
      </c>
      <c r="S857" s="65" t="str">
        <f>TEXT(Table8[[#This Row],[Date Day]],"mmm,YYYY")</f>
        <v>Feb,2011</v>
      </c>
    </row>
    <row r="858" spans="1:19" ht="15.6" x14ac:dyDescent="0.3">
      <c r="A858" s="62">
        <v>825</v>
      </c>
      <c r="B858" s="63">
        <v>40579</v>
      </c>
      <c r="C858" s="64">
        <v>19</v>
      </c>
      <c r="D858" s="64" t="b">
        <f>IF(COUNTIF(AU$36:AU$52,Table8[[#This Row],[Date Day]]) &gt; 0, TRUE, FALSE)</f>
        <v>0</v>
      </c>
      <c r="E858" s="64">
        <f t="shared" si="24"/>
        <v>6</v>
      </c>
      <c r="F858" s="64">
        <v>1</v>
      </c>
      <c r="G858" s="65" t="str">
        <f>IF(Table8[[#This Row],[Weathersit]]=1, "BAD", IF(Table8[[#This Row],[Weathersit]]=2, "MODERATE", IF(Table8[[#This Row],[Weathersit]]=3, "GOOD")))</f>
        <v>BAD</v>
      </c>
      <c r="H858" s="64">
        <v>28.000000000000004</v>
      </c>
      <c r="I858" s="65" t="str">
        <f>IF(Table8[[#This Row],[Temp]]&lt;11, "COLD", IF(Table8[[#This Row],[Temp]]&lt;=25, "COMFORTABLE", "WARM"))</f>
        <v>WARM</v>
      </c>
      <c r="J858" s="64">
        <v>0.28789999999999999</v>
      </c>
      <c r="K858" s="64">
        <v>0.61</v>
      </c>
      <c r="L858" s="66">
        <v>13.43</v>
      </c>
      <c r="M858" s="75" t="s">
        <v>80</v>
      </c>
      <c r="N858" s="64">
        <v>1</v>
      </c>
      <c r="O858" s="64">
        <v>20</v>
      </c>
      <c r="P858" s="64">
        <v>21</v>
      </c>
      <c r="Q858" s="64"/>
      <c r="R858" s="65" t="str">
        <f t="shared" si="25"/>
        <v>Week 1</v>
      </c>
      <c r="S858" s="65" t="str">
        <f>TEXT(Table8[[#This Row],[Date Day]],"mmm,YYYY")</f>
        <v>Feb,2011</v>
      </c>
    </row>
    <row r="859" spans="1:19" ht="15.6" x14ac:dyDescent="0.3">
      <c r="A859" s="62">
        <v>826</v>
      </c>
      <c r="B859" s="63">
        <v>40579</v>
      </c>
      <c r="C859" s="64">
        <v>20</v>
      </c>
      <c r="D859" s="64" t="b">
        <f>IF(COUNTIF(AU$36:AU$52,Table8[[#This Row],[Date Day]]) &gt; 0, TRUE, FALSE)</f>
        <v>0</v>
      </c>
      <c r="E859" s="64">
        <f t="shared" si="24"/>
        <v>6</v>
      </c>
      <c r="F859" s="64">
        <v>1</v>
      </c>
      <c r="G859" s="65" t="str">
        <f>IF(Table8[[#This Row],[Weathersit]]=1, "BAD", IF(Table8[[#This Row],[Weathersit]]=2, "MODERATE", IF(Table8[[#This Row],[Weathersit]]=3, "GOOD")))</f>
        <v>BAD</v>
      </c>
      <c r="H859" s="64">
        <v>28.000000000000004</v>
      </c>
      <c r="I859" s="65" t="str">
        <f>IF(Table8[[#This Row],[Temp]]&lt;11, "COLD", IF(Table8[[#This Row],[Temp]]&lt;=25, "COMFORTABLE", "WARM"))</f>
        <v>WARM</v>
      </c>
      <c r="J859" s="64">
        <v>0.28789999999999999</v>
      </c>
      <c r="K859" s="64">
        <v>0.61</v>
      </c>
      <c r="L859" s="66">
        <v>10.45</v>
      </c>
      <c r="M859" s="75" t="s">
        <v>80</v>
      </c>
      <c r="N859" s="64">
        <v>5</v>
      </c>
      <c r="O859" s="64">
        <v>21</v>
      </c>
      <c r="P859" s="64">
        <v>26</v>
      </c>
      <c r="Q859" s="64"/>
      <c r="R859" s="65" t="str">
        <f t="shared" si="25"/>
        <v>Week 1</v>
      </c>
      <c r="S859" s="65" t="str">
        <f>TEXT(Table8[[#This Row],[Date Day]],"mmm,YYYY")</f>
        <v>Feb,2011</v>
      </c>
    </row>
    <row r="860" spans="1:19" ht="15.6" x14ac:dyDescent="0.3">
      <c r="A860" s="62">
        <v>827</v>
      </c>
      <c r="B860" s="63">
        <v>40579</v>
      </c>
      <c r="C860" s="64">
        <v>21</v>
      </c>
      <c r="D860" s="64" t="b">
        <f>IF(COUNTIF(AU$36:AU$52,Table8[[#This Row],[Date Day]]) &gt; 0, TRUE, FALSE)</f>
        <v>0</v>
      </c>
      <c r="E860" s="64">
        <f t="shared" si="24"/>
        <v>6</v>
      </c>
      <c r="F860" s="64">
        <v>1</v>
      </c>
      <c r="G860" s="65" t="str">
        <f>IF(Table8[[#This Row],[Weathersit]]=1, "BAD", IF(Table8[[#This Row],[Weathersit]]=2, "MODERATE", IF(Table8[[#This Row],[Weathersit]]=3, "GOOD")))</f>
        <v>BAD</v>
      </c>
      <c r="H860" s="64">
        <v>26</v>
      </c>
      <c r="I860" s="65" t="str">
        <f>IF(Table8[[#This Row],[Temp]]&lt;11, "COLD", IF(Table8[[#This Row],[Temp]]&lt;=25, "COMFORTABLE", "WARM"))</f>
        <v>WARM</v>
      </c>
      <c r="J860" s="64">
        <v>0.30299999999999999</v>
      </c>
      <c r="K860" s="64">
        <v>0.6</v>
      </c>
      <c r="L860" s="66">
        <v>17.94158974358977</v>
      </c>
      <c r="M860" s="75" t="s">
        <v>80</v>
      </c>
      <c r="N860" s="64">
        <v>5</v>
      </c>
      <c r="O860" s="64">
        <v>22</v>
      </c>
      <c r="P860" s="64">
        <v>27</v>
      </c>
      <c r="Q860" s="64"/>
      <c r="R860" s="65" t="str">
        <f t="shared" si="25"/>
        <v>Week 1</v>
      </c>
      <c r="S860" s="65" t="str">
        <f>TEXT(Table8[[#This Row],[Date Day]],"mmm,YYYY")</f>
        <v>Feb,2011</v>
      </c>
    </row>
    <row r="861" spans="1:19" ht="15.6" x14ac:dyDescent="0.3">
      <c r="A861" s="62">
        <v>828</v>
      </c>
      <c r="B861" s="63">
        <v>40579</v>
      </c>
      <c r="C861" s="64">
        <v>22</v>
      </c>
      <c r="D861" s="64" t="b">
        <f>IF(COUNTIF(AU$36:AU$52,Table8[[#This Row],[Date Day]]) &gt; 0, TRUE, FALSE)</f>
        <v>0</v>
      </c>
      <c r="E861" s="64">
        <f t="shared" si="24"/>
        <v>6</v>
      </c>
      <c r="F861" s="64">
        <v>1</v>
      </c>
      <c r="G861" s="65" t="str">
        <f>IF(Table8[[#This Row],[Weathersit]]=1, "BAD", IF(Table8[[#This Row],[Weathersit]]=2, "MODERATE", IF(Table8[[#This Row],[Weathersit]]=3, "GOOD")))</f>
        <v>BAD</v>
      </c>
      <c r="H861" s="64">
        <v>26</v>
      </c>
      <c r="I861" s="65" t="str">
        <f>IF(Table8[[#This Row],[Temp]]&lt;11, "COLD", IF(Table8[[#This Row],[Temp]]&lt;=25, "COMFORTABLE", "WARM"))</f>
        <v>WARM</v>
      </c>
      <c r="J861" s="64">
        <v>0.30299999999999999</v>
      </c>
      <c r="K861" s="64">
        <v>0.6</v>
      </c>
      <c r="L861" s="66">
        <v>17.94158974358977</v>
      </c>
      <c r="M861" s="75" t="s">
        <v>80</v>
      </c>
      <c r="N861" s="64">
        <v>5</v>
      </c>
      <c r="O861" s="64">
        <v>57</v>
      </c>
      <c r="P861" s="64">
        <v>62</v>
      </c>
      <c r="Q861" s="64"/>
      <c r="R861" s="65" t="str">
        <f t="shared" si="25"/>
        <v>Week 1</v>
      </c>
      <c r="S861" s="65" t="str">
        <f>TEXT(Table8[[#This Row],[Date Day]],"mmm,YYYY")</f>
        <v>Feb,2011</v>
      </c>
    </row>
    <row r="862" spans="1:19" ht="15.6" x14ac:dyDescent="0.3">
      <c r="A862" s="62">
        <v>829</v>
      </c>
      <c r="B862" s="63">
        <v>40579</v>
      </c>
      <c r="C862" s="64">
        <v>23</v>
      </c>
      <c r="D862" s="64" t="b">
        <f>IF(COUNTIF(AU$36:AU$52,Table8[[#This Row],[Date Day]]) &gt; 0, TRUE, FALSE)</f>
        <v>0</v>
      </c>
      <c r="E862" s="64">
        <f t="shared" si="24"/>
        <v>6</v>
      </c>
      <c r="F862" s="64">
        <v>1</v>
      </c>
      <c r="G862" s="65" t="str">
        <f>IF(Table8[[#This Row],[Weathersit]]=1, "BAD", IF(Table8[[#This Row],[Weathersit]]=2, "MODERATE", IF(Table8[[#This Row],[Weathersit]]=3, "GOOD")))</f>
        <v>BAD</v>
      </c>
      <c r="H862" s="64">
        <v>24</v>
      </c>
      <c r="I862" s="65" t="str">
        <f>IF(Table8[[#This Row],[Temp]]&lt;11, "COLD", IF(Table8[[#This Row],[Temp]]&lt;=25, "COMFORTABLE", "WARM"))</f>
        <v>COMFORTABLE</v>
      </c>
      <c r="J862" s="64">
        <v>0.28789999999999999</v>
      </c>
      <c r="K862" s="64">
        <v>0.65</v>
      </c>
      <c r="L862" s="66">
        <v>17.94158974358977</v>
      </c>
      <c r="M862" s="75" t="s">
        <v>80</v>
      </c>
      <c r="N862" s="64">
        <v>4</v>
      </c>
      <c r="O862" s="64">
        <v>26</v>
      </c>
      <c r="P862" s="64">
        <v>30</v>
      </c>
      <c r="Q862" s="64"/>
      <c r="R862" s="65" t="str">
        <f t="shared" si="25"/>
        <v>Week 1</v>
      </c>
      <c r="S862" s="65" t="str">
        <f>TEXT(Table8[[#This Row],[Date Day]],"mmm,YYYY")</f>
        <v>Feb,2011</v>
      </c>
    </row>
    <row r="863" spans="1:19" ht="15.6" x14ac:dyDescent="0.3">
      <c r="A863" s="62">
        <v>830</v>
      </c>
      <c r="B863" s="63">
        <v>40580</v>
      </c>
      <c r="C863" s="64">
        <v>0</v>
      </c>
      <c r="D863" s="64" t="b">
        <f>IF(COUNTIF(AU$36:AU$52,Table8[[#This Row],[Date Day]]) &gt; 0, TRUE, FALSE)</f>
        <v>0</v>
      </c>
      <c r="E863" s="64">
        <f t="shared" si="24"/>
        <v>7</v>
      </c>
      <c r="F863" s="64">
        <v>1</v>
      </c>
      <c r="G863" s="65" t="str">
        <f>IF(Table8[[#This Row],[Weathersit]]=1, "BAD", IF(Table8[[#This Row],[Weathersit]]=2, "MODERATE", IF(Table8[[#This Row],[Weathersit]]=3, "GOOD")))</f>
        <v>BAD</v>
      </c>
      <c r="H863" s="64">
        <v>24</v>
      </c>
      <c r="I863" s="65" t="str">
        <f>IF(Table8[[#This Row],[Temp]]&lt;11, "COLD", IF(Table8[[#This Row],[Temp]]&lt;=25, "COMFORTABLE", "WARM"))</f>
        <v>COMFORTABLE</v>
      </c>
      <c r="J863" s="64">
        <v>0.28789999999999999</v>
      </c>
      <c r="K863" s="64">
        <v>0.65</v>
      </c>
      <c r="L863" s="66">
        <v>17.94158974358977</v>
      </c>
      <c r="M863" s="75" t="s">
        <v>80</v>
      </c>
      <c r="N863" s="64">
        <v>1</v>
      </c>
      <c r="O863" s="64">
        <v>14</v>
      </c>
      <c r="P863" s="64">
        <v>15</v>
      </c>
      <c r="Q863" s="64"/>
      <c r="R863" s="65" t="str">
        <f t="shared" si="25"/>
        <v>Week 1</v>
      </c>
      <c r="S863" s="65" t="str">
        <f>TEXT(Table8[[#This Row],[Date Day]],"mmm,YYYY")</f>
        <v>Feb,2011</v>
      </c>
    </row>
    <row r="864" spans="1:19" ht="15.6" x14ac:dyDescent="0.3">
      <c r="A864" s="62">
        <v>831</v>
      </c>
      <c r="B864" s="63">
        <v>40580</v>
      </c>
      <c r="C864" s="64">
        <v>1</v>
      </c>
      <c r="D864" s="64" t="b">
        <f>IF(COUNTIF(AU$36:AU$52,Table8[[#This Row],[Date Day]]) &gt; 0, TRUE, FALSE)</f>
        <v>0</v>
      </c>
      <c r="E864" s="64">
        <f t="shared" si="24"/>
        <v>7</v>
      </c>
      <c r="F864" s="64">
        <v>1</v>
      </c>
      <c r="G864" s="65" t="str">
        <f>IF(Table8[[#This Row],[Weathersit]]=1, "BAD", IF(Table8[[#This Row],[Weathersit]]=2, "MODERATE", IF(Table8[[#This Row],[Weathersit]]=3, "GOOD")))</f>
        <v>BAD</v>
      </c>
      <c r="H864" s="64">
        <v>22</v>
      </c>
      <c r="I864" s="65" t="str">
        <f>IF(Table8[[#This Row],[Temp]]&lt;11, "COLD", IF(Table8[[#This Row],[Temp]]&lt;=25, "COMFORTABLE", "WARM"))</f>
        <v>COMFORTABLE</v>
      </c>
      <c r="J864" s="64">
        <v>0.2727</v>
      </c>
      <c r="K864" s="64">
        <v>0.75</v>
      </c>
      <c r="L864" s="66">
        <v>17.94158974358977</v>
      </c>
      <c r="M864" s="75" t="s">
        <v>80</v>
      </c>
      <c r="N864" s="64">
        <v>1</v>
      </c>
      <c r="O864" s="64">
        <v>4</v>
      </c>
      <c r="P864" s="64">
        <v>5</v>
      </c>
      <c r="Q864" s="64"/>
      <c r="R864" s="65" t="str">
        <f t="shared" si="25"/>
        <v>Week 1</v>
      </c>
      <c r="S864" s="65" t="str">
        <f>TEXT(Table8[[#This Row],[Date Day]],"mmm,YYYY")</f>
        <v>Feb,2011</v>
      </c>
    </row>
    <row r="865" spans="1:19" ht="15.6" x14ac:dyDescent="0.3">
      <c r="A865" s="62">
        <v>832</v>
      </c>
      <c r="B865" s="63">
        <v>40580</v>
      </c>
      <c r="C865" s="64">
        <v>2</v>
      </c>
      <c r="D865" s="64" t="b">
        <f>IF(COUNTIF(AU$36:AU$52,Table8[[#This Row],[Date Day]]) &gt; 0, TRUE, FALSE)</f>
        <v>0</v>
      </c>
      <c r="E865" s="64">
        <f t="shared" si="24"/>
        <v>7</v>
      </c>
      <c r="F865" s="64">
        <v>1</v>
      </c>
      <c r="G865" s="65" t="str">
        <f>IF(Table8[[#This Row],[Weathersit]]=1, "BAD", IF(Table8[[#This Row],[Weathersit]]=2, "MODERATE", IF(Table8[[#This Row],[Weathersit]]=3, "GOOD")))</f>
        <v>BAD</v>
      </c>
      <c r="H865" s="64">
        <v>20</v>
      </c>
      <c r="I865" s="65" t="str">
        <f>IF(Table8[[#This Row],[Temp]]&lt;11, "COLD", IF(Table8[[#This Row],[Temp]]&lt;=25, "COMFORTABLE", "WARM"))</f>
        <v>COMFORTABLE</v>
      </c>
      <c r="J865" s="64">
        <v>0.2576</v>
      </c>
      <c r="K865" s="64">
        <v>0.8</v>
      </c>
      <c r="L865" s="66">
        <v>17.94158974358977</v>
      </c>
      <c r="M865" s="75" t="s">
        <v>80</v>
      </c>
      <c r="N865" s="64">
        <v>0</v>
      </c>
      <c r="O865" s="64">
        <v>3</v>
      </c>
      <c r="P865" s="64">
        <v>3</v>
      </c>
      <c r="Q865" s="64"/>
      <c r="R865" s="65" t="str">
        <f t="shared" si="25"/>
        <v>Week 1</v>
      </c>
      <c r="S865" s="65" t="str">
        <f>TEXT(Table8[[#This Row],[Date Day]],"mmm,YYYY")</f>
        <v>Feb,2011</v>
      </c>
    </row>
    <row r="866" spans="1:19" ht="15.6" x14ac:dyDescent="0.3">
      <c r="A866" s="62">
        <v>833</v>
      </c>
      <c r="B866" s="63">
        <v>40580</v>
      </c>
      <c r="C866" s="64">
        <v>3</v>
      </c>
      <c r="D866" s="64" t="b">
        <f>IF(COUNTIF(AU$36:AU$52,Table8[[#This Row],[Date Day]]) &gt; 0, TRUE, FALSE)</f>
        <v>0</v>
      </c>
      <c r="E866" s="64">
        <f t="shared" ref="E866:E929" si="26">WEEKDAY(B:B,2)</f>
        <v>7</v>
      </c>
      <c r="F866" s="64">
        <v>1</v>
      </c>
      <c r="G866" s="65" t="str">
        <f>IF(Table8[[#This Row],[Weathersit]]=1, "BAD", IF(Table8[[#This Row],[Weathersit]]=2, "MODERATE", IF(Table8[[#This Row],[Weathersit]]=3, "GOOD")))</f>
        <v>BAD</v>
      </c>
      <c r="H866" s="64">
        <v>20</v>
      </c>
      <c r="I866" s="65" t="str">
        <f>IF(Table8[[#This Row],[Temp]]&lt;11, "COLD", IF(Table8[[#This Row],[Temp]]&lt;=25, "COMFORTABLE", "WARM"))</f>
        <v>COMFORTABLE</v>
      </c>
      <c r="J866" s="64">
        <v>0.2576</v>
      </c>
      <c r="K866" s="64">
        <v>0.86</v>
      </c>
      <c r="L866" s="66">
        <v>17.94158974358977</v>
      </c>
      <c r="M866" s="75" t="s">
        <v>80</v>
      </c>
      <c r="N866" s="64">
        <v>0</v>
      </c>
      <c r="O866" s="64">
        <v>1</v>
      </c>
      <c r="P866" s="64">
        <v>1</v>
      </c>
      <c r="Q866" s="64"/>
      <c r="R866" s="65" t="str">
        <f t="shared" ref="R866:R929" si="27">"Week " &amp; INT((DAY(B866)-1)/7)+1</f>
        <v>Week 1</v>
      </c>
      <c r="S866" s="65" t="str">
        <f>TEXT(Table8[[#This Row],[Date Day]],"mmm,YYYY")</f>
        <v>Feb,2011</v>
      </c>
    </row>
    <row r="867" spans="1:19" ht="15.6" x14ac:dyDescent="0.3">
      <c r="A867" s="62">
        <v>834</v>
      </c>
      <c r="B867" s="63">
        <v>40580</v>
      </c>
      <c r="C867" s="64">
        <v>4</v>
      </c>
      <c r="D867" s="64" t="b">
        <f>IF(COUNTIF(AU$36:AU$52,Table8[[#This Row],[Date Day]]) &gt; 0, TRUE, FALSE)</f>
        <v>0</v>
      </c>
      <c r="E867" s="64">
        <f t="shared" si="26"/>
        <v>7</v>
      </c>
      <c r="F867" s="64">
        <v>1</v>
      </c>
      <c r="G867" s="65" t="str">
        <f>IF(Table8[[#This Row],[Weathersit]]=1, "BAD", IF(Table8[[#This Row],[Weathersit]]=2, "MODERATE", IF(Table8[[#This Row],[Weathersit]]=3, "GOOD")))</f>
        <v>BAD</v>
      </c>
      <c r="H867" s="64">
        <v>20</v>
      </c>
      <c r="I867" s="65" t="str">
        <f>IF(Table8[[#This Row],[Temp]]&lt;11, "COLD", IF(Table8[[#This Row],[Temp]]&lt;=25, "COMFORTABLE", "WARM"))</f>
        <v>COMFORTABLE</v>
      </c>
      <c r="J867" s="64">
        <v>0.2576</v>
      </c>
      <c r="K867" s="64">
        <v>0.86</v>
      </c>
      <c r="L867" s="66">
        <v>17.94158974358977</v>
      </c>
      <c r="M867" s="75" t="s">
        <v>80</v>
      </c>
      <c r="N867" s="64">
        <v>1</v>
      </c>
      <c r="O867" s="64">
        <v>1</v>
      </c>
      <c r="P867" s="64">
        <v>2</v>
      </c>
      <c r="Q867" s="64"/>
      <c r="R867" s="65" t="str">
        <f t="shared" si="27"/>
        <v>Week 1</v>
      </c>
      <c r="S867" s="65" t="str">
        <f>TEXT(Table8[[#This Row],[Date Day]],"mmm,YYYY")</f>
        <v>Feb,2011</v>
      </c>
    </row>
    <row r="868" spans="1:19" ht="15.6" x14ac:dyDescent="0.3">
      <c r="A868" s="62">
        <v>835</v>
      </c>
      <c r="B868" s="63">
        <v>40580</v>
      </c>
      <c r="C868" s="64">
        <v>5</v>
      </c>
      <c r="D868" s="64" t="b">
        <f>IF(COUNTIF(AU$36:AU$52,Table8[[#This Row],[Date Day]]) &gt; 0, TRUE, FALSE)</f>
        <v>0</v>
      </c>
      <c r="E868" s="64">
        <f t="shared" si="26"/>
        <v>7</v>
      </c>
      <c r="F868" s="64">
        <v>1</v>
      </c>
      <c r="G868" s="65" t="str">
        <f>IF(Table8[[#This Row],[Weathersit]]=1, "BAD", IF(Table8[[#This Row],[Weathersit]]=2, "MODERATE", IF(Table8[[#This Row],[Weathersit]]=3, "GOOD")))</f>
        <v>BAD</v>
      </c>
      <c r="H868" s="64">
        <v>20</v>
      </c>
      <c r="I868" s="65" t="str">
        <f>IF(Table8[[#This Row],[Temp]]&lt;11, "COLD", IF(Table8[[#This Row],[Temp]]&lt;=25, "COMFORTABLE", "WARM"))</f>
        <v>COMFORTABLE</v>
      </c>
      <c r="J868" s="64">
        <v>0.2576</v>
      </c>
      <c r="K868" s="64">
        <v>0.86</v>
      </c>
      <c r="L868" s="66">
        <v>17.94158974358977</v>
      </c>
      <c r="M868" s="75" t="s">
        <v>80</v>
      </c>
      <c r="N868" s="64">
        <v>1</v>
      </c>
      <c r="O868" s="64">
        <v>9</v>
      </c>
      <c r="P868" s="64">
        <v>10</v>
      </c>
      <c r="Q868" s="64"/>
      <c r="R868" s="65" t="str">
        <f t="shared" si="27"/>
        <v>Week 1</v>
      </c>
      <c r="S868" s="65" t="str">
        <f>TEXT(Table8[[#This Row],[Date Day]],"mmm,YYYY")</f>
        <v>Feb,2011</v>
      </c>
    </row>
    <row r="869" spans="1:19" ht="15.6" x14ac:dyDescent="0.3">
      <c r="A869" s="62">
        <v>836</v>
      </c>
      <c r="B869" s="63">
        <v>40580</v>
      </c>
      <c r="C869" s="64">
        <v>6</v>
      </c>
      <c r="D869" s="64" t="b">
        <f>IF(COUNTIF(AU$36:AU$52,Table8[[#This Row],[Date Day]]) &gt; 0, TRUE, FALSE)</f>
        <v>0</v>
      </c>
      <c r="E869" s="64">
        <f t="shared" si="26"/>
        <v>7</v>
      </c>
      <c r="F869" s="64">
        <v>1</v>
      </c>
      <c r="G869" s="65" t="str">
        <f>IF(Table8[[#This Row],[Weathersit]]=1, "BAD", IF(Table8[[#This Row],[Weathersit]]=2, "MODERATE", IF(Table8[[#This Row],[Weathersit]]=3, "GOOD")))</f>
        <v>BAD</v>
      </c>
      <c r="H869" s="64">
        <v>18</v>
      </c>
      <c r="I869" s="65" t="str">
        <f>IF(Table8[[#This Row],[Temp]]&lt;11, "COLD", IF(Table8[[#This Row],[Temp]]&lt;=25, "COMFORTABLE", "WARM"))</f>
        <v>COMFORTABLE</v>
      </c>
      <c r="J869" s="64">
        <v>0.2424</v>
      </c>
      <c r="K869" s="64">
        <v>0.93</v>
      </c>
      <c r="L869" s="66">
        <v>17.94158974358977</v>
      </c>
      <c r="M869" s="75" t="s">
        <v>80</v>
      </c>
      <c r="N869" s="64">
        <v>1</v>
      </c>
      <c r="O869" s="64">
        <v>29</v>
      </c>
      <c r="P869" s="64">
        <v>30</v>
      </c>
      <c r="Q869" s="64"/>
      <c r="R869" s="65" t="str">
        <f t="shared" si="27"/>
        <v>Week 1</v>
      </c>
      <c r="S869" s="65" t="str">
        <f>TEXT(Table8[[#This Row],[Date Day]],"mmm,YYYY")</f>
        <v>Feb,2011</v>
      </c>
    </row>
    <row r="870" spans="1:19" ht="15.6" x14ac:dyDescent="0.3">
      <c r="A870" s="62">
        <v>837</v>
      </c>
      <c r="B870" s="63">
        <v>40580</v>
      </c>
      <c r="C870" s="64">
        <v>7</v>
      </c>
      <c r="D870" s="64" t="b">
        <f>IF(COUNTIF(AU$36:AU$52,Table8[[#This Row],[Date Day]]) &gt; 0, TRUE, FALSE)</f>
        <v>0</v>
      </c>
      <c r="E870" s="64">
        <f t="shared" si="26"/>
        <v>7</v>
      </c>
      <c r="F870" s="64">
        <v>1</v>
      </c>
      <c r="G870" s="65" t="str">
        <f>IF(Table8[[#This Row],[Weathersit]]=1, "BAD", IF(Table8[[#This Row],[Weathersit]]=2, "MODERATE", IF(Table8[[#This Row],[Weathersit]]=3, "GOOD")))</f>
        <v>BAD</v>
      </c>
      <c r="H870" s="64">
        <v>18</v>
      </c>
      <c r="I870" s="65" t="str">
        <f>IF(Table8[[#This Row],[Temp]]&lt;11, "COLD", IF(Table8[[#This Row],[Temp]]&lt;=25, "COMFORTABLE", "WARM"))</f>
        <v>COMFORTABLE</v>
      </c>
      <c r="J870" s="64">
        <v>0.2424</v>
      </c>
      <c r="K870" s="64">
        <v>0.86</v>
      </c>
      <c r="L870" s="66">
        <v>17.94158974358977</v>
      </c>
      <c r="M870" s="75" t="s">
        <v>80</v>
      </c>
      <c r="N870" s="64">
        <v>6</v>
      </c>
      <c r="O870" s="64">
        <v>89</v>
      </c>
      <c r="P870" s="64">
        <v>95</v>
      </c>
      <c r="Q870" s="64"/>
      <c r="R870" s="65" t="str">
        <f t="shared" si="27"/>
        <v>Week 1</v>
      </c>
      <c r="S870" s="65" t="str">
        <f>TEXT(Table8[[#This Row],[Date Day]],"mmm,YYYY")</f>
        <v>Feb,2011</v>
      </c>
    </row>
    <row r="871" spans="1:19" ht="15.6" x14ac:dyDescent="0.3">
      <c r="A871" s="62">
        <v>838</v>
      </c>
      <c r="B871" s="63">
        <v>40580</v>
      </c>
      <c r="C871" s="64">
        <v>8</v>
      </c>
      <c r="D871" s="64" t="b">
        <f>IF(COUNTIF(AU$36:AU$52,Table8[[#This Row],[Date Day]]) &gt; 0, TRUE, FALSE)</f>
        <v>0</v>
      </c>
      <c r="E871" s="64">
        <f t="shared" si="26"/>
        <v>7</v>
      </c>
      <c r="F871" s="64">
        <v>2</v>
      </c>
      <c r="G871" s="65" t="str">
        <f>IF(Table8[[#This Row],[Weathersit]]=1, "BAD", IF(Table8[[#This Row],[Weathersit]]=2, "MODERATE", IF(Table8[[#This Row],[Weathersit]]=3, "GOOD")))</f>
        <v>MODERATE</v>
      </c>
      <c r="H871" s="64">
        <v>16</v>
      </c>
      <c r="I871" s="65" t="str">
        <f>IF(Table8[[#This Row],[Temp]]&lt;11, "COLD", IF(Table8[[#This Row],[Temp]]&lt;=25, "COMFORTABLE", "WARM"))</f>
        <v>COMFORTABLE</v>
      </c>
      <c r="J871" s="64">
        <v>0.2273</v>
      </c>
      <c r="K871" s="64">
        <v>1</v>
      </c>
      <c r="L871" s="66">
        <v>17.94158974358977</v>
      </c>
      <c r="M871" s="75" t="s">
        <v>80</v>
      </c>
      <c r="N871" s="64">
        <v>7</v>
      </c>
      <c r="O871" s="64">
        <v>223</v>
      </c>
      <c r="P871" s="64">
        <v>230</v>
      </c>
      <c r="Q871" s="64"/>
      <c r="R871" s="65" t="str">
        <f t="shared" si="27"/>
        <v>Week 1</v>
      </c>
      <c r="S871" s="65" t="str">
        <f>TEXT(Table8[[#This Row],[Date Day]],"mmm,YYYY")</f>
        <v>Feb,2011</v>
      </c>
    </row>
    <row r="872" spans="1:19" ht="15.6" x14ac:dyDescent="0.3">
      <c r="A872" s="62">
        <v>839</v>
      </c>
      <c r="B872" s="63">
        <v>40580</v>
      </c>
      <c r="C872" s="64">
        <v>9</v>
      </c>
      <c r="D872" s="64" t="b">
        <f>IF(COUNTIF(AU$36:AU$52,Table8[[#This Row],[Date Day]]) &gt; 0, TRUE, FALSE)</f>
        <v>0</v>
      </c>
      <c r="E872" s="64">
        <f t="shared" si="26"/>
        <v>7</v>
      </c>
      <c r="F872" s="64">
        <v>1</v>
      </c>
      <c r="G872" s="65" t="str">
        <f>IF(Table8[[#This Row],[Weathersit]]=1, "BAD", IF(Table8[[#This Row],[Weathersit]]=2, "MODERATE", IF(Table8[[#This Row],[Weathersit]]=3, "GOOD")))</f>
        <v>BAD</v>
      </c>
      <c r="H872" s="64">
        <v>22</v>
      </c>
      <c r="I872" s="65" t="str">
        <f>IF(Table8[[#This Row],[Temp]]&lt;11, "COLD", IF(Table8[[#This Row],[Temp]]&lt;=25, "COMFORTABLE", "WARM"))</f>
        <v>COMFORTABLE</v>
      </c>
      <c r="J872" s="64">
        <v>0.2727</v>
      </c>
      <c r="K872" s="64">
        <v>0.8</v>
      </c>
      <c r="L872" s="66">
        <v>17.94158974358977</v>
      </c>
      <c r="M872" s="75" t="s">
        <v>80</v>
      </c>
      <c r="N872" s="64">
        <v>3</v>
      </c>
      <c r="O872" s="64">
        <v>115</v>
      </c>
      <c r="P872" s="64">
        <v>118</v>
      </c>
      <c r="Q872" s="64"/>
      <c r="R872" s="65" t="str">
        <f t="shared" si="27"/>
        <v>Week 1</v>
      </c>
      <c r="S872" s="65" t="str">
        <f>TEXT(Table8[[#This Row],[Date Day]],"mmm,YYYY")</f>
        <v>Feb,2011</v>
      </c>
    </row>
    <row r="873" spans="1:19" ht="15.6" x14ac:dyDescent="0.3">
      <c r="A873" s="62">
        <v>840</v>
      </c>
      <c r="B873" s="63">
        <v>40580</v>
      </c>
      <c r="C873" s="64">
        <v>10</v>
      </c>
      <c r="D873" s="64" t="b">
        <f>IF(COUNTIF(AU$36:AU$52,Table8[[#This Row],[Date Day]]) &gt; 0, TRUE, FALSE)</f>
        <v>0</v>
      </c>
      <c r="E873" s="64">
        <f t="shared" si="26"/>
        <v>7</v>
      </c>
      <c r="F873" s="64">
        <v>1</v>
      </c>
      <c r="G873" s="65" t="str">
        <f>IF(Table8[[#This Row],[Weathersit]]=1, "BAD", IF(Table8[[#This Row],[Weathersit]]=2, "MODERATE", IF(Table8[[#This Row],[Weathersit]]=3, "GOOD")))</f>
        <v>BAD</v>
      </c>
      <c r="H873" s="64">
        <v>24</v>
      </c>
      <c r="I873" s="65" t="str">
        <f>IF(Table8[[#This Row],[Temp]]&lt;11, "COLD", IF(Table8[[#This Row],[Temp]]&lt;=25, "COMFORTABLE", "WARM"))</f>
        <v>COMFORTABLE</v>
      </c>
      <c r="J873" s="64">
        <v>0.2576</v>
      </c>
      <c r="K873" s="64">
        <v>0.75</v>
      </c>
      <c r="L873" s="66">
        <v>10.45</v>
      </c>
      <c r="M873" s="75" t="s">
        <v>80</v>
      </c>
      <c r="N873" s="64">
        <v>6</v>
      </c>
      <c r="O873" s="64">
        <v>49</v>
      </c>
      <c r="P873" s="64">
        <v>55</v>
      </c>
      <c r="Q873" s="64"/>
      <c r="R873" s="65" t="str">
        <f t="shared" si="27"/>
        <v>Week 1</v>
      </c>
      <c r="S873" s="65" t="str">
        <f>TEXT(Table8[[#This Row],[Date Day]],"mmm,YYYY")</f>
        <v>Feb,2011</v>
      </c>
    </row>
    <row r="874" spans="1:19" ht="15.6" x14ac:dyDescent="0.3">
      <c r="A874" s="62">
        <v>841</v>
      </c>
      <c r="B874" s="63">
        <v>40580</v>
      </c>
      <c r="C874" s="64">
        <v>11</v>
      </c>
      <c r="D874" s="64" t="b">
        <f>IF(COUNTIF(AU$36:AU$52,Table8[[#This Row],[Date Day]]) &gt; 0, TRUE, FALSE)</f>
        <v>0</v>
      </c>
      <c r="E874" s="64">
        <f t="shared" si="26"/>
        <v>7</v>
      </c>
      <c r="F874" s="64">
        <v>1</v>
      </c>
      <c r="G874" s="65" t="str">
        <f>IF(Table8[[#This Row],[Weathersit]]=1, "BAD", IF(Table8[[#This Row],[Weathersit]]=2, "MODERATE", IF(Table8[[#This Row],[Weathersit]]=3, "GOOD")))</f>
        <v>BAD</v>
      </c>
      <c r="H874" s="64">
        <v>30</v>
      </c>
      <c r="I874" s="65" t="str">
        <f>IF(Table8[[#This Row],[Temp]]&lt;11, "COLD", IF(Table8[[#This Row],[Temp]]&lt;=25, "COMFORTABLE", "WARM"))</f>
        <v>WARM</v>
      </c>
      <c r="J874" s="64">
        <v>0.31819999999999998</v>
      </c>
      <c r="K874" s="64">
        <v>0.65</v>
      </c>
      <c r="L874" s="66">
        <v>8.9599999999999991</v>
      </c>
      <c r="M874" s="75" t="s">
        <v>80</v>
      </c>
      <c r="N874" s="64">
        <v>11</v>
      </c>
      <c r="O874" s="64">
        <v>36</v>
      </c>
      <c r="P874" s="64">
        <v>47</v>
      </c>
      <c r="Q874" s="64"/>
      <c r="R874" s="65" t="str">
        <f t="shared" si="27"/>
        <v>Week 1</v>
      </c>
      <c r="S874" s="65" t="str">
        <f>TEXT(Table8[[#This Row],[Date Day]],"mmm,YYYY")</f>
        <v>Feb,2011</v>
      </c>
    </row>
    <row r="875" spans="1:19" ht="15.6" x14ac:dyDescent="0.3">
      <c r="A875" s="62">
        <v>842</v>
      </c>
      <c r="B875" s="63">
        <v>40580</v>
      </c>
      <c r="C875" s="64">
        <v>12</v>
      </c>
      <c r="D875" s="64" t="b">
        <f>IF(COUNTIF(AU$36:AU$52,Table8[[#This Row],[Date Day]]) &gt; 0, TRUE, FALSE)</f>
        <v>0</v>
      </c>
      <c r="E875" s="64">
        <f t="shared" si="26"/>
        <v>7</v>
      </c>
      <c r="F875" s="64">
        <v>2</v>
      </c>
      <c r="G875" s="65" t="str">
        <f>IF(Table8[[#This Row],[Weathersit]]=1, "BAD", IF(Table8[[#This Row],[Weathersit]]=2, "MODERATE", IF(Table8[[#This Row],[Weathersit]]=3, "GOOD")))</f>
        <v>MODERATE</v>
      </c>
      <c r="H875" s="64">
        <v>32</v>
      </c>
      <c r="I875" s="65" t="str">
        <f>IF(Table8[[#This Row],[Temp]]&lt;11, "COLD", IF(Table8[[#This Row],[Temp]]&lt;=25, "COMFORTABLE", "WARM"))</f>
        <v>WARM</v>
      </c>
      <c r="J875" s="64">
        <v>0.34849999999999998</v>
      </c>
      <c r="K875" s="64">
        <v>0.62</v>
      </c>
      <c r="L875" s="66">
        <v>17.94158974358977</v>
      </c>
      <c r="M875" s="75" t="s">
        <v>80</v>
      </c>
      <c r="N875" s="64">
        <v>7</v>
      </c>
      <c r="O875" s="64">
        <v>59</v>
      </c>
      <c r="P875" s="64">
        <v>66</v>
      </c>
      <c r="Q875" s="64"/>
      <c r="R875" s="65" t="str">
        <f t="shared" si="27"/>
        <v>Week 1</v>
      </c>
      <c r="S875" s="65" t="str">
        <f>TEXT(Table8[[#This Row],[Date Day]],"mmm,YYYY")</f>
        <v>Feb,2011</v>
      </c>
    </row>
    <row r="876" spans="1:19" ht="15.6" x14ac:dyDescent="0.3">
      <c r="A876" s="62">
        <v>843</v>
      </c>
      <c r="B876" s="63">
        <v>40580</v>
      </c>
      <c r="C876" s="64">
        <v>13</v>
      </c>
      <c r="D876" s="64" t="b">
        <f>IF(COUNTIF(AU$36:AU$52,Table8[[#This Row],[Date Day]]) &gt; 0, TRUE, FALSE)</f>
        <v>0</v>
      </c>
      <c r="E876" s="64">
        <f t="shared" si="26"/>
        <v>7</v>
      </c>
      <c r="F876" s="64">
        <v>2</v>
      </c>
      <c r="G876" s="65" t="str">
        <f>IF(Table8[[#This Row],[Weathersit]]=1, "BAD", IF(Table8[[#This Row],[Weathersit]]=2, "MODERATE", IF(Table8[[#This Row],[Weathersit]]=3, "GOOD")))</f>
        <v>MODERATE</v>
      </c>
      <c r="H876" s="64">
        <v>36</v>
      </c>
      <c r="I876" s="65" t="str">
        <f>IF(Table8[[#This Row],[Temp]]&lt;11, "COLD", IF(Table8[[#This Row],[Temp]]&lt;=25, "COMFORTABLE", "WARM"))</f>
        <v>WARM</v>
      </c>
      <c r="J876" s="64">
        <v>0.36359999999999998</v>
      </c>
      <c r="K876" s="64">
        <v>0.56999999999999995</v>
      </c>
      <c r="L876" s="66">
        <v>8.9599999999999991</v>
      </c>
      <c r="M876" s="75" t="s">
        <v>80</v>
      </c>
      <c r="N876" s="64">
        <v>10</v>
      </c>
      <c r="O876" s="64">
        <v>54</v>
      </c>
      <c r="P876" s="64">
        <v>64</v>
      </c>
      <c r="Q876" s="64"/>
      <c r="R876" s="65" t="str">
        <f t="shared" si="27"/>
        <v>Week 1</v>
      </c>
      <c r="S876" s="65" t="str">
        <f>TEXT(Table8[[#This Row],[Date Day]],"mmm,YYYY")</f>
        <v>Feb,2011</v>
      </c>
    </row>
    <row r="877" spans="1:19" ht="15.6" x14ac:dyDescent="0.3">
      <c r="A877" s="62">
        <v>844</v>
      </c>
      <c r="B877" s="63">
        <v>40580</v>
      </c>
      <c r="C877" s="64">
        <v>14</v>
      </c>
      <c r="D877" s="64" t="b">
        <f>IF(COUNTIF(AU$36:AU$52,Table8[[#This Row],[Date Day]]) &gt; 0, TRUE, FALSE)</f>
        <v>0</v>
      </c>
      <c r="E877" s="64">
        <f t="shared" si="26"/>
        <v>7</v>
      </c>
      <c r="F877" s="64">
        <v>2</v>
      </c>
      <c r="G877" s="65" t="str">
        <f>IF(Table8[[#This Row],[Weathersit]]=1, "BAD", IF(Table8[[#This Row],[Weathersit]]=2, "MODERATE", IF(Table8[[#This Row],[Weathersit]]=3, "GOOD")))</f>
        <v>MODERATE</v>
      </c>
      <c r="H877" s="64">
        <v>36</v>
      </c>
      <c r="I877" s="65" t="str">
        <f>IF(Table8[[#This Row],[Temp]]&lt;11, "COLD", IF(Table8[[#This Row],[Temp]]&lt;=25, "COMFORTABLE", "WARM"))</f>
        <v>WARM</v>
      </c>
      <c r="J877" s="64">
        <v>0.36359999999999998</v>
      </c>
      <c r="K877" s="64">
        <v>0.56999999999999995</v>
      </c>
      <c r="L877" s="66">
        <v>8.9599999999999991</v>
      </c>
      <c r="M877" s="75" t="s">
        <v>80</v>
      </c>
      <c r="N877" s="64">
        <v>8</v>
      </c>
      <c r="O877" s="64">
        <v>52</v>
      </c>
      <c r="P877" s="64">
        <v>60</v>
      </c>
      <c r="Q877" s="64"/>
      <c r="R877" s="65" t="str">
        <f t="shared" si="27"/>
        <v>Week 1</v>
      </c>
      <c r="S877" s="65" t="str">
        <f>TEXT(Table8[[#This Row],[Date Day]],"mmm,YYYY")</f>
        <v>Feb,2011</v>
      </c>
    </row>
    <row r="878" spans="1:19" ht="15.6" x14ac:dyDescent="0.3">
      <c r="A878" s="62">
        <v>845</v>
      </c>
      <c r="B878" s="63">
        <v>40580</v>
      </c>
      <c r="C878" s="64">
        <v>15</v>
      </c>
      <c r="D878" s="64" t="b">
        <f>IF(COUNTIF(AU$36:AU$52,Table8[[#This Row],[Date Day]]) &gt; 0, TRUE, FALSE)</f>
        <v>0</v>
      </c>
      <c r="E878" s="64">
        <f t="shared" si="26"/>
        <v>7</v>
      </c>
      <c r="F878" s="64">
        <v>2</v>
      </c>
      <c r="G878" s="65" t="str">
        <f>IF(Table8[[#This Row],[Weathersit]]=1, "BAD", IF(Table8[[#This Row],[Weathersit]]=2, "MODERATE", IF(Table8[[#This Row],[Weathersit]]=3, "GOOD")))</f>
        <v>MODERATE</v>
      </c>
      <c r="H878" s="64">
        <v>38</v>
      </c>
      <c r="I878" s="65" t="str">
        <f>IF(Table8[[#This Row],[Temp]]&lt;11, "COLD", IF(Table8[[#This Row],[Temp]]&lt;=25, "COMFORTABLE", "WARM"))</f>
        <v>WARM</v>
      </c>
      <c r="J878" s="64">
        <v>0.39389999999999997</v>
      </c>
      <c r="K878" s="64">
        <v>0.54</v>
      </c>
      <c r="L878" s="66">
        <v>8.9599999999999991</v>
      </c>
      <c r="M878" s="75" t="s">
        <v>80</v>
      </c>
      <c r="N878" s="64">
        <v>4</v>
      </c>
      <c r="O878" s="64">
        <v>46</v>
      </c>
      <c r="P878" s="64">
        <v>50</v>
      </c>
      <c r="Q878" s="64"/>
      <c r="R878" s="65" t="str">
        <f t="shared" si="27"/>
        <v>Week 1</v>
      </c>
      <c r="S878" s="65" t="str">
        <f>TEXT(Table8[[#This Row],[Date Day]],"mmm,YYYY")</f>
        <v>Feb,2011</v>
      </c>
    </row>
    <row r="879" spans="1:19" ht="15.6" x14ac:dyDescent="0.3">
      <c r="A879" s="62">
        <v>846</v>
      </c>
      <c r="B879" s="63">
        <v>40580</v>
      </c>
      <c r="C879" s="64">
        <v>16</v>
      </c>
      <c r="D879" s="64" t="b">
        <f>IF(COUNTIF(AU$36:AU$52,Table8[[#This Row],[Date Day]]) &gt; 0, TRUE, FALSE)</f>
        <v>0</v>
      </c>
      <c r="E879" s="64">
        <f t="shared" si="26"/>
        <v>7</v>
      </c>
      <c r="F879" s="64">
        <v>2</v>
      </c>
      <c r="G879" s="65" t="str">
        <f>IF(Table8[[#This Row],[Weathersit]]=1, "BAD", IF(Table8[[#This Row],[Weathersit]]=2, "MODERATE", IF(Table8[[#This Row],[Weathersit]]=3, "GOOD")))</f>
        <v>MODERATE</v>
      </c>
      <c r="H879" s="64">
        <v>36</v>
      </c>
      <c r="I879" s="65" t="str">
        <f>IF(Table8[[#This Row],[Temp]]&lt;11, "COLD", IF(Table8[[#This Row],[Temp]]&lt;=25, "COMFORTABLE", "WARM"))</f>
        <v>WARM</v>
      </c>
      <c r="J879" s="64">
        <v>0.34849999999999998</v>
      </c>
      <c r="K879" s="64">
        <v>0.56999999999999995</v>
      </c>
      <c r="L879" s="66">
        <v>13.43</v>
      </c>
      <c r="M879" s="75" t="s">
        <v>80</v>
      </c>
      <c r="N879" s="64">
        <v>16</v>
      </c>
      <c r="O879" s="64">
        <v>98</v>
      </c>
      <c r="P879" s="64">
        <v>114</v>
      </c>
      <c r="Q879" s="64"/>
      <c r="R879" s="65" t="str">
        <f t="shared" si="27"/>
        <v>Week 1</v>
      </c>
      <c r="S879" s="65" t="str">
        <f>TEXT(Table8[[#This Row],[Date Day]],"mmm,YYYY")</f>
        <v>Feb,2011</v>
      </c>
    </row>
    <row r="880" spans="1:19" ht="15.6" x14ac:dyDescent="0.3">
      <c r="A880" s="62">
        <v>847</v>
      </c>
      <c r="B880" s="63">
        <v>40580</v>
      </c>
      <c r="C880" s="64">
        <v>17</v>
      </c>
      <c r="D880" s="64" t="b">
        <f>IF(COUNTIF(AU$36:AU$52,Table8[[#This Row],[Date Day]]) &gt; 0, TRUE, FALSE)</f>
        <v>0</v>
      </c>
      <c r="E880" s="64">
        <f t="shared" si="26"/>
        <v>7</v>
      </c>
      <c r="F880" s="64">
        <v>2</v>
      </c>
      <c r="G880" s="65" t="str">
        <f>IF(Table8[[#This Row],[Weathersit]]=1, "BAD", IF(Table8[[#This Row],[Weathersit]]=2, "MODERATE", IF(Table8[[#This Row],[Weathersit]]=3, "GOOD")))</f>
        <v>MODERATE</v>
      </c>
      <c r="H880" s="64">
        <v>32</v>
      </c>
      <c r="I880" s="65" t="str">
        <f>IF(Table8[[#This Row],[Temp]]&lt;11, "COLD", IF(Table8[[#This Row],[Temp]]&lt;=25, "COMFORTABLE", "WARM"))</f>
        <v>WARM</v>
      </c>
      <c r="J880" s="64">
        <v>0.31819999999999998</v>
      </c>
      <c r="K880" s="64">
        <v>0.7</v>
      </c>
      <c r="L880" s="66">
        <v>16.420000000000002</v>
      </c>
      <c r="M880" s="75" t="s">
        <v>80</v>
      </c>
      <c r="N880" s="64">
        <v>9</v>
      </c>
      <c r="O880" s="64">
        <v>207</v>
      </c>
      <c r="P880" s="64">
        <v>216</v>
      </c>
      <c r="Q880" s="64"/>
      <c r="R880" s="65" t="str">
        <f t="shared" si="27"/>
        <v>Week 1</v>
      </c>
      <c r="S880" s="65" t="str">
        <f>TEXT(Table8[[#This Row],[Date Day]],"mmm,YYYY")</f>
        <v>Feb,2011</v>
      </c>
    </row>
    <row r="881" spans="1:19" ht="15.6" x14ac:dyDescent="0.3">
      <c r="A881" s="62">
        <v>848</v>
      </c>
      <c r="B881" s="63">
        <v>40580</v>
      </c>
      <c r="C881" s="64">
        <v>18</v>
      </c>
      <c r="D881" s="64" t="b">
        <f>IF(COUNTIF(AU$36:AU$52,Table8[[#This Row],[Date Day]]) &gt; 0, TRUE, FALSE)</f>
        <v>0</v>
      </c>
      <c r="E881" s="64">
        <f t="shared" si="26"/>
        <v>7</v>
      </c>
      <c r="F881" s="64">
        <v>2</v>
      </c>
      <c r="G881" s="65" t="str">
        <f>IF(Table8[[#This Row],[Weathersit]]=1, "BAD", IF(Table8[[#This Row],[Weathersit]]=2, "MODERATE", IF(Table8[[#This Row],[Weathersit]]=3, "GOOD")))</f>
        <v>MODERATE</v>
      </c>
      <c r="H881" s="64">
        <v>34</v>
      </c>
      <c r="I881" s="65" t="str">
        <f>IF(Table8[[#This Row],[Temp]]&lt;11, "COLD", IF(Table8[[#This Row],[Temp]]&lt;=25, "COMFORTABLE", "WARM"))</f>
        <v>WARM</v>
      </c>
      <c r="J881" s="64">
        <v>0.33329999999999999</v>
      </c>
      <c r="K881" s="64">
        <v>0.66</v>
      </c>
      <c r="L881" s="66">
        <v>13.43</v>
      </c>
      <c r="M881" s="75" t="s">
        <v>80</v>
      </c>
      <c r="N881" s="64">
        <v>5</v>
      </c>
      <c r="O881" s="64">
        <v>170</v>
      </c>
      <c r="P881" s="64">
        <v>175</v>
      </c>
      <c r="Q881" s="64"/>
      <c r="R881" s="65" t="str">
        <f t="shared" si="27"/>
        <v>Week 1</v>
      </c>
      <c r="S881" s="65" t="str">
        <f>TEXT(Table8[[#This Row],[Date Day]],"mmm,YYYY")</f>
        <v>Feb,2011</v>
      </c>
    </row>
    <row r="882" spans="1:19" ht="15.6" x14ac:dyDescent="0.3">
      <c r="A882" s="62">
        <v>849</v>
      </c>
      <c r="B882" s="63">
        <v>40580</v>
      </c>
      <c r="C882" s="64">
        <v>19</v>
      </c>
      <c r="D882" s="64" t="b">
        <f>IF(COUNTIF(AU$36:AU$52,Table8[[#This Row],[Date Day]]) &gt; 0, TRUE, FALSE)</f>
        <v>0</v>
      </c>
      <c r="E882" s="64">
        <f t="shared" si="26"/>
        <v>7</v>
      </c>
      <c r="F882" s="64">
        <v>2</v>
      </c>
      <c r="G882" s="65" t="str">
        <f>IF(Table8[[#This Row],[Weathersit]]=1, "BAD", IF(Table8[[#This Row],[Weathersit]]=2, "MODERATE", IF(Table8[[#This Row],[Weathersit]]=3, "GOOD")))</f>
        <v>MODERATE</v>
      </c>
      <c r="H882" s="64">
        <v>32</v>
      </c>
      <c r="I882" s="65" t="str">
        <f>IF(Table8[[#This Row],[Temp]]&lt;11, "COLD", IF(Table8[[#This Row],[Temp]]&lt;=25, "COMFORTABLE", "WARM"))</f>
        <v>WARM</v>
      </c>
      <c r="J882" s="64">
        <v>0.34849999999999998</v>
      </c>
      <c r="K882" s="64">
        <v>0.7</v>
      </c>
      <c r="L882" s="66">
        <v>17.94158974358977</v>
      </c>
      <c r="M882" s="75" t="s">
        <v>80</v>
      </c>
      <c r="N882" s="64">
        <v>5</v>
      </c>
      <c r="O882" s="64">
        <v>123</v>
      </c>
      <c r="P882" s="64">
        <v>128</v>
      </c>
      <c r="Q882" s="64"/>
      <c r="R882" s="65" t="str">
        <f t="shared" si="27"/>
        <v>Week 1</v>
      </c>
      <c r="S882" s="65" t="str">
        <f>TEXT(Table8[[#This Row],[Date Day]],"mmm,YYYY")</f>
        <v>Feb,2011</v>
      </c>
    </row>
    <row r="883" spans="1:19" ht="15.6" x14ac:dyDescent="0.3">
      <c r="A883" s="62">
        <v>850</v>
      </c>
      <c r="B883" s="63">
        <v>40580</v>
      </c>
      <c r="C883" s="64">
        <v>20</v>
      </c>
      <c r="D883" s="64" t="b">
        <f>IF(COUNTIF(AU$36:AU$52,Table8[[#This Row],[Date Day]]) &gt; 0, TRUE, FALSE)</f>
        <v>0</v>
      </c>
      <c r="E883" s="64">
        <f t="shared" si="26"/>
        <v>7</v>
      </c>
      <c r="F883" s="64">
        <v>2</v>
      </c>
      <c r="G883" s="65" t="str">
        <f>IF(Table8[[#This Row],[Weathersit]]=1, "BAD", IF(Table8[[#This Row],[Weathersit]]=2, "MODERATE", IF(Table8[[#This Row],[Weathersit]]=3, "GOOD")))</f>
        <v>MODERATE</v>
      </c>
      <c r="H883" s="64">
        <v>32</v>
      </c>
      <c r="I883" s="65" t="str">
        <f>IF(Table8[[#This Row],[Temp]]&lt;11, "COLD", IF(Table8[[#This Row],[Temp]]&lt;=25, "COMFORTABLE", "WARM"))</f>
        <v>WARM</v>
      </c>
      <c r="J883" s="64">
        <v>0.33329999999999999</v>
      </c>
      <c r="K883" s="64">
        <v>0.7</v>
      </c>
      <c r="L883" s="66">
        <v>10.45</v>
      </c>
      <c r="M883" s="75" t="s">
        <v>80</v>
      </c>
      <c r="N883" s="64">
        <v>6</v>
      </c>
      <c r="O883" s="64">
        <v>82</v>
      </c>
      <c r="P883" s="64">
        <v>88</v>
      </c>
      <c r="Q883" s="64"/>
      <c r="R883" s="65" t="str">
        <f t="shared" si="27"/>
        <v>Week 1</v>
      </c>
      <c r="S883" s="65" t="str">
        <f>TEXT(Table8[[#This Row],[Date Day]],"mmm,YYYY")</f>
        <v>Feb,2011</v>
      </c>
    </row>
    <row r="884" spans="1:19" ht="15.6" x14ac:dyDescent="0.3">
      <c r="A884" s="62">
        <v>851</v>
      </c>
      <c r="B884" s="63">
        <v>40580</v>
      </c>
      <c r="C884" s="64">
        <v>21</v>
      </c>
      <c r="D884" s="64" t="b">
        <f>IF(COUNTIF(AU$36:AU$52,Table8[[#This Row],[Date Day]]) &gt; 0, TRUE, FALSE)</f>
        <v>0</v>
      </c>
      <c r="E884" s="64">
        <f t="shared" si="26"/>
        <v>7</v>
      </c>
      <c r="F884" s="64">
        <v>1</v>
      </c>
      <c r="G884" s="65" t="str">
        <f>IF(Table8[[#This Row],[Weathersit]]=1, "BAD", IF(Table8[[#This Row],[Weathersit]]=2, "MODERATE", IF(Table8[[#This Row],[Weathersit]]=3, "GOOD")))</f>
        <v>BAD</v>
      </c>
      <c r="H884" s="64">
        <v>32</v>
      </c>
      <c r="I884" s="65" t="str">
        <f>IF(Table8[[#This Row],[Temp]]&lt;11, "COLD", IF(Table8[[#This Row],[Temp]]&lt;=25, "COMFORTABLE", "WARM"))</f>
        <v>WARM</v>
      </c>
      <c r="J884" s="64">
        <v>0.34849999999999998</v>
      </c>
      <c r="K884" s="64">
        <v>0.7</v>
      </c>
      <c r="L884" s="66">
        <v>17.94158974358977</v>
      </c>
      <c r="M884" s="75" t="s">
        <v>80</v>
      </c>
      <c r="N884" s="64">
        <v>3</v>
      </c>
      <c r="O884" s="64">
        <v>75</v>
      </c>
      <c r="P884" s="64">
        <v>78</v>
      </c>
      <c r="Q884" s="64"/>
      <c r="R884" s="65" t="str">
        <f t="shared" si="27"/>
        <v>Week 1</v>
      </c>
      <c r="S884" s="65" t="str">
        <f>TEXT(Table8[[#This Row],[Date Day]],"mmm,YYYY")</f>
        <v>Feb,2011</v>
      </c>
    </row>
    <row r="885" spans="1:19" ht="15.6" x14ac:dyDescent="0.3">
      <c r="A885" s="62">
        <v>852</v>
      </c>
      <c r="B885" s="63">
        <v>40580</v>
      </c>
      <c r="C885" s="64">
        <v>22</v>
      </c>
      <c r="D885" s="64" t="b">
        <f>IF(COUNTIF(AU$36:AU$52,Table8[[#This Row],[Date Day]]) &gt; 0, TRUE, FALSE)</f>
        <v>0</v>
      </c>
      <c r="E885" s="64">
        <f t="shared" si="26"/>
        <v>7</v>
      </c>
      <c r="F885" s="64">
        <v>1</v>
      </c>
      <c r="G885" s="65" t="str">
        <f>IF(Table8[[#This Row],[Weathersit]]=1, "BAD", IF(Table8[[#This Row],[Weathersit]]=2, "MODERATE", IF(Table8[[#This Row],[Weathersit]]=3, "GOOD")))</f>
        <v>BAD</v>
      </c>
      <c r="H885" s="64">
        <v>28.000000000000004</v>
      </c>
      <c r="I885" s="65" t="str">
        <f>IF(Table8[[#This Row],[Temp]]&lt;11, "COLD", IF(Table8[[#This Row],[Temp]]&lt;=25, "COMFORTABLE", "WARM"))</f>
        <v>WARM</v>
      </c>
      <c r="J885" s="64">
        <v>0.30299999999999999</v>
      </c>
      <c r="K885" s="64">
        <v>0.81</v>
      </c>
      <c r="L885" s="66">
        <v>8.9599999999999991</v>
      </c>
      <c r="M885" s="75" t="s">
        <v>80</v>
      </c>
      <c r="N885" s="64">
        <v>3</v>
      </c>
      <c r="O885" s="64">
        <v>34</v>
      </c>
      <c r="P885" s="64">
        <v>37</v>
      </c>
      <c r="Q885" s="64"/>
      <c r="R885" s="65" t="str">
        <f t="shared" si="27"/>
        <v>Week 1</v>
      </c>
      <c r="S885" s="65" t="str">
        <f>TEXT(Table8[[#This Row],[Date Day]],"mmm,YYYY")</f>
        <v>Feb,2011</v>
      </c>
    </row>
    <row r="886" spans="1:19" ht="15.6" x14ac:dyDescent="0.3">
      <c r="A886" s="62">
        <v>853</v>
      </c>
      <c r="B886" s="63">
        <v>40580</v>
      </c>
      <c r="C886" s="64">
        <v>23</v>
      </c>
      <c r="D886" s="64" t="b">
        <f>IF(COUNTIF(AU$36:AU$52,Table8[[#This Row],[Date Day]]) &gt; 0, TRUE, FALSE)</f>
        <v>0</v>
      </c>
      <c r="E886" s="64">
        <f t="shared" si="26"/>
        <v>7</v>
      </c>
      <c r="F886" s="64">
        <v>2</v>
      </c>
      <c r="G886" s="65" t="str">
        <f>IF(Table8[[#This Row],[Weathersit]]=1, "BAD", IF(Table8[[#This Row],[Weathersit]]=2, "MODERATE", IF(Table8[[#This Row],[Weathersit]]=3, "GOOD")))</f>
        <v>MODERATE</v>
      </c>
      <c r="H886" s="64">
        <v>30</v>
      </c>
      <c r="I886" s="65" t="str">
        <f>IF(Table8[[#This Row],[Temp]]&lt;11, "COLD", IF(Table8[[#This Row],[Temp]]&lt;=25, "COMFORTABLE", "WARM"))</f>
        <v>WARM</v>
      </c>
      <c r="J886" s="64">
        <v>0.33329999999999999</v>
      </c>
      <c r="K886" s="64">
        <v>0.81</v>
      </c>
      <c r="L886" s="66">
        <v>17.94158974358977</v>
      </c>
      <c r="M886" s="75" t="s">
        <v>80</v>
      </c>
      <c r="N886" s="64">
        <v>6</v>
      </c>
      <c r="O886" s="64">
        <v>19</v>
      </c>
      <c r="P886" s="64">
        <v>25</v>
      </c>
      <c r="Q886" s="64"/>
      <c r="R886" s="65" t="str">
        <f t="shared" si="27"/>
        <v>Week 1</v>
      </c>
      <c r="S886" s="65" t="str">
        <f>TEXT(Table8[[#This Row],[Date Day]],"mmm,YYYY")</f>
        <v>Feb,2011</v>
      </c>
    </row>
    <row r="887" spans="1:19" ht="15.6" x14ac:dyDescent="0.3">
      <c r="A887" s="62">
        <v>854</v>
      </c>
      <c r="B887" s="63">
        <v>40581</v>
      </c>
      <c r="C887" s="64">
        <v>0</v>
      </c>
      <c r="D887" s="64" t="b">
        <f>IF(COUNTIF(AU$36:AU$52,Table8[[#This Row],[Date Day]]) &gt; 0, TRUE, FALSE)</f>
        <v>0</v>
      </c>
      <c r="E887" s="64">
        <f t="shared" si="26"/>
        <v>1</v>
      </c>
      <c r="F887" s="64">
        <v>2</v>
      </c>
      <c r="G887" s="65" t="str">
        <f>IF(Table8[[#This Row],[Weathersit]]=1, "BAD", IF(Table8[[#This Row],[Weathersit]]=2, "MODERATE", IF(Table8[[#This Row],[Weathersit]]=3, "GOOD")))</f>
        <v>MODERATE</v>
      </c>
      <c r="H887" s="64">
        <v>28.000000000000004</v>
      </c>
      <c r="I887" s="65" t="str">
        <f>IF(Table8[[#This Row],[Temp]]&lt;11, "COLD", IF(Table8[[#This Row],[Temp]]&lt;=25, "COMFORTABLE", "WARM"))</f>
        <v>WARM</v>
      </c>
      <c r="J887" s="64">
        <v>0.31819999999999998</v>
      </c>
      <c r="K887" s="64">
        <v>0.87</v>
      </c>
      <c r="L887" s="66">
        <v>17.94158974358977</v>
      </c>
      <c r="M887" s="75" t="s">
        <v>80</v>
      </c>
      <c r="N887" s="64">
        <v>4</v>
      </c>
      <c r="O887" s="64">
        <v>6</v>
      </c>
      <c r="P887" s="64">
        <v>10</v>
      </c>
      <c r="Q887" s="64"/>
      <c r="R887" s="65" t="str">
        <f t="shared" si="27"/>
        <v>Week 1</v>
      </c>
      <c r="S887" s="65" t="str">
        <f>TEXT(Table8[[#This Row],[Date Day]],"mmm,YYYY")</f>
        <v>Feb,2011</v>
      </c>
    </row>
    <row r="888" spans="1:19" ht="15.6" x14ac:dyDescent="0.3">
      <c r="A888" s="62">
        <v>855</v>
      </c>
      <c r="B888" s="63">
        <v>40581</v>
      </c>
      <c r="C888" s="64">
        <v>1</v>
      </c>
      <c r="D888" s="64" t="b">
        <f>IF(COUNTIF(AU$36:AU$52,Table8[[#This Row],[Date Day]]) &gt; 0, TRUE, FALSE)</f>
        <v>0</v>
      </c>
      <c r="E888" s="64">
        <f t="shared" si="26"/>
        <v>1</v>
      </c>
      <c r="F888" s="64">
        <v>2</v>
      </c>
      <c r="G888" s="65" t="str">
        <f>IF(Table8[[#This Row],[Weathersit]]=1, "BAD", IF(Table8[[#This Row],[Weathersit]]=2, "MODERATE", IF(Table8[[#This Row],[Weathersit]]=3, "GOOD")))</f>
        <v>MODERATE</v>
      </c>
      <c r="H888" s="64">
        <v>28.000000000000004</v>
      </c>
      <c r="I888" s="65" t="str">
        <f>IF(Table8[[#This Row],[Temp]]&lt;11, "COLD", IF(Table8[[#This Row],[Temp]]&lt;=25, "COMFORTABLE", "WARM"))</f>
        <v>WARM</v>
      </c>
      <c r="J888" s="64">
        <v>0.31819999999999998</v>
      </c>
      <c r="K888" s="64">
        <v>0.87</v>
      </c>
      <c r="L888" s="66">
        <v>17.94158974358977</v>
      </c>
      <c r="M888" s="75" t="s">
        <v>80</v>
      </c>
      <c r="N888" s="64">
        <v>0</v>
      </c>
      <c r="O888" s="64">
        <v>4</v>
      </c>
      <c r="P888" s="64">
        <v>4</v>
      </c>
      <c r="Q888" s="64"/>
      <c r="R888" s="65" t="str">
        <f t="shared" si="27"/>
        <v>Week 1</v>
      </c>
      <c r="S888" s="65" t="str">
        <f>TEXT(Table8[[#This Row],[Date Day]],"mmm,YYYY")</f>
        <v>Feb,2011</v>
      </c>
    </row>
    <row r="889" spans="1:19" ht="15.6" x14ac:dyDescent="0.3">
      <c r="A889" s="62">
        <v>856</v>
      </c>
      <c r="B889" s="63">
        <v>40581</v>
      </c>
      <c r="C889" s="64">
        <v>2</v>
      </c>
      <c r="D889" s="64" t="b">
        <f>IF(COUNTIF(AU$36:AU$52,Table8[[#This Row],[Date Day]]) &gt; 0, TRUE, FALSE)</f>
        <v>0</v>
      </c>
      <c r="E889" s="64">
        <f t="shared" si="26"/>
        <v>1</v>
      </c>
      <c r="F889" s="64">
        <v>2</v>
      </c>
      <c r="G889" s="65" t="str">
        <f>IF(Table8[[#This Row],[Weathersit]]=1, "BAD", IF(Table8[[#This Row],[Weathersit]]=2, "MODERATE", IF(Table8[[#This Row],[Weathersit]]=3, "GOOD")))</f>
        <v>MODERATE</v>
      </c>
      <c r="H889" s="64">
        <v>26</v>
      </c>
      <c r="I889" s="65" t="str">
        <f>IF(Table8[[#This Row],[Temp]]&lt;11, "COLD", IF(Table8[[#This Row],[Temp]]&lt;=25, "COMFORTABLE", "WARM"))</f>
        <v>WARM</v>
      </c>
      <c r="J889" s="64">
        <v>0.2727</v>
      </c>
      <c r="K889" s="64">
        <v>0.93</v>
      </c>
      <c r="L889" s="66">
        <v>10.45</v>
      </c>
      <c r="M889" s="75" t="s">
        <v>80</v>
      </c>
      <c r="N889" s="64">
        <v>1</v>
      </c>
      <c r="O889" s="64">
        <v>1</v>
      </c>
      <c r="P889" s="64">
        <v>2</v>
      </c>
      <c r="Q889" s="64"/>
      <c r="R889" s="65" t="str">
        <f t="shared" si="27"/>
        <v>Week 1</v>
      </c>
      <c r="S889" s="65" t="str">
        <f>TEXT(Table8[[#This Row],[Date Day]],"mmm,YYYY")</f>
        <v>Feb,2011</v>
      </c>
    </row>
    <row r="890" spans="1:19" ht="15.6" x14ac:dyDescent="0.3">
      <c r="A890" s="62">
        <v>857</v>
      </c>
      <c r="B890" s="63">
        <v>40581</v>
      </c>
      <c r="C890" s="64">
        <v>3</v>
      </c>
      <c r="D890" s="64" t="b">
        <f>IF(COUNTIF(AU$36:AU$52,Table8[[#This Row],[Date Day]]) &gt; 0, TRUE, FALSE)</f>
        <v>0</v>
      </c>
      <c r="E890" s="64">
        <f t="shared" si="26"/>
        <v>1</v>
      </c>
      <c r="F890" s="64">
        <v>3</v>
      </c>
      <c r="G890" s="65" t="str">
        <f>IF(Table8[[#This Row],[Weathersit]]=1, "BAD", IF(Table8[[#This Row],[Weathersit]]=2, "MODERATE", IF(Table8[[#This Row],[Weathersit]]=3, "GOOD")))</f>
        <v>GOOD</v>
      </c>
      <c r="H890" s="64">
        <v>28.000000000000004</v>
      </c>
      <c r="I890" s="65" t="str">
        <f>IF(Table8[[#This Row],[Temp]]&lt;11, "COLD", IF(Table8[[#This Row],[Temp]]&lt;=25, "COMFORTABLE", "WARM"))</f>
        <v>WARM</v>
      </c>
      <c r="J890" s="64">
        <v>0.2727</v>
      </c>
      <c r="K890" s="64">
        <v>0.93</v>
      </c>
      <c r="L890" s="66">
        <v>16.420000000000002</v>
      </c>
      <c r="M890" s="75" t="s">
        <v>80</v>
      </c>
      <c r="N890" s="64">
        <v>0</v>
      </c>
      <c r="O890" s="64">
        <v>1</v>
      </c>
      <c r="P890" s="64">
        <v>1</v>
      </c>
      <c r="Q890" s="64"/>
      <c r="R890" s="65" t="str">
        <f t="shared" si="27"/>
        <v>Week 1</v>
      </c>
      <c r="S890" s="65" t="str">
        <f>TEXT(Table8[[#This Row],[Date Day]],"mmm,YYYY")</f>
        <v>Feb,2011</v>
      </c>
    </row>
    <row r="891" spans="1:19" ht="15.6" x14ac:dyDescent="0.3">
      <c r="A891" s="62">
        <v>858</v>
      </c>
      <c r="B891" s="63">
        <v>40581</v>
      </c>
      <c r="C891" s="64">
        <v>4</v>
      </c>
      <c r="D891" s="64" t="b">
        <f>IF(COUNTIF(AU$36:AU$52,Table8[[#This Row],[Date Day]]) &gt; 0, TRUE, FALSE)</f>
        <v>0</v>
      </c>
      <c r="E891" s="64">
        <f t="shared" si="26"/>
        <v>1</v>
      </c>
      <c r="F891" s="64">
        <v>1</v>
      </c>
      <c r="G891" s="65" t="str">
        <f>IF(Table8[[#This Row],[Weathersit]]=1, "BAD", IF(Table8[[#This Row],[Weathersit]]=2, "MODERATE", IF(Table8[[#This Row],[Weathersit]]=3, "GOOD")))</f>
        <v>BAD</v>
      </c>
      <c r="H891" s="64">
        <v>26</v>
      </c>
      <c r="I891" s="65" t="str">
        <f>IF(Table8[[#This Row],[Temp]]&lt;11, "COLD", IF(Table8[[#This Row],[Temp]]&lt;=25, "COMFORTABLE", "WARM"))</f>
        <v>WARM</v>
      </c>
      <c r="J891" s="64">
        <v>0.2576</v>
      </c>
      <c r="K891" s="64">
        <v>0.93</v>
      </c>
      <c r="L891" s="66">
        <v>16.420000000000002</v>
      </c>
      <c r="M891" s="75" t="s">
        <v>80</v>
      </c>
      <c r="N891" s="64">
        <v>0</v>
      </c>
      <c r="O891" s="64">
        <v>3</v>
      </c>
      <c r="P891" s="64">
        <v>3</v>
      </c>
      <c r="Q891" s="64"/>
      <c r="R891" s="65" t="str">
        <f t="shared" si="27"/>
        <v>Week 1</v>
      </c>
      <c r="S891" s="65" t="str">
        <f>TEXT(Table8[[#This Row],[Date Day]],"mmm,YYYY")</f>
        <v>Feb,2011</v>
      </c>
    </row>
    <row r="892" spans="1:19" ht="15.6" x14ac:dyDescent="0.3">
      <c r="A892" s="62">
        <v>859</v>
      </c>
      <c r="B892" s="63">
        <v>40581</v>
      </c>
      <c r="C892" s="64">
        <v>5</v>
      </c>
      <c r="D892" s="64" t="b">
        <f>IF(COUNTIF(AU$36:AU$52,Table8[[#This Row],[Date Day]]) &gt; 0, TRUE, FALSE)</f>
        <v>0</v>
      </c>
      <c r="E892" s="64">
        <f t="shared" si="26"/>
        <v>1</v>
      </c>
      <c r="F892" s="64">
        <v>1</v>
      </c>
      <c r="G892" s="65" t="str">
        <f>IF(Table8[[#This Row],[Weathersit]]=1, "BAD", IF(Table8[[#This Row],[Weathersit]]=2, "MODERATE", IF(Table8[[#This Row],[Weathersit]]=3, "GOOD")))</f>
        <v>BAD</v>
      </c>
      <c r="H892" s="64">
        <v>26</v>
      </c>
      <c r="I892" s="65" t="str">
        <f>IF(Table8[[#This Row],[Temp]]&lt;11, "COLD", IF(Table8[[#This Row],[Temp]]&lt;=25, "COMFORTABLE", "WARM"))</f>
        <v>WARM</v>
      </c>
      <c r="J892" s="64">
        <v>0.2273</v>
      </c>
      <c r="K892" s="64">
        <v>0.81</v>
      </c>
      <c r="L892" s="66">
        <v>32.840000000000003</v>
      </c>
      <c r="M892" s="75" t="s">
        <v>84</v>
      </c>
      <c r="N892" s="64">
        <v>0</v>
      </c>
      <c r="O892" s="64">
        <v>2</v>
      </c>
      <c r="P892" s="64">
        <v>2</v>
      </c>
      <c r="Q892" s="64"/>
      <c r="R892" s="65" t="str">
        <f t="shared" si="27"/>
        <v>Week 1</v>
      </c>
      <c r="S892" s="65" t="str">
        <f>TEXT(Table8[[#This Row],[Date Day]],"mmm,YYYY")</f>
        <v>Feb,2011</v>
      </c>
    </row>
    <row r="893" spans="1:19" ht="15.6" x14ac:dyDescent="0.3">
      <c r="A893" s="62">
        <v>860</v>
      </c>
      <c r="B893" s="63">
        <v>40581</v>
      </c>
      <c r="C893" s="64">
        <v>6</v>
      </c>
      <c r="D893" s="64" t="b">
        <f>IF(COUNTIF(AU$36:AU$52,Table8[[#This Row],[Date Day]]) &gt; 0, TRUE, FALSE)</f>
        <v>0</v>
      </c>
      <c r="E893" s="64">
        <f t="shared" si="26"/>
        <v>1</v>
      </c>
      <c r="F893" s="64">
        <v>1</v>
      </c>
      <c r="G893" s="65" t="str">
        <f>IF(Table8[[#This Row],[Weathersit]]=1, "BAD", IF(Table8[[#This Row],[Weathersit]]=2, "MODERATE", IF(Table8[[#This Row],[Weathersit]]=3, "GOOD")))</f>
        <v>BAD</v>
      </c>
      <c r="H893" s="64">
        <v>26</v>
      </c>
      <c r="I893" s="65" t="str">
        <f>IF(Table8[[#This Row],[Temp]]&lt;11, "COLD", IF(Table8[[#This Row],[Temp]]&lt;=25, "COMFORTABLE", "WARM"))</f>
        <v>WARM</v>
      </c>
      <c r="J893" s="64">
        <v>0.2273</v>
      </c>
      <c r="K893" s="64">
        <v>0.7</v>
      </c>
      <c r="L893" s="66">
        <v>32.840000000000003</v>
      </c>
      <c r="M893" s="75" t="s">
        <v>84</v>
      </c>
      <c r="N893" s="64">
        <v>0</v>
      </c>
      <c r="O893" s="64">
        <v>39</v>
      </c>
      <c r="P893" s="64">
        <v>39</v>
      </c>
      <c r="Q893" s="64"/>
      <c r="R893" s="65" t="str">
        <f t="shared" si="27"/>
        <v>Week 1</v>
      </c>
      <c r="S893" s="65" t="str">
        <f>TEXT(Table8[[#This Row],[Date Day]],"mmm,YYYY")</f>
        <v>Feb,2011</v>
      </c>
    </row>
    <row r="894" spans="1:19" ht="15.6" x14ac:dyDescent="0.3">
      <c r="A894" s="62">
        <v>861</v>
      </c>
      <c r="B894" s="63">
        <v>40581</v>
      </c>
      <c r="C894" s="64">
        <v>7</v>
      </c>
      <c r="D894" s="64" t="b">
        <f>IF(COUNTIF(AU$36:AU$52,Table8[[#This Row],[Date Day]]) &gt; 0, TRUE, FALSE)</f>
        <v>0</v>
      </c>
      <c r="E894" s="64">
        <f t="shared" si="26"/>
        <v>1</v>
      </c>
      <c r="F894" s="64">
        <v>1</v>
      </c>
      <c r="G894" s="65" t="str">
        <f>IF(Table8[[#This Row],[Weathersit]]=1, "BAD", IF(Table8[[#This Row],[Weathersit]]=2, "MODERATE", IF(Table8[[#This Row],[Weathersit]]=3, "GOOD")))</f>
        <v>BAD</v>
      </c>
      <c r="H894" s="64">
        <v>24</v>
      </c>
      <c r="I894" s="65" t="str">
        <f>IF(Table8[[#This Row],[Temp]]&lt;11, "COLD", IF(Table8[[#This Row],[Temp]]&lt;=25, "COMFORTABLE", "WARM"))</f>
        <v>COMFORTABLE</v>
      </c>
      <c r="J894" s="64">
        <v>0.19700000000000001</v>
      </c>
      <c r="K894" s="64">
        <v>0.65</v>
      </c>
      <c r="L894" s="66">
        <v>41.79</v>
      </c>
      <c r="M894" s="75" t="s">
        <v>84</v>
      </c>
      <c r="N894" s="64">
        <v>3</v>
      </c>
      <c r="O894" s="64">
        <v>97</v>
      </c>
      <c r="P894" s="64">
        <v>100</v>
      </c>
      <c r="Q894" s="64"/>
      <c r="R894" s="65" t="str">
        <f t="shared" si="27"/>
        <v>Week 1</v>
      </c>
      <c r="S894" s="65" t="str">
        <f>TEXT(Table8[[#This Row],[Date Day]],"mmm,YYYY")</f>
        <v>Feb,2011</v>
      </c>
    </row>
    <row r="895" spans="1:19" ht="15.6" x14ac:dyDescent="0.3">
      <c r="A895" s="62">
        <v>862</v>
      </c>
      <c r="B895" s="63">
        <v>40581</v>
      </c>
      <c r="C895" s="64">
        <v>8</v>
      </c>
      <c r="D895" s="64" t="b">
        <f>IF(COUNTIF(AU$36:AU$52,Table8[[#This Row],[Date Day]]) &gt; 0, TRUE, FALSE)</f>
        <v>0</v>
      </c>
      <c r="E895" s="64">
        <f t="shared" si="26"/>
        <v>1</v>
      </c>
      <c r="F895" s="64">
        <v>1</v>
      </c>
      <c r="G895" s="65" t="str">
        <f>IF(Table8[[#This Row],[Weathersit]]=1, "BAD", IF(Table8[[#This Row],[Weathersit]]=2, "MODERATE", IF(Table8[[#This Row],[Weathersit]]=3, "GOOD")))</f>
        <v>BAD</v>
      </c>
      <c r="H895" s="64">
        <v>24</v>
      </c>
      <c r="I895" s="65" t="str">
        <f>IF(Table8[[#This Row],[Temp]]&lt;11, "COLD", IF(Table8[[#This Row],[Temp]]&lt;=25, "COMFORTABLE", "WARM"))</f>
        <v>COMFORTABLE</v>
      </c>
      <c r="J895" s="64">
        <v>0.19700000000000001</v>
      </c>
      <c r="K895" s="64">
        <v>0.56000000000000005</v>
      </c>
      <c r="L895" s="66">
        <v>49.25</v>
      </c>
      <c r="M895" s="75" t="s">
        <v>84</v>
      </c>
      <c r="N895" s="64">
        <v>7</v>
      </c>
      <c r="O895" s="64">
        <v>236</v>
      </c>
      <c r="P895" s="64">
        <v>243</v>
      </c>
      <c r="Q895" s="64"/>
      <c r="R895" s="65" t="str">
        <f t="shared" si="27"/>
        <v>Week 1</v>
      </c>
      <c r="S895" s="65" t="str">
        <f>TEXT(Table8[[#This Row],[Date Day]],"mmm,YYYY")</f>
        <v>Feb,2011</v>
      </c>
    </row>
    <row r="896" spans="1:19" ht="15.6" x14ac:dyDescent="0.3">
      <c r="A896" s="62">
        <v>863</v>
      </c>
      <c r="B896" s="63">
        <v>40581</v>
      </c>
      <c r="C896" s="64">
        <v>9</v>
      </c>
      <c r="D896" s="64" t="b">
        <f>IF(COUNTIF(AU$36:AU$52,Table8[[#This Row],[Date Day]]) &gt; 0, TRUE, FALSE)</f>
        <v>0</v>
      </c>
      <c r="E896" s="64">
        <f t="shared" si="26"/>
        <v>1</v>
      </c>
      <c r="F896" s="64">
        <v>1</v>
      </c>
      <c r="G896" s="65" t="str">
        <f>IF(Table8[[#This Row],[Weathersit]]=1, "BAD", IF(Table8[[#This Row],[Weathersit]]=2, "MODERATE", IF(Table8[[#This Row],[Weathersit]]=3, "GOOD")))</f>
        <v>BAD</v>
      </c>
      <c r="H896" s="64">
        <v>24</v>
      </c>
      <c r="I896" s="65" t="str">
        <f>IF(Table8[[#This Row],[Temp]]&lt;11, "COLD", IF(Table8[[#This Row],[Temp]]&lt;=25, "COMFORTABLE", "WARM"))</f>
        <v>COMFORTABLE</v>
      </c>
      <c r="J896" s="64">
        <v>0.19700000000000001</v>
      </c>
      <c r="K896" s="64">
        <v>0.52</v>
      </c>
      <c r="L896" s="66">
        <v>49.25</v>
      </c>
      <c r="M896" s="75" t="s">
        <v>84</v>
      </c>
      <c r="N896" s="64">
        <v>7</v>
      </c>
      <c r="O896" s="64">
        <v>128</v>
      </c>
      <c r="P896" s="64">
        <v>135</v>
      </c>
      <c r="Q896" s="64"/>
      <c r="R896" s="65" t="str">
        <f t="shared" si="27"/>
        <v>Week 1</v>
      </c>
      <c r="S896" s="65" t="str">
        <f>TEXT(Table8[[#This Row],[Date Day]],"mmm,YYYY")</f>
        <v>Feb,2011</v>
      </c>
    </row>
    <row r="897" spans="1:19" ht="15.6" x14ac:dyDescent="0.3">
      <c r="A897" s="62">
        <v>864</v>
      </c>
      <c r="B897" s="63">
        <v>40581</v>
      </c>
      <c r="C897" s="64">
        <v>10</v>
      </c>
      <c r="D897" s="64" t="b">
        <f>IF(COUNTIF(AU$36:AU$52,Table8[[#This Row],[Date Day]]) &gt; 0, TRUE, FALSE)</f>
        <v>0</v>
      </c>
      <c r="E897" s="64">
        <f t="shared" si="26"/>
        <v>1</v>
      </c>
      <c r="F897" s="64">
        <v>1</v>
      </c>
      <c r="G897" s="65" t="str">
        <f>IF(Table8[[#This Row],[Weathersit]]=1, "BAD", IF(Table8[[#This Row],[Weathersit]]=2, "MODERATE", IF(Table8[[#This Row],[Weathersit]]=3, "GOOD")))</f>
        <v>BAD</v>
      </c>
      <c r="H897" s="64">
        <v>22</v>
      </c>
      <c r="I897" s="65" t="str">
        <f>IF(Table8[[#This Row],[Temp]]&lt;11, "COLD", IF(Table8[[#This Row],[Temp]]&lt;=25, "COMFORTABLE", "WARM"))</f>
        <v>COMFORTABLE</v>
      </c>
      <c r="J897" s="64">
        <v>0.18179999999999999</v>
      </c>
      <c r="K897" s="64">
        <v>0.47</v>
      </c>
      <c r="L897" s="66">
        <v>55.22</v>
      </c>
      <c r="M897" s="75" t="s">
        <v>84</v>
      </c>
      <c r="N897" s="64">
        <v>4</v>
      </c>
      <c r="O897" s="64">
        <v>44</v>
      </c>
      <c r="P897" s="64">
        <v>48</v>
      </c>
      <c r="Q897" s="64"/>
      <c r="R897" s="65" t="str">
        <f t="shared" si="27"/>
        <v>Week 1</v>
      </c>
      <c r="S897" s="65" t="str">
        <f>TEXT(Table8[[#This Row],[Date Day]],"mmm,YYYY")</f>
        <v>Feb,2011</v>
      </c>
    </row>
    <row r="898" spans="1:19" ht="15.6" x14ac:dyDescent="0.3">
      <c r="A898" s="62">
        <v>865</v>
      </c>
      <c r="B898" s="63">
        <v>40581</v>
      </c>
      <c r="C898" s="64">
        <v>11</v>
      </c>
      <c r="D898" s="64" t="b">
        <f>IF(COUNTIF(AU$36:AU$52,Table8[[#This Row],[Date Day]]) &gt; 0, TRUE, FALSE)</f>
        <v>0</v>
      </c>
      <c r="E898" s="64">
        <f t="shared" si="26"/>
        <v>1</v>
      </c>
      <c r="F898" s="64">
        <v>1</v>
      </c>
      <c r="G898" s="65" t="str">
        <f>IF(Table8[[#This Row],[Weathersit]]=1, "BAD", IF(Table8[[#This Row],[Weathersit]]=2, "MODERATE", IF(Table8[[#This Row],[Weathersit]]=3, "GOOD")))</f>
        <v>BAD</v>
      </c>
      <c r="H898" s="64">
        <v>22</v>
      </c>
      <c r="I898" s="65" t="str">
        <f>IF(Table8[[#This Row],[Temp]]&lt;11, "COLD", IF(Table8[[#This Row],[Temp]]&lt;=25, "COMFORTABLE", "WARM"))</f>
        <v>COMFORTABLE</v>
      </c>
      <c r="J898" s="64">
        <v>0.18179999999999999</v>
      </c>
      <c r="K898" s="64">
        <v>0.47</v>
      </c>
      <c r="L898" s="66">
        <v>46.27</v>
      </c>
      <c r="M898" s="75" t="s">
        <v>84</v>
      </c>
      <c r="N898" s="64">
        <v>1</v>
      </c>
      <c r="O898" s="64">
        <v>49</v>
      </c>
      <c r="P898" s="64">
        <v>50</v>
      </c>
      <c r="Q898" s="64"/>
      <c r="R898" s="65" t="str">
        <f t="shared" si="27"/>
        <v>Week 1</v>
      </c>
      <c r="S898" s="65" t="str">
        <f>TEXT(Table8[[#This Row],[Date Day]],"mmm,YYYY")</f>
        <v>Feb,2011</v>
      </c>
    </row>
    <row r="899" spans="1:19" ht="15.6" x14ac:dyDescent="0.3">
      <c r="A899" s="62">
        <v>866</v>
      </c>
      <c r="B899" s="63">
        <v>40581</v>
      </c>
      <c r="C899" s="64">
        <v>12</v>
      </c>
      <c r="D899" s="64" t="b">
        <f>IF(COUNTIF(AU$36:AU$52,Table8[[#This Row],[Date Day]]) &gt; 0, TRUE, FALSE)</f>
        <v>0</v>
      </c>
      <c r="E899" s="64">
        <f t="shared" si="26"/>
        <v>1</v>
      </c>
      <c r="F899" s="64">
        <v>1</v>
      </c>
      <c r="G899" s="65" t="str">
        <f>IF(Table8[[#This Row],[Weathersit]]=1, "BAD", IF(Table8[[#This Row],[Weathersit]]=2, "MODERATE", IF(Table8[[#This Row],[Weathersit]]=3, "GOOD")))</f>
        <v>BAD</v>
      </c>
      <c r="H899" s="64">
        <v>24</v>
      </c>
      <c r="I899" s="65" t="str">
        <f>IF(Table8[[#This Row],[Temp]]&lt;11, "COLD", IF(Table8[[#This Row],[Temp]]&lt;=25, "COMFORTABLE", "WARM"))</f>
        <v>COMFORTABLE</v>
      </c>
      <c r="J899" s="64">
        <v>0.19700000000000001</v>
      </c>
      <c r="K899" s="64">
        <v>0.38</v>
      </c>
      <c r="L899" s="66">
        <v>49.25</v>
      </c>
      <c r="M899" s="75" t="s">
        <v>84</v>
      </c>
      <c r="N899" s="64">
        <v>2</v>
      </c>
      <c r="O899" s="64">
        <v>63</v>
      </c>
      <c r="P899" s="64">
        <v>65</v>
      </c>
      <c r="Q899" s="64"/>
      <c r="R899" s="65" t="str">
        <f t="shared" si="27"/>
        <v>Week 1</v>
      </c>
      <c r="S899" s="65" t="str">
        <f>TEXT(Table8[[#This Row],[Date Day]],"mmm,YYYY")</f>
        <v>Feb,2011</v>
      </c>
    </row>
    <row r="900" spans="1:19" ht="15.6" x14ac:dyDescent="0.3">
      <c r="A900" s="62">
        <v>867</v>
      </c>
      <c r="B900" s="63">
        <v>40581</v>
      </c>
      <c r="C900" s="64">
        <v>13</v>
      </c>
      <c r="D900" s="64" t="b">
        <f>IF(COUNTIF(AU$36:AU$52,Table8[[#This Row],[Date Day]]) &gt; 0, TRUE, FALSE)</f>
        <v>0</v>
      </c>
      <c r="E900" s="64">
        <f t="shared" si="26"/>
        <v>1</v>
      </c>
      <c r="F900" s="64">
        <v>2</v>
      </c>
      <c r="G900" s="65" t="str">
        <f>IF(Table8[[#This Row],[Weathersit]]=1, "BAD", IF(Table8[[#This Row],[Weathersit]]=2, "MODERATE", IF(Table8[[#This Row],[Weathersit]]=3, "GOOD")))</f>
        <v>MODERATE</v>
      </c>
      <c r="H900" s="64">
        <v>24</v>
      </c>
      <c r="I900" s="65" t="str">
        <f>IF(Table8[[#This Row],[Temp]]&lt;11, "COLD", IF(Table8[[#This Row],[Temp]]&lt;=25, "COMFORTABLE", "WARM"))</f>
        <v>COMFORTABLE</v>
      </c>
      <c r="J900" s="64">
        <v>0.19700000000000001</v>
      </c>
      <c r="K900" s="64">
        <v>0.32</v>
      </c>
      <c r="L900" s="66">
        <v>44.78</v>
      </c>
      <c r="M900" s="75" t="s">
        <v>84</v>
      </c>
      <c r="N900" s="64">
        <v>2</v>
      </c>
      <c r="O900" s="64">
        <v>48</v>
      </c>
      <c r="P900" s="64">
        <v>50</v>
      </c>
      <c r="Q900" s="64"/>
      <c r="R900" s="65" t="str">
        <f t="shared" si="27"/>
        <v>Week 1</v>
      </c>
      <c r="S900" s="65" t="str">
        <f>TEXT(Table8[[#This Row],[Date Day]],"mmm,YYYY")</f>
        <v>Feb,2011</v>
      </c>
    </row>
    <row r="901" spans="1:19" ht="15.6" x14ac:dyDescent="0.3">
      <c r="A901" s="62">
        <v>868</v>
      </c>
      <c r="B901" s="63">
        <v>40581</v>
      </c>
      <c r="C901" s="64">
        <v>14</v>
      </c>
      <c r="D901" s="64" t="b">
        <f>IF(COUNTIF(AU$36:AU$52,Table8[[#This Row],[Date Day]]) &gt; 0, TRUE, FALSE)</f>
        <v>0</v>
      </c>
      <c r="E901" s="64">
        <f t="shared" si="26"/>
        <v>1</v>
      </c>
      <c r="F901" s="64">
        <v>1</v>
      </c>
      <c r="G901" s="65" t="str">
        <f>IF(Table8[[#This Row],[Weathersit]]=1, "BAD", IF(Table8[[#This Row],[Weathersit]]=2, "MODERATE", IF(Table8[[#This Row],[Weathersit]]=3, "GOOD")))</f>
        <v>BAD</v>
      </c>
      <c r="H901" s="64">
        <v>22</v>
      </c>
      <c r="I901" s="65" t="str">
        <f>IF(Table8[[#This Row],[Temp]]&lt;11, "COLD", IF(Table8[[#This Row],[Temp]]&lt;=25, "COMFORTABLE", "WARM"))</f>
        <v>COMFORTABLE</v>
      </c>
      <c r="J901" s="64">
        <v>0.19700000000000001</v>
      </c>
      <c r="K901" s="64">
        <v>0.37</v>
      </c>
      <c r="L901" s="66">
        <v>41.79</v>
      </c>
      <c r="M901" s="75" t="s">
        <v>84</v>
      </c>
      <c r="N901" s="64">
        <v>3</v>
      </c>
      <c r="O901" s="64">
        <v>61</v>
      </c>
      <c r="P901" s="64">
        <v>64</v>
      </c>
      <c r="Q901" s="64"/>
      <c r="R901" s="65" t="str">
        <f t="shared" si="27"/>
        <v>Week 1</v>
      </c>
      <c r="S901" s="65" t="str">
        <f>TEXT(Table8[[#This Row],[Date Day]],"mmm,YYYY")</f>
        <v>Feb,2011</v>
      </c>
    </row>
    <row r="902" spans="1:19" ht="15.6" x14ac:dyDescent="0.3">
      <c r="A902" s="62">
        <v>869</v>
      </c>
      <c r="B902" s="63">
        <v>40581</v>
      </c>
      <c r="C902" s="64">
        <v>15</v>
      </c>
      <c r="D902" s="64" t="b">
        <f>IF(COUNTIF(AU$36:AU$52,Table8[[#This Row],[Date Day]]) &gt; 0, TRUE, FALSE)</f>
        <v>0</v>
      </c>
      <c r="E902" s="64">
        <f t="shared" si="26"/>
        <v>1</v>
      </c>
      <c r="F902" s="64">
        <v>1</v>
      </c>
      <c r="G902" s="65" t="str">
        <f>IF(Table8[[#This Row],[Weathersit]]=1, "BAD", IF(Table8[[#This Row],[Weathersit]]=2, "MODERATE", IF(Table8[[#This Row],[Weathersit]]=3, "GOOD")))</f>
        <v>BAD</v>
      </c>
      <c r="H902" s="64">
        <v>22</v>
      </c>
      <c r="I902" s="65" t="str">
        <f>IF(Table8[[#This Row],[Temp]]&lt;11, "COLD", IF(Table8[[#This Row],[Temp]]&lt;=25, "COMFORTABLE", "WARM"))</f>
        <v>COMFORTABLE</v>
      </c>
      <c r="J902" s="64">
        <v>0.19700000000000001</v>
      </c>
      <c r="K902" s="64">
        <v>0.35</v>
      </c>
      <c r="L902" s="66">
        <v>38.81</v>
      </c>
      <c r="M902" s="75" t="s">
        <v>84</v>
      </c>
      <c r="N902" s="64">
        <v>6</v>
      </c>
      <c r="O902" s="64">
        <v>45</v>
      </c>
      <c r="P902" s="64">
        <v>51</v>
      </c>
      <c r="Q902" s="64"/>
      <c r="R902" s="65" t="str">
        <f t="shared" si="27"/>
        <v>Week 1</v>
      </c>
      <c r="S902" s="65" t="str">
        <f>TEXT(Table8[[#This Row],[Date Day]],"mmm,YYYY")</f>
        <v>Feb,2011</v>
      </c>
    </row>
    <row r="903" spans="1:19" ht="15.6" x14ac:dyDescent="0.3">
      <c r="A903" s="62">
        <v>870</v>
      </c>
      <c r="B903" s="63">
        <v>40581</v>
      </c>
      <c r="C903" s="64">
        <v>16</v>
      </c>
      <c r="D903" s="64" t="b">
        <f>IF(COUNTIF(AU$36:AU$52,Table8[[#This Row],[Date Day]]) &gt; 0, TRUE, FALSE)</f>
        <v>0</v>
      </c>
      <c r="E903" s="64">
        <f t="shared" si="26"/>
        <v>1</v>
      </c>
      <c r="F903" s="64">
        <v>1</v>
      </c>
      <c r="G903" s="65" t="str">
        <f>IF(Table8[[#This Row],[Weathersit]]=1, "BAD", IF(Table8[[#This Row],[Weathersit]]=2, "MODERATE", IF(Table8[[#This Row],[Weathersit]]=3, "GOOD")))</f>
        <v>BAD</v>
      </c>
      <c r="H903" s="64">
        <v>22</v>
      </c>
      <c r="I903" s="65" t="str">
        <f>IF(Table8[[#This Row],[Temp]]&lt;11, "COLD", IF(Table8[[#This Row],[Temp]]&lt;=25, "COMFORTABLE", "WARM"))</f>
        <v>COMFORTABLE</v>
      </c>
      <c r="J903" s="64">
        <v>0.18179999999999999</v>
      </c>
      <c r="K903" s="64">
        <v>0.35</v>
      </c>
      <c r="L903" s="66">
        <v>52.239999999999995</v>
      </c>
      <c r="M903" s="75" t="s">
        <v>84</v>
      </c>
      <c r="N903" s="64">
        <v>4</v>
      </c>
      <c r="O903" s="64">
        <v>79</v>
      </c>
      <c r="P903" s="64">
        <v>83</v>
      </c>
      <c r="Q903" s="64"/>
      <c r="R903" s="65" t="str">
        <f t="shared" si="27"/>
        <v>Week 1</v>
      </c>
      <c r="S903" s="65" t="str">
        <f>TEXT(Table8[[#This Row],[Date Day]],"mmm,YYYY")</f>
        <v>Feb,2011</v>
      </c>
    </row>
    <row r="904" spans="1:19" ht="15.6" x14ac:dyDescent="0.3">
      <c r="A904" s="62">
        <v>871</v>
      </c>
      <c r="B904" s="63">
        <v>40581</v>
      </c>
      <c r="C904" s="64">
        <v>17</v>
      </c>
      <c r="D904" s="64" t="b">
        <f>IF(COUNTIF(AU$36:AU$52,Table8[[#This Row],[Date Day]]) &gt; 0, TRUE, FALSE)</f>
        <v>0</v>
      </c>
      <c r="E904" s="64">
        <f t="shared" si="26"/>
        <v>1</v>
      </c>
      <c r="F904" s="64">
        <v>1</v>
      </c>
      <c r="G904" s="65" t="str">
        <f>IF(Table8[[#This Row],[Weathersit]]=1, "BAD", IF(Table8[[#This Row],[Weathersit]]=2, "MODERATE", IF(Table8[[#This Row],[Weathersit]]=3, "GOOD")))</f>
        <v>BAD</v>
      </c>
      <c r="H904" s="64">
        <v>22</v>
      </c>
      <c r="I904" s="65" t="str">
        <f>IF(Table8[[#This Row],[Temp]]&lt;11, "COLD", IF(Table8[[#This Row],[Temp]]&lt;=25, "COMFORTABLE", "WARM"))</f>
        <v>COMFORTABLE</v>
      </c>
      <c r="J904" s="64">
        <v>0.18179999999999999</v>
      </c>
      <c r="K904" s="64">
        <v>0.32</v>
      </c>
      <c r="L904" s="66">
        <v>58.209999999999994</v>
      </c>
      <c r="M904" s="75" t="s">
        <v>84</v>
      </c>
      <c r="N904" s="64">
        <v>4</v>
      </c>
      <c r="O904" s="64">
        <v>172</v>
      </c>
      <c r="P904" s="64">
        <v>176</v>
      </c>
      <c r="Q904" s="64"/>
      <c r="R904" s="65" t="str">
        <f t="shared" si="27"/>
        <v>Week 1</v>
      </c>
      <c r="S904" s="65" t="str">
        <f>TEXT(Table8[[#This Row],[Date Day]],"mmm,YYYY")</f>
        <v>Feb,2011</v>
      </c>
    </row>
    <row r="905" spans="1:19" ht="15.6" x14ac:dyDescent="0.3">
      <c r="A905" s="62">
        <v>872</v>
      </c>
      <c r="B905" s="63">
        <v>40581</v>
      </c>
      <c r="C905" s="64">
        <v>18</v>
      </c>
      <c r="D905" s="64" t="b">
        <f>IF(COUNTIF(AU$36:AU$52,Table8[[#This Row],[Date Day]]) &gt; 0, TRUE, FALSE)</f>
        <v>0</v>
      </c>
      <c r="E905" s="64">
        <f t="shared" si="26"/>
        <v>1</v>
      </c>
      <c r="F905" s="64">
        <v>1</v>
      </c>
      <c r="G905" s="65" t="str">
        <f>IF(Table8[[#This Row],[Weathersit]]=1, "BAD", IF(Table8[[#This Row],[Weathersit]]=2, "MODERATE", IF(Table8[[#This Row],[Weathersit]]=3, "GOOD")))</f>
        <v>BAD</v>
      </c>
      <c r="H905" s="64">
        <v>20</v>
      </c>
      <c r="I905" s="65" t="str">
        <f>IF(Table8[[#This Row],[Temp]]&lt;11, "COLD", IF(Table8[[#This Row],[Temp]]&lt;=25, "COMFORTABLE", "WARM"))</f>
        <v>COMFORTABLE</v>
      </c>
      <c r="J905" s="64">
        <v>0.18179999999999999</v>
      </c>
      <c r="K905" s="64">
        <v>0.32</v>
      </c>
      <c r="L905" s="66">
        <v>38.81</v>
      </c>
      <c r="M905" s="75" t="s">
        <v>84</v>
      </c>
      <c r="N905" s="64">
        <v>1</v>
      </c>
      <c r="O905" s="64">
        <v>151</v>
      </c>
      <c r="P905" s="64">
        <v>152</v>
      </c>
      <c r="Q905" s="64"/>
      <c r="R905" s="65" t="str">
        <f t="shared" si="27"/>
        <v>Week 1</v>
      </c>
      <c r="S905" s="65" t="str">
        <f>TEXT(Table8[[#This Row],[Date Day]],"mmm,YYYY")</f>
        <v>Feb,2011</v>
      </c>
    </row>
    <row r="906" spans="1:19" ht="15.6" x14ac:dyDescent="0.3">
      <c r="A906" s="62">
        <v>873</v>
      </c>
      <c r="B906" s="63">
        <v>40581</v>
      </c>
      <c r="C906" s="64">
        <v>19</v>
      </c>
      <c r="D906" s="64" t="b">
        <f>IF(COUNTIF(AU$36:AU$52,Table8[[#This Row],[Date Day]]) &gt; 0, TRUE, FALSE)</f>
        <v>0</v>
      </c>
      <c r="E906" s="64">
        <f t="shared" si="26"/>
        <v>1</v>
      </c>
      <c r="F906" s="64">
        <v>1</v>
      </c>
      <c r="G906" s="65" t="str">
        <f>IF(Table8[[#This Row],[Weathersit]]=1, "BAD", IF(Table8[[#This Row],[Weathersit]]=2, "MODERATE", IF(Table8[[#This Row],[Weathersit]]=3, "GOOD")))</f>
        <v>BAD</v>
      </c>
      <c r="H906" s="64">
        <v>16</v>
      </c>
      <c r="I906" s="65" t="str">
        <f>IF(Table8[[#This Row],[Temp]]&lt;11, "COLD", IF(Table8[[#This Row],[Temp]]&lt;=25, "COMFORTABLE", "WARM"))</f>
        <v>COMFORTABLE</v>
      </c>
      <c r="J906" s="64">
        <v>0.1212</v>
      </c>
      <c r="K906" s="64">
        <v>0.4</v>
      </c>
      <c r="L906" s="66">
        <v>46.27</v>
      </c>
      <c r="M906" s="75" t="s">
        <v>84</v>
      </c>
      <c r="N906" s="64">
        <v>1</v>
      </c>
      <c r="O906" s="64">
        <v>100</v>
      </c>
      <c r="P906" s="64">
        <v>101</v>
      </c>
      <c r="Q906" s="64"/>
      <c r="R906" s="65" t="str">
        <f t="shared" si="27"/>
        <v>Week 1</v>
      </c>
      <c r="S906" s="65" t="str">
        <f>TEXT(Table8[[#This Row],[Date Day]],"mmm,YYYY")</f>
        <v>Feb,2011</v>
      </c>
    </row>
    <row r="907" spans="1:19" ht="15.6" x14ac:dyDescent="0.3">
      <c r="A907" s="62">
        <v>874</v>
      </c>
      <c r="B907" s="63">
        <v>40581</v>
      </c>
      <c r="C907" s="64">
        <v>20</v>
      </c>
      <c r="D907" s="64" t="b">
        <f>IF(COUNTIF(AU$36:AU$52,Table8[[#This Row],[Date Day]]) &gt; 0, TRUE, FALSE)</f>
        <v>0</v>
      </c>
      <c r="E907" s="64">
        <f t="shared" si="26"/>
        <v>1</v>
      </c>
      <c r="F907" s="64">
        <v>1</v>
      </c>
      <c r="G907" s="65" t="str">
        <f>IF(Table8[[#This Row],[Weathersit]]=1, "BAD", IF(Table8[[#This Row],[Weathersit]]=2, "MODERATE", IF(Table8[[#This Row],[Weathersit]]=3, "GOOD")))</f>
        <v>BAD</v>
      </c>
      <c r="H907" s="64">
        <v>16</v>
      </c>
      <c r="I907" s="65" t="str">
        <f>IF(Table8[[#This Row],[Temp]]&lt;11, "COLD", IF(Table8[[#This Row],[Temp]]&lt;=25, "COMFORTABLE", "WARM"))</f>
        <v>COMFORTABLE</v>
      </c>
      <c r="J907" s="64">
        <v>0.13639999999999999</v>
      </c>
      <c r="K907" s="64">
        <v>0.4</v>
      </c>
      <c r="L907" s="66">
        <v>32.840000000000003</v>
      </c>
      <c r="M907" s="75" t="s">
        <v>84</v>
      </c>
      <c r="N907" s="64">
        <v>3</v>
      </c>
      <c r="O907" s="64">
        <v>53</v>
      </c>
      <c r="P907" s="64">
        <v>56</v>
      </c>
      <c r="Q907" s="64"/>
      <c r="R907" s="65" t="str">
        <f t="shared" si="27"/>
        <v>Week 1</v>
      </c>
      <c r="S907" s="65" t="str">
        <f>TEXT(Table8[[#This Row],[Date Day]],"mmm,YYYY")</f>
        <v>Feb,2011</v>
      </c>
    </row>
    <row r="908" spans="1:19" ht="15.6" x14ac:dyDescent="0.3">
      <c r="A908" s="62">
        <v>875</v>
      </c>
      <c r="B908" s="63">
        <v>40581</v>
      </c>
      <c r="C908" s="64">
        <v>21</v>
      </c>
      <c r="D908" s="64" t="b">
        <f>IF(COUNTIF(AU$36:AU$52,Table8[[#This Row],[Date Day]]) &gt; 0, TRUE, FALSE)</f>
        <v>0</v>
      </c>
      <c r="E908" s="64">
        <f t="shared" si="26"/>
        <v>1</v>
      </c>
      <c r="F908" s="64">
        <v>1</v>
      </c>
      <c r="G908" s="65" t="str">
        <f>IF(Table8[[#This Row],[Weathersit]]=1, "BAD", IF(Table8[[#This Row],[Weathersit]]=2, "MODERATE", IF(Table8[[#This Row],[Weathersit]]=3, "GOOD")))</f>
        <v>BAD</v>
      </c>
      <c r="H908" s="64">
        <v>14.000000000000002</v>
      </c>
      <c r="I908" s="65" t="str">
        <f>IF(Table8[[#This Row],[Temp]]&lt;11, "COLD", IF(Table8[[#This Row],[Temp]]&lt;=25, "COMFORTABLE", "WARM"))</f>
        <v>COMFORTABLE</v>
      </c>
      <c r="J908" s="64">
        <v>0.1061</v>
      </c>
      <c r="K908" s="64">
        <v>0.33</v>
      </c>
      <c r="L908" s="66">
        <v>46.27</v>
      </c>
      <c r="M908" s="75" t="s">
        <v>84</v>
      </c>
      <c r="N908" s="64">
        <v>8</v>
      </c>
      <c r="O908" s="64">
        <v>46</v>
      </c>
      <c r="P908" s="64">
        <v>54</v>
      </c>
      <c r="Q908" s="64"/>
      <c r="R908" s="65" t="str">
        <f t="shared" si="27"/>
        <v>Week 1</v>
      </c>
      <c r="S908" s="65" t="str">
        <f>TEXT(Table8[[#This Row],[Date Day]],"mmm,YYYY")</f>
        <v>Feb,2011</v>
      </c>
    </row>
    <row r="909" spans="1:19" ht="15.6" x14ac:dyDescent="0.3">
      <c r="A909" s="62">
        <v>876</v>
      </c>
      <c r="B909" s="63">
        <v>40581</v>
      </c>
      <c r="C909" s="64">
        <v>22</v>
      </c>
      <c r="D909" s="64" t="b">
        <f>IF(COUNTIF(AU$36:AU$52,Table8[[#This Row],[Date Day]]) &gt; 0, TRUE, FALSE)</f>
        <v>0</v>
      </c>
      <c r="E909" s="64">
        <f t="shared" si="26"/>
        <v>1</v>
      </c>
      <c r="F909" s="64">
        <v>1</v>
      </c>
      <c r="G909" s="65" t="str">
        <f>IF(Table8[[#This Row],[Weathersit]]=1, "BAD", IF(Table8[[#This Row],[Weathersit]]=2, "MODERATE", IF(Table8[[#This Row],[Weathersit]]=3, "GOOD")))</f>
        <v>BAD</v>
      </c>
      <c r="H909" s="64">
        <v>12</v>
      </c>
      <c r="I909" s="65" t="str">
        <f>IF(Table8[[#This Row],[Temp]]&lt;11, "COLD", IF(Table8[[#This Row],[Temp]]&lt;=25, "COMFORTABLE", "WARM"))</f>
        <v>COMFORTABLE</v>
      </c>
      <c r="J909" s="64">
        <v>0.1061</v>
      </c>
      <c r="K909" s="64">
        <v>0.33</v>
      </c>
      <c r="L909" s="66">
        <v>35.82</v>
      </c>
      <c r="M909" s="75" t="s">
        <v>84</v>
      </c>
      <c r="N909" s="64">
        <v>0</v>
      </c>
      <c r="O909" s="64">
        <v>29</v>
      </c>
      <c r="P909" s="64">
        <v>29</v>
      </c>
      <c r="Q909" s="64"/>
      <c r="R909" s="65" t="str">
        <f t="shared" si="27"/>
        <v>Week 1</v>
      </c>
      <c r="S909" s="65" t="str">
        <f>TEXT(Table8[[#This Row],[Date Day]],"mmm,YYYY")</f>
        <v>Feb,2011</v>
      </c>
    </row>
    <row r="910" spans="1:19" ht="15.6" x14ac:dyDescent="0.3">
      <c r="A910" s="62">
        <v>877</v>
      </c>
      <c r="B910" s="63">
        <v>40581</v>
      </c>
      <c r="C910" s="64">
        <v>23</v>
      </c>
      <c r="D910" s="64" t="b">
        <f>IF(COUNTIF(AU$36:AU$52,Table8[[#This Row],[Date Day]]) &gt; 0, TRUE, FALSE)</f>
        <v>0</v>
      </c>
      <c r="E910" s="64">
        <f t="shared" si="26"/>
        <v>1</v>
      </c>
      <c r="F910" s="64">
        <v>1</v>
      </c>
      <c r="G910" s="65" t="str">
        <f>IF(Table8[[#This Row],[Weathersit]]=1, "BAD", IF(Table8[[#This Row],[Weathersit]]=2, "MODERATE", IF(Table8[[#This Row],[Weathersit]]=3, "GOOD")))</f>
        <v>BAD</v>
      </c>
      <c r="H910" s="64">
        <v>12</v>
      </c>
      <c r="I910" s="65" t="str">
        <f>IF(Table8[[#This Row],[Temp]]&lt;11, "COLD", IF(Table8[[#This Row],[Temp]]&lt;=25, "COMFORTABLE", "WARM"))</f>
        <v>COMFORTABLE</v>
      </c>
      <c r="J910" s="64">
        <v>0.1061</v>
      </c>
      <c r="K910" s="64">
        <v>0.33</v>
      </c>
      <c r="L910" s="66">
        <v>32.840000000000003</v>
      </c>
      <c r="M910" s="75" t="s">
        <v>84</v>
      </c>
      <c r="N910" s="64">
        <v>3</v>
      </c>
      <c r="O910" s="64">
        <v>9</v>
      </c>
      <c r="P910" s="64">
        <v>12</v>
      </c>
      <c r="Q910" s="64"/>
      <c r="R910" s="65" t="str">
        <f t="shared" si="27"/>
        <v>Week 1</v>
      </c>
      <c r="S910" s="65" t="str">
        <f>TEXT(Table8[[#This Row],[Date Day]],"mmm,YYYY")</f>
        <v>Feb,2011</v>
      </c>
    </row>
    <row r="911" spans="1:19" ht="15.6" x14ac:dyDescent="0.3">
      <c r="A911" s="62">
        <v>878</v>
      </c>
      <c r="B911" s="63">
        <v>40582</v>
      </c>
      <c r="C911" s="64">
        <v>0</v>
      </c>
      <c r="D911" s="64" t="b">
        <f>IF(COUNTIF(AU$36:AU$52,Table8[[#This Row],[Date Day]]) &gt; 0, TRUE, FALSE)</f>
        <v>0</v>
      </c>
      <c r="E911" s="64">
        <f t="shared" si="26"/>
        <v>2</v>
      </c>
      <c r="F911" s="64">
        <v>1</v>
      </c>
      <c r="G911" s="65" t="str">
        <f>IF(Table8[[#This Row],[Weathersit]]=1, "BAD", IF(Table8[[#This Row],[Weathersit]]=2, "MODERATE", IF(Table8[[#This Row],[Weathersit]]=3, "GOOD")))</f>
        <v>BAD</v>
      </c>
      <c r="H911" s="64">
        <v>10</v>
      </c>
      <c r="I911" s="65" t="str">
        <f>IF(Table8[[#This Row],[Temp]]&lt;11, "COLD", IF(Table8[[#This Row],[Temp]]&lt;=25, "COMFORTABLE", "WARM"))</f>
        <v>COLD</v>
      </c>
      <c r="J911" s="64">
        <v>7.5800000000000006E-2</v>
      </c>
      <c r="K911" s="64">
        <v>0.36</v>
      </c>
      <c r="L911" s="66">
        <v>35.82</v>
      </c>
      <c r="M911" s="75" t="s">
        <v>84</v>
      </c>
      <c r="N911" s="64">
        <v>0</v>
      </c>
      <c r="O911" s="64">
        <v>17</v>
      </c>
      <c r="P911" s="64">
        <v>17</v>
      </c>
      <c r="Q911" s="64"/>
      <c r="R911" s="65" t="str">
        <f t="shared" si="27"/>
        <v>Week 2</v>
      </c>
      <c r="S911" s="65" t="str">
        <f>TEXT(Table8[[#This Row],[Date Day]],"mmm,YYYY")</f>
        <v>Feb,2011</v>
      </c>
    </row>
    <row r="912" spans="1:19" ht="15.6" x14ac:dyDescent="0.3">
      <c r="A912" s="62">
        <v>879</v>
      </c>
      <c r="B912" s="63">
        <v>40582</v>
      </c>
      <c r="C912" s="64">
        <v>1</v>
      </c>
      <c r="D912" s="64" t="b">
        <f>IF(COUNTIF(AU$36:AU$52,Table8[[#This Row],[Date Day]]) &gt; 0, TRUE, FALSE)</f>
        <v>0</v>
      </c>
      <c r="E912" s="64">
        <f t="shared" si="26"/>
        <v>2</v>
      </c>
      <c r="F912" s="64">
        <v>1</v>
      </c>
      <c r="G912" s="65" t="str">
        <f>IF(Table8[[#This Row],[Weathersit]]=1, "BAD", IF(Table8[[#This Row],[Weathersit]]=2, "MODERATE", IF(Table8[[#This Row],[Weathersit]]=3, "GOOD")))</f>
        <v>BAD</v>
      </c>
      <c r="H912" s="64">
        <v>10</v>
      </c>
      <c r="I912" s="65" t="str">
        <f>IF(Table8[[#This Row],[Temp]]&lt;11, "COLD", IF(Table8[[#This Row],[Temp]]&lt;=25, "COMFORTABLE", "WARM"))</f>
        <v>COLD</v>
      </c>
      <c r="J912" s="64">
        <v>0.1061</v>
      </c>
      <c r="K912" s="64">
        <v>0.36</v>
      </c>
      <c r="L912" s="66">
        <v>22.39</v>
      </c>
      <c r="M912" s="75" t="s">
        <v>81</v>
      </c>
      <c r="N912" s="64">
        <v>0</v>
      </c>
      <c r="O912" s="64">
        <v>7</v>
      </c>
      <c r="P912" s="64">
        <v>7</v>
      </c>
      <c r="Q912" s="64"/>
      <c r="R912" s="65" t="str">
        <f t="shared" si="27"/>
        <v>Week 2</v>
      </c>
      <c r="S912" s="65" t="str">
        <f>TEXT(Table8[[#This Row],[Date Day]],"mmm,YYYY")</f>
        <v>Feb,2011</v>
      </c>
    </row>
    <row r="913" spans="1:19" ht="15.6" x14ac:dyDescent="0.3">
      <c r="A913" s="62">
        <v>880</v>
      </c>
      <c r="B913" s="63">
        <v>40582</v>
      </c>
      <c r="C913" s="64">
        <v>2</v>
      </c>
      <c r="D913" s="64" t="b">
        <f>IF(COUNTIF(AU$36:AU$52,Table8[[#This Row],[Date Day]]) &gt; 0, TRUE, FALSE)</f>
        <v>0</v>
      </c>
      <c r="E913" s="64">
        <f t="shared" si="26"/>
        <v>2</v>
      </c>
      <c r="F913" s="64">
        <v>1</v>
      </c>
      <c r="G913" s="65" t="str">
        <f>IF(Table8[[#This Row],[Weathersit]]=1, "BAD", IF(Table8[[#This Row],[Weathersit]]=2, "MODERATE", IF(Table8[[#This Row],[Weathersit]]=3, "GOOD")))</f>
        <v>BAD</v>
      </c>
      <c r="H913" s="64">
        <v>8</v>
      </c>
      <c r="I913" s="65" t="str">
        <f>IF(Table8[[#This Row],[Temp]]&lt;11, "COLD", IF(Table8[[#This Row],[Temp]]&lt;=25, "COMFORTABLE", "WARM"))</f>
        <v>COLD</v>
      </c>
      <c r="J913" s="64">
        <v>7.5800000000000006E-2</v>
      </c>
      <c r="K913" s="64">
        <v>0.38</v>
      </c>
      <c r="L913" s="66">
        <v>28.360000000000003</v>
      </c>
      <c r="M913" s="75" t="s">
        <v>81</v>
      </c>
      <c r="N913" s="64">
        <v>1</v>
      </c>
      <c r="O913" s="64">
        <v>2</v>
      </c>
      <c r="P913" s="64">
        <v>3</v>
      </c>
      <c r="Q913" s="64"/>
      <c r="R913" s="65" t="str">
        <f t="shared" si="27"/>
        <v>Week 2</v>
      </c>
      <c r="S913" s="65" t="str">
        <f>TEXT(Table8[[#This Row],[Date Day]],"mmm,YYYY")</f>
        <v>Feb,2011</v>
      </c>
    </row>
    <row r="914" spans="1:19" ht="15.6" x14ac:dyDescent="0.3">
      <c r="A914" s="62">
        <v>881</v>
      </c>
      <c r="B914" s="63">
        <v>40582</v>
      </c>
      <c r="C914" s="64">
        <v>3</v>
      </c>
      <c r="D914" s="64" t="b">
        <f>IF(COUNTIF(AU$36:AU$52,Table8[[#This Row],[Date Day]]) &gt; 0, TRUE, FALSE)</f>
        <v>0</v>
      </c>
      <c r="E914" s="64">
        <f t="shared" si="26"/>
        <v>2</v>
      </c>
      <c r="F914" s="64">
        <v>1</v>
      </c>
      <c r="G914" s="65" t="str">
        <f>IF(Table8[[#This Row],[Weathersit]]=1, "BAD", IF(Table8[[#This Row],[Weathersit]]=2, "MODERATE", IF(Table8[[#This Row],[Weathersit]]=3, "GOOD")))</f>
        <v>BAD</v>
      </c>
      <c r="H914" s="64">
        <v>6</v>
      </c>
      <c r="I914" s="65" t="str">
        <f>IF(Table8[[#This Row],[Temp]]&lt;11, "COLD", IF(Table8[[#This Row],[Temp]]&lt;=25, "COMFORTABLE", "WARM"))</f>
        <v>COLD</v>
      </c>
      <c r="J914" s="64">
        <v>7.5800000000000006E-2</v>
      </c>
      <c r="K914" s="64">
        <v>0.45</v>
      </c>
      <c r="L914" s="66">
        <v>13.43</v>
      </c>
      <c r="M914" s="75" t="s">
        <v>80</v>
      </c>
      <c r="N914" s="64">
        <v>0</v>
      </c>
      <c r="O914" s="64">
        <v>2</v>
      </c>
      <c r="P914" s="64">
        <v>2</v>
      </c>
      <c r="Q914" s="64"/>
      <c r="R914" s="65" t="str">
        <f t="shared" si="27"/>
        <v>Week 2</v>
      </c>
      <c r="S914" s="65" t="str">
        <f>TEXT(Table8[[#This Row],[Date Day]],"mmm,YYYY")</f>
        <v>Feb,2011</v>
      </c>
    </row>
    <row r="915" spans="1:19" ht="15.6" x14ac:dyDescent="0.3">
      <c r="A915" s="62">
        <v>882</v>
      </c>
      <c r="B915" s="63">
        <v>40582</v>
      </c>
      <c r="C915" s="64">
        <v>5</v>
      </c>
      <c r="D915" s="64" t="b">
        <f>IF(COUNTIF(AU$36:AU$52,Table8[[#This Row],[Date Day]]) &gt; 0, TRUE, FALSE)</f>
        <v>0</v>
      </c>
      <c r="E915" s="64">
        <f t="shared" si="26"/>
        <v>2</v>
      </c>
      <c r="F915" s="64">
        <v>1</v>
      </c>
      <c r="G915" s="65" t="str">
        <f>IF(Table8[[#This Row],[Weathersit]]=1, "BAD", IF(Table8[[#This Row],[Weathersit]]=2, "MODERATE", IF(Table8[[#This Row],[Weathersit]]=3, "GOOD")))</f>
        <v>BAD</v>
      </c>
      <c r="H915" s="64">
        <v>6</v>
      </c>
      <c r="I915" s="65" t="str">
        <f>IF(Table8[[#This Row],[Temp]]&lt;11, "COLD", IF(Table8[[#This Row],[Temp]]&lt;=25, "COMFORTABLE", "WARM"))</f>
        <v>COLD</v>
      </c>
      <c r="J915" s="64">
        <v>0.1061</v>
      </c>
      <c r="K915" s="64">
        <v>0.45</v>
      </c>
      <c r="L915" s="66">
        <v>10.45</v>
      </c>
      <c r="M915" s="75" t="s">
        <v>80</v>
      </c>
      <c r="N915" s="64">
        <v>0</v>
      </c>
      <c r="O915" s="64">
        <v>7</v>
      </c>
      <c r="P915" s="64">
        <v>7</v>
      </c>
      <c r="Q915" s="64"/>
      <c r="R915" s="65" t="str">
        <f t="shared" si="27"/>
        <v>Week 2</v>
      </c>
      <c r="S915" s="65" t="str">
        <f>TEXT(Table8[[#This Row],[Date Day]],"mmm,YYYY")</f>
        <v>Feb,2011</v>
      </c>
    </row>
    <row r="916" spans="1:19" ht="15.6" x14ac:dyDescent="0.3">
      <c r="A916" s="62">
        <v>883</v>
      </c>
      <c r="B916" s="63">
        <v>40582</v>
      </c>
      <c r="C916" s="64">
        <v>6</v>
      </c>
      <c r="D916" s="64" t="b">
        <f>IF(COUNTIF(AU$36:AU$52,Table8[[#This Row],[Date Day]]) &gt; 0, TRUE, FALSE)</f>
        <v>0</v>
      </c>
      <c r="E916" s="64">
        <f t="shared" si="26"/>
        <v>2</v>
      </c>
      <c r="F916" s="64">
        <v>1</v>
      </c>
      <c r="G916" s="65" t="str">
        <f>IF(Table8[[#This Row],[Weathersit]]=1, "BAD", IF(Table8[[#This Row],[Weathersit]]=2, "MODERATE", IF(Table8[[#This Row],[Weathersit]]=3, "GOOD")))</f>
        <v>BAD</v>
      </c>
      <c r="H916" s="64">
        <v>6</v>
      </c>
      <c r="I916" s="65" t="str">
        <f>IF(Table8[[#This Row],[Temp]]&lt;11, "COLD", IF(Table8[[#This Row],[Temp]]&lt;=25, "COMFORTABLE", "WARM"))</f>
        <v>COLD</v>
      </c>
      <c r="J916" s="64">
        <v>0.1515</v>
      </c>
      <c r="K916" s="64">
        <v>0.45</v>
      </c>
      <c r="L916" s="66">
        <v>17.94158974358977</v>
      </c>
      <c r="M916" s="75" t="s">
        <v>80</v>
      </c>
      <c r="N916" s="64">
        <v>0</v>
      </c>
      <c r="O916" s="64">
        <v>43</v>
      </c>
      <c r="P916" s="64">
        <v>43</v>
      </c>
      <c r="Q916" s="64"/>
      <c r="R916" s="65" t="str">
        <f t="shared" si="27"/>
        <v>Week 2</v>
      </c>
      <c r="S916" s="65" t="str">
        <f>TEXT(Table8[[#This Row],[Date Day]],"mmm,YYYY")</f>
        <v>Feb,2011</v>
      </c>
    </row>
    <row r="917" spans="1:19" ht="15.6" x14ac:dyDescent="0.3">
      <c r="A917" s="62">
        <v>884</v>
      </c>
      <c r="B917" s="63">
        <v>40582</v>
      </c>
      <c r="C917" s="64">
        <v>7</v>
      </c>
      <c r="D917" s="64" t="b">
        <f>IF(COUNTIF(AU$36:AU$52,Table8[[#This Row],[Date Day]]) &gt; 0, TRUE, FALSE)</f>
        <v>0</v>
      </c>
      <c r="E917" s="64">
        <f t="shared" si="26"/>
        <v>2</v>
      </c>
      <c r="F917" s="64">
        <v>1</v>
      </c>
      <c r="G917" s="65" t="str">
        <f>IF(Table8[[#This Row],[Weathersit]]=1, "BAD", IF(Table8[[#This Row],[Weathersit]]=2, "MODERATE", IF(Table8[[#This Row],[Weathersit]]=3, "GOOD")))</f>
        <v>BAD</v>
      </c>
      <c r="H917" s="64">
        <v>6</v>
      </c>
      <c r="I917" s="65" t="str">
        <f>IF(Table8[[#This Row],[Temp]]&lt;11, "COLD", IF(Table8[[#This Row],[Temp]]&lt;=25, "COMFORTABLE", "WARM"))</f>
        <v>COLD</v>
      </c>
      <c r="J917" s="64">
        <v>0.1061</v>
      </c>
      <c r="K917" s="64">
        <v>0.49</v>
      </c>
      <c r="L917" s="66">
        <v>10.45</v>
      </c>
      <c r="M917" s="75" t="s">
        <v>80</v>
      </c>
      <c r="N917" s="64">
        <v>4</v>
      </c>
      <c r="O917" s="64">
        <v>95</v>
      </c>
      <c r="P917" s="64">
        <v>99</v>
      </c>
      <c r="Q917" s="64"/>
      <c r="R917" s="65" t="str">
        <f t="shared" si="27"/>
        <v>Week 2</v>
      </c>
      <c r="S917" s="65" t="str">
        <f>TEXT(Table8[[#This Row],[Date Day]],"mmm,YYYY")</f>
        <v>Feb,2011</v>
      </c>
    </row>
    <row r="918" spans="1:19" ht="15.6" x14ac:dyDescent="0.3">
      <c r="A918" s="62">
        <v>885</v>
      </c>
      <c r="B918" s="63">
        <v>40582</v>
      </c>
      <c r="C918" s="64">
        <v>8</v>
      </c>
      <c r="D918" s="64" t="b">
        <f>IF(COUNTIF(AU$36:AU$52,Table8[[#This Row],[Date Day]]) &gt; 0, TRUE, FALSE)</f>
        <v>0</v>
      </c>
      <c r="E918" s="64">
        <f t="shared" si="26"/>
        <v>2</v>
      </c>
      <c r="F918" s="64">
        <v>1</v>
      </c>
      <c r="G918" s="65" t="str">
        <f>IF(Table8[[#This Row],[Weathersit]]=1, "BAD", IF(Table8[[#This Row],[Weathersit]]=2, "MODERATE", IF(Table8[[#This Row],[Weathersit]]=3, "GOOD")))</f>
        <v>BAD</v>
      </c>
      <c r="H918" s="64">
        <v>10</v>
      </c>
      <c r="I918" s="65" t="str">
        <f>IF(Table8[[#This Row],[Temp]]&lt;11, "COLD", IF(Table8[[#This Row],[Temp]]&lt;=25, "COMFORTABLE", "WARM"))</f>
        <v>COLD</v>
      </c>
      <c r="J918" s="64">
        <v>0.13639999999999999</v>
      </c>
      <c r="K918" s="64">
        <v>0.42</v>
      </c>
      <c r="L918" s="66">
        <v>17.94158974358977</v>
      </c>
      <c r="M918" s="75" t="s">
        <v>80</v>
      </c>
      <c r="N918" s="64">
        <v>1</v>
      </c>
      <c r="O918" s="64">
        <v>198</v>
      </c>
      <c r="P918" s="64">
        <v>199</v>
      </c>
      <c r="Q918" s="64"/>
      <c r="R918" s="65" t="str">
        <f t="shared" si="27"/>
        <v>Week 2</v>
      </c>
      <c r="S918" s="65" t="str">
        <f>TEXT(Table8[[#This Row],[Date Day]],"mmm,YYYY")</f>
        <v>Feb,2011</v>
      </c>
    </row>
    <row r="919" spans="1:19" ht="15.6" x14ac:dyDescent="0.3">
      <c r="A919" s="62">
        <v>886</v>
      </c>
      <c r="B919" s="63">
        <v>40582</v>
      </c>
      <c r="C919" s="64">
        <v>9</v>
      </c>
      <c r="D919" s="64" t="b">
        <f>IF(COUNTIF(AU$36:AU$52,Table8[[#This Row],[Date Day]]) &gt; 0, TRUE, FALSE)</f>
        <v>0</v>
      </c>
      <c r="E919" s="64">
        <f t="shared" si="26"/>
        <v>2</v>
      </c>
      <c r="F919" s="64">
        <v>1</v>
      </c>
      <c r="G919" s="65" t="str">
        <f>IF(Table8[[#This Row],[Weathersit]]=1, "BAD", IF(Table8[[#This Row],[Weathersit]]=2, "MODERATE", IF(Table8[[#This Row],[Weathersit]]=3, "GOOD")))</f>
        <v>BAD</v>
      </c>
      <c r="H919" s="64">
        <v>12</v>
      </c>
      <c r="I919" s="65" t="str">
        <f>IF(Table8[[#This Row],[Temp]]&lt;11, "COLD", IF(Table8[[#This Row],[Temp]]&lt;=25, "COMFORTABLE", "WARM"))</f>
        <v>COMFORTABLE</v>
      </c>
      <c r="J919" s="64">
        <v>0.13639999999999999</v>
      </c>
      <c r="K919" s="64">
        <v>0.39</v>
      </c>
      <c r="L919" s="66">
        <v>16.420000000000002</v>
      </c>
      <c r="M919" s="75" t="s">
        <v>80</v>
      </c>
      <c r="N919" s="64">
        <v>4</v>
      </c>
      <c r="O919" s="64">
        <v>119</v>
      </c>
      <c r="P919" s="64">
        <v>123</v>
      </c>
      <c r="Q919" s="64"/>
      <c r="R919" s="65" t="str">
        <f t="shared" si="27"/>
        <v>Week 2</v>
      </c>
      <c r="S919" s="65" t="str">
        <f>TEXT(Table8[[#This Row],[Date Day]],"mmm,YYYY")</f>
        <v>Feb,2011</v>
      </c>
    </row>
    <row r="920" spans="1:19" ht="15.6" x14ac:dyDescent="0.3">
      <c r="A920" s="62">
        <v>887</v>
      </c>
      <c r="B920" s="63">
        <v>40582</v>
      </c>
      <c r="C920" s="64">
        <v>10</v>
      </c>
      <c r="D920" s="64" t="b">
        <f>IF(COUNTIF(AU$36:AU$52,Table8[[#This Row],[Date Day]]) &gt; 0, TRUE, FALSE)</f>
        <v>0</v>
      </c>
      <c r="E920" s="64">
        <f t="shared" si="26"/>
        <v>2</v>
      </c>
      <c r="F920" s="64">
        <v>1</v>
      </c>
      <c r="G920" s="65" t="str">
        <f>IF(Table8[[#This Row],[Weathersit]]=1, "BAD", IF(Table8[[#This Row],[Weathersit]]=2, "MODERATE", IF(Table8[[#This Row],[Weathersit]]=3, "GOOD")))</f>
        <v>BAD</v>
      </c>
      <c r="H920" s="64">
        <v>14.000000000000002</v>
      </c>
      <c r="I920" s="65" t="str">
        <f>IF(Table8[[#This Row],[Temp]]&lt;11, "COLD", IF(Table8[[#This Row],[Temp]]&lt;=25, "COMFORTABLE", "WARM"))</f>
        <v>COMFORTABLE</v>
      </c>
      <c r="J920" s="64">
        <v>0.18179999999999999</v>
      </c>
      <c r="K920" s="64">
        <v>0.36</v>
      </c>
      <c r="L920" s="66">
        <v>17.94158974358977</v>
      </c>
      <c r="M920" s="75" t="s">
        <v>80</v>
      </c>
      <c r="N920" s="64">
        <v>8</v>
      </c>
      <c r="O920" s="64">
        <v>51</v>
      </c>
      <c r="P920" s="64">
        <v>59</v>
      </c>
      <c r="Q920" s="64"/>
      <c r="R920" s="65" t="str">
        <f t="shared" si="27"/>
        <v>Week 2</v>
      </c>
      <c r="S920" s="65" t="str">
        <f>TEXT(Table8[[#This Row],[Date Day]],"mmm,YYYY")</f>
        <v>Feb,2011</v>
      </c>
    </row>
    <row r="921" spans="1:19" ht="15.6" x14ac:dyDescent="0.3">
      <c r="A921" s="62">
        <v>888</v>
      </c>
      <c r="B921" s="63">
        <v>40582</v>
      </c>
      <c r="C921" s="64">
        <v>11</v>
      </c>
      <c r="D921" s="64" t="b">
        <f>IF(COUNTIF(AU$36:AU$52,Table8[[#This Row],[Date Day]]) &gt; 0, TRUE, FALSE)</f>
        <v>0</v>
      </c>
      <c r="E921" s="64">
        <f t="shared" si="26"/>
        <v>2</v>
      </c>
      <c r="F921" s="64">
        <v>2</v>
      </c>
      <c r="G921" s="65" t="str">
        <f>IF(Table8[[#This Row],[Weathersit]]=1, "BAD", IF(Table8[[#This Row],[Weathersit]]=2, "MODERATE", IF(Table8[[#This Row],[Weathersit]]=3, "GOOD")))</f>
        <v>MODERATE</v>
      </c>
      <c r="H921" s="64">
        <v>14.000000000000002</v>
      </c>
      <c r="I921" s="65" t="str">
        <f>IF(Table8[[#This Row],[Temp]]&lt;11, "COLD", IF(Table8[[#This Row],[Temp]]&lt;=25, "COMFORTABLE", "WARM"))</f>
        <v>COMFORTABLE</v>
      </c>
      <c r="J921" s="64">
        <v>0.1515</v>
      </c>
      <c r="K921" s="64">
        <v>0.43</v>
      </c>
      <c r="L921" s="66">
        <v>16.420000000000002</v>
      </c>
      <c r="M921" s="75" t="s">
        <v>80</v>
      </c>
      <c r="N921" s="64">
        <v>1</v>
      </c>
      <c r="O921" s="64">
        <v>40</v>
      </c>
      <c r="P921" s="64">
        <v>41</v>
      </c>
      <c r="Q921" s="64"/>
      <c r="R921" s="65" t="str">
        <f t="shared" si="27"/>
        <v>Week 2</v>
      </c>
      <c r="S921" s="65" t="str">
        <f>TEXT(Table8[[#This Row],[Date Day]],"mmm,YYYY")</f>
        <v>Feb,2011</v>
      </c>
    </row>
    <row r="922" spans="1:19" ht="15.6" x14ac:dyDescent="0.3">
      <c r="A922" s="62">
        <v>889</v>
      </c>
      <c r="B922" s="63">
        <v>40582</v>
      </c>
      <c r="C922" s="64">
        <v>12</v>
      </c>
      <c r="D922" s="64" t="b">
        <f>IF(COUNTIF(AU$36:AU$52,Table8[[#This Row],[Date Day]]) &gt; 0, TRUE, FALSE)</f>
        <v>0</v>
      </c>
      <c r="E922" s="64">
        <f t="shared" si="26"/>
        <v>2</v>
      </c>
      <c r="F922" s="64">
        <v>2</v>
      </c>
      <c r="G922" s="65" t="str">
        <f>IF(Table8[[#This Row],[Weathersit]]=1, "BAD", IF(Table8[[#This Row],[Weathersit]]=2, "MODERATE", IF(Table8[[#This Row],[Weathersit]]=3, "GOOD")))</f>
        <v>MODERATE</v>
      </c>
      <c r="H922" s="64">
        <v>18</v>
      </c>
      <c r="I922" s="65" t="str">
        <f>IF(Table8[[#This Row],[Temp]]&lt;11, "COLD", IF(Table8[[#This Row],[Temp]]&lt;=25, "COMFORTABLE", "WARM"))</f>
        <v>COMFORTABLE</v>
      </c>
      <c r="J922" s="64">
        <v>0.18179999999999999</v>
      </c>
      <c r="K922" s="64">
        <v>0.4</v>
      </c>
      <c r="L922" s="66">
        <v>22.39</v>
      </c>
      <c r="M922" s="75" t="s">
        <v>81</v>
      </c>
      <c r="N922" s="64">
        <v>4</v>
      </c>
      <c r="O922" s="64">
        <v>57</v>
      </c>
      <c r="P922" s="64">
        <v>61</v>
      </c>
      <c r="Q922" s="64"/>
      <c r="R922" s="65" t="str">
        <f t="shared" si="27"/>
        <v>Week 2</v>
      </c>
      <c r="S922" s="65" t="str">
        <f>TEXT(Table8[[#This Row],[Date Day]],"mmm,YYYY")</f>
        <v>Feb,2011</v>
      </c>
    </row>
    <row r="923" spans="1:19" ht="15.6" x14ac:dyDescent="0.3">
      <c r="A923" s="62">
        <v>890</v>
      </c>
      <c r="B923" s="63">
        <v>40582</v>
      </c>
      <c r="C923" s="64">
        <v>13</v>
      </c>
      <c r="D923" s="64" t="b">
        <f>IF(COUNTIF(AU$36:AU$52,Table8[[#This Row],[Date Day]]) &gt; 0, TRUE, FALSE)</f>
        <v>0</v>
      </c>
      <c r="E923" s="64">
        <f t="shared" si="26"/>
        <v>2</v>
      </c>
      <c r="F923" s="64">
        <v>1</v>
      </c>
      <c r="G923" s="65" t="str">
        <f>IF(Table8[[#This Row],[Weathersit]]=1, "BAD", IF(Table8[[#This Row],[Weathersit]]=2, "MODERATE", IF(Table8[[#This Row],[Weathersit]]=3, "GOOD")))</f>
        <v>BAD</v>
      </c>
      <c r="H923" s="64">
        <v>18</v>
      </c>
      <c r="I923" s="65" t="str">
        <f>IF(Table8[[#This Row],[Temp]]&lt;11, "COLD", IF(Table8[[#This Row],[Temp]]&lt;=25, "COMFORTABLE", "WARM"))</f>
        <v>COMFORTABLE</v>
      </c>
      <c r="J923" s="64">
        <v>0.16669999999999999</v>
      </c>
      <c r="K923" s="64">
        <v>0.4</v>
      </c>
      <c r="L923" s="66">
        <v>25.369999999999997</v>
      </c>
      <c r="M923" s="75" t="s">
        <v>81</v>
      </c>
      <c r="N923" s="64">
        <v>2</v>
      </c>
      <c r="O923" s="64">
        <v>67</v>
      </c>
      <c r="P923" s="64">
        <v>69</v>
      </c>
      <c r="Q923" s="64"/>
      <c r="R923" s="65" t="str">
        <f t="shared" si="27"/>
        <v>Week 2</v>
      </c>
      <c r="S923" s="65" t="str">
        <f>TEXT(Table8[[#This Row],[Date Day]],"mmm,YYYY")</f>
        <v>Feb,2011</v>
      </c>
    </row>
    <row r="924" spans="1:19" ht="15.6" x14ac:dyDescent="0.3">
      <c r="A924" s="62">
        <v>891</v>
      </c>
      <c r="B924" s="63">
        <v>40582</v>
      </c>
      <c r="C924" s="64">
        <v>14</v>
      </c>
      <c r="D924" s="64" t="b">
        <f>IF(COUNTIF(AU$36:AU$52,Table8[[#This Row],[Date Day]]) &gt; 0, TRUE, FALSE)</f>
        <v>0</v>
      </c>
      <c r="E924" s="64">
        <f t="shared" si="26"/>
        <v>2</v>
      </c>
      <c r="F924" s="64">
        <v>1</v>
      </c>
      <c r="G924" s="65" t="str">
        <f>IF(Table8[[#This Row],[Weathersit]]=1, "BAD", IF(Table8[[#This Row],[Weathersit]]=2, "MODERATE", IF(Table8[[#This Row],[Weathersit]]=3, "GOOD")))</f>
        <v>BAD</v>
      </c>
      <c r="H924" s="64">
        <v>20</v>
      </c>
      <c r="I924" s="65" t="str">
        <f>IF(Table8[[#This Row],[Temp]]&lt;11, "COLD", IF(Table8[[#This Row],[Temp]]&lt;=25, "COMFORTABLE", "WARM"))</f>
        <v>COMFORTABLE</v>
      </c>
      <c r="J924" s="64">
        <v>0.18179999999999999</v>
      </c>
      <c r="K924" s="64">
        <v>0.34</v>
      </c>
      <c r="L924" s="66">
        <v>29.849999999999998</v>
      </c>
      <c r="M924" s="75" t="s">
        <v>81</v>
      </c>
      <c r="N924" s="64">
        <v>2</v>
      </c>
      <c r="O924" s="64">
        <v>56</v>
      </c>
      <c r="P924" s="64">
        <v>58</v>
      </c>
      <c r="Q924" s="64"/>
      <c r="R924" s="65" t="str">
        <f t="shared" si="27"/>
        <v>Week 2</v>
      </c>
      <c r="S924" s="65" t="str">
        <f>TEXT(Table8[[#This Row],[Date Day]],"mmm,YYYY")</f>
        <v>Feb,2011</v>
      </c>
    </row>
    <row r="925" spans="1:19" ht="15.6" x14ac:dyDescent="0.3">
      <c r="A925" s="62">
        <v>892</v>
      </c>
      <c r="B925" s="63">
        <v>40582</v>
      </c>
      <c r="C925" s="64">
        <v>15</v>
      </c>
      <c r="D925" s="64" t="b">
        <f>IF(COUNTIF(AU$36:AU$52,Table8[[#This Row],[Date Day]]) &gt; 0, TRUE, FALSE)</f>
        <v>0</v>
      </c>
      <c r="E925" s="64">
        <f t="shared" si="26"/>
        <v>2</v>
      </c>
      <c r="F925" s="64">
        <v>2</v>
      </c>
      <c r="G925" s="65" t="str">
        <f>IF(Table8[[#This Row],[Weathersit]]=1, "BAD", IF(Table8[[#This Row],[Weathersit]]=2, "MODERATE", IF(Table8[[#This Row],[Weathersit]]=3, "GOOD")))</f>
        <v>MODERATE</v>
      </c>
      <c r="H925" s="64">
        <v>20</v>
      </c>
      <c r="I925" s="65" t="str">
        <f>IF(Table8[[#This Row],[Temp]]&lt;11, "COLD", IF(Table8[[#This Row],[Temp]]&lt;=25, "COMFORTABLE", "WARM"))</f>
        <v>COMFORTABLE</v>
      </c>
      <c r="J925" s="64">
        <v>0.18179999999999999</v>
      </c>
      <c r="K925" s="64">
        <v>0.34</v>
      </c>
      <c r="L925" s="66">
        <v>28.360000000000003</v>
      </c>
      <c r="M925" s="75" t="s">
        <v>81</v>
      </c>
      <c r="N925" s="64">
        <v>3</v>
      </c>
      <c r="O925" s="64">
        <v>61</v>
      </c>
      <c r="P925" s="64">
        <v>64</v>
      </c>
      <c r="Q925" s="64"/>
      <c r="R925" s="65" t="str">
        <f t="shared" si="27"/>
        <v>Week 2</v>
      </c>
      <c r="S925" s="65" t="str">
        <f>TEXT(Table8[[#This Row],[Date Day]],"mmm,YYYY")</f>
        <v>Feb,2011</v>
      </c>
    </row>
    <row r="926" spans="1:19" ht="15.6" x14ac:dyDescent="0.3">
      <c r="A926" s="62">
        <v>893</v>
      </c>
      <c r="B926" s="63">
        <v>40582</v>
      </c>
      <c r="C926" s="64">
        <v>16</v>
      </c>
      <c r="D926" s="64" t="b">
        <f>IF(COUNTIF(AU$36:AU$52,Table8[[#This Row],[Date Day]]) &gt; 0, TRUE, FALSE)</f>
        <v>0</v>
      </c>
      <c r="E926" s="64">
        <f t="shared" si="26"/>
        <v>2</v>
      </c>
      <c r="F926" s="64">
        <v>2</v>
      </c>
      <c r="G926" s="65" t="str">
        <f>IF(Table8[[#This Row],[Weathersit]]=1, "BAD", IF(Table8[[#This Row],[Weathersit]]=2, "MODERATE", IF(Table8[[#This Row],[Weathersit]]=3, "GOOD")))</f>
        <v>MODERATE</v>
      </c>
      <c r="H926" s="64">
        <v>20</v>
      </c>
      <c r="I926" s="65" t="str">
        <f>IF(Table8[[#This Row],[Temp]]&lt;11, "COLD", IF(Table8[[#This Row],[Temp]]&lt;=25, "COMFORTABLE", "WARM"))</f>
        <v>COMFORTABLE</v>
      </c>
      <c r="J926" s="64">
        <v>0.19700000000000001</v>
      </c>
      <c r="K926" s="64">
        <v>0.37</v>
      </c>
      <c r="L926" s="66">
        <v>25.369999999999997</v>
      </c>
      <c r="M926" s="75" t="s">
        <v>81</v>
      </c>
      <c r="N926" s="64">
        <v>7</v>
      </c>
      <c r="O926" s="64">
        <v>72</v>
      </c>
      <c r="P926" s="64">
        <v>79</v>
      </c>
      <c r="Q926" s="64"/>
      <c r="R926" s="65" t="str">
        <f t="shared" si="27"/>
        <v>Week 2</v>
      </c>
      <c r="S926" s="65" t="str">
        <f>TEXT(Table8[[#This Row],[Date Day]],"mmm,YYYY")</f>
        <v>Feb,2011</v>
      </c>
    </row>
    <row r="927" spans="1:19" ht="15.6" x14ac:dyDescent="0.3">
      <c r="A927" s="62">
        <v>894</v>
      </c>
      <c r="B927" s="63">
        <v>40582</v>
      </c>
      <c r="C927" s="64">
        <v>17</v>
      </c>
      <c r="D927" s="64" t="b">
        <f>IF(COUNTIF(AU$36:AU$52,Table8[[#This Row],[Date Day]]) &gt; 0, TRUE, FALSE)</f>
        <v>0</v>
      </c>
      <c r="E927" s="64">
        <f t="shared" si="26"/>
        <v>2</v>
      </c>
      <c r="F927" s="64">
        <v>2</v>
      </c>
      <c r="G927" s="65" t="str">
        <f>IF(Table8[[#This Row],[Weathersit]]=1, "BAD", IF(Table8[[#This Row],[Weathersit]]=2, "MODERATE", IF(Table8[[#This Row],[Weathersit]]=3, "GOOD")))</f>
        <v>MODERATE</v>
      </c>
      <c r="H927" s="64">
        <v>20</v>
      </c>
      <c r="I927" s="65" t="str">
        <f>IF(Table8[[#This Row],[Temp]]&lt;11, "COLD", IF(Table8[[#This Row],[Temp]]&lt;=25, "COMFORTABLE", "WARM"))</f>
        <v>COMFORTABLE</v>
      </c>
      <c r="J927" s="64">
        <v>0.19700000000000001</v>
      </c>
      <c r="K927" s="64">
        <v>0.34</v>
      </c>
      <c r="L927" s="66">
        <v>25.369999999999997</v>
      </c>
      <c r="M927" s="75" t="s">
        <v>81</v>
      </c>
      <c r="N927" s="64">
        <v>9</v>
      </c>
      <c r="O927" s="64">
        <v>157</v>
      </c>
      <c r="P927" s="64">
        <v>166</v>
      </c>
      <c r="Q927" s="64"/>
      <c r="R927" s="65" t="str">
        <f t="shared" si="27"/>
        <v>Week 2</v>
      </c>
      <c r="S927" s="65" t="str">
        <f>TEXT(Table8[[#This Row],[Date Day]],"mmm,YYYY")</f>
        <v>Feb,2011</v>
      </c>
    </row>
    <row r="928" spans="1:19" ht="15.6" x14ac:dyDescent="0.3">
      <c r="A928" s="62">
        <v>895</v>
      </c>
      <c r="B928" s="63">
        <v>40582</v>
      </c>
      <c r="C928" s="64">
        <v>18</v>
      </c>
      <c r="D928" s="64" t="b">
        <f>IF(COUNTIF(AU$36:AU$52,Table8[[#This Row],[Date Day]]) &gt; 0, TRUE, FALSE)</f>
        <v>0</v>
      </c>
      <c r="E928" s="64">
        <f t="shared" si="26"/>
        <v>2</v>
      </c>
      <c r="F928" s="64">
        <v>2</v>
      </c>
      <c r="G928" s="65" t="str">
        <f>IF(Table8[[#This Row],[Weathersit]]=1, "BAD", IF(Table8[[#This Row],[Weathersit]]=2, "MODERATE", IF(Table8[[#This Row],[Weathersit]]=3, "GOOD")))</f>
        <v>MODERATE</v>
      </c>
      <c r="H928" s="64">
        <v>18</v>
      </c>
      <c r="I928" s="65" t="str">
        <f>IF(Table8[[#This Row],[Temp]]&lt;11, "COLD", IF(Table8[[#This Row],[Temp]]&lt;=25, "COMFORTABLE", "WARM"))</f>
        <v>COMFORTABLE</v>
      </c>
      <c r="J928" s="64">
        <v>0.16669999999999999</v>
      </c>
      <c r="K928" s="64">
        <v>0.47</v>
      </c>
      <c r="L928" s="66">
        <v>29.849999999999998</v>
      </c>
      <c r="M928" s="75" t="s">
        <v>81</v>
      </c>
      <c r="N928" s="64">
        <v>2</v>
      </c>
      <c r="O928" s="64">
        <v>168</v>
      </c>
      <c r="P928" s="64">
        <v>170</v>
      </c>
      <c r="Q928" s="64"/>
      <c r="R928" s="65" t="str">
        <f t="shared" si="27"/>
        <v>Week 2</v>
      </c>
      <c r="S928" s="65" t="str">
        <f>TEXT(Table8[[#This Row],[Date Day]],"mmm,YYYY")</f>
        <v>Feb,2011</v>
      </c>
    </row>
    <row r="929" spans="1:19" ht="15.6" x14ac:dyDescent="0.3">
      <c r="A929" s="62">
        <v>896</v>
      </c>
      <c r="B929" s="63">
        <v>40582</v>
      </c>
      <c r="C929" s="64">
        <v>19</v>
      </c>
      <c r="D929" s="64" t="b">
        <f>IF(COUNTIF(AU$36:AU$52,Table8[[#This Row],[Date Day]]) &gt; 0, TRUE, FALSE)</f>
        <v>0</v>
      </c>
      <c r="E929" s="64">
        <f t="shared" si="26"/>
        <v>2</v>
      </c>
      <c r="F929" s="64">
        <v>3</v>
      </c>
      <c r="G929" s="65" t="str">
        <f>IF(Table8[[#This Row],[Weathersit]]=1, "BAD", IF(Table8[[#This Row],[Weathersit]]=2, "MODERATE", IF(Table8[[#This Row],[Weathersit]]=3, "GOOD")))</f>
        <v>GOOD</v>
      </c>
      <c r="H929" s="64">
        <v>14.000000000000002</v>
      </c>
      <c r="I929" s="65" t="str">
        <f>IF(Table8[[#This Row],[Temp]]&lt;11, "COLD", IF(Table8[[#This Row],[Temp]]&lt;=25, "COMFORTABLE", "WARM"))</f>
        <v>COMFORTABLE</v>
      </c>
      <c r="J929" s="64">
        <v>0.1212</v>
      </c>
      <c r="K929" s="64">
        <v>0.86</v>
      </c>
      <c r="L929" s="66">
        <v>25.369999999999997</v>
      </c>
      <c r="M929" s="75" t="s">
        <v>81</v>
      </c>
      <c r="N929" s="64">
        <v>1</v>
      </c>
      <c r="O929" s="64">
        <v>87</v>
      </c>
      <c r="P929" s="64">
        <v>88</v>
      </c>
      <c r="Q929" s="64"/>
      <c r="R929" s="65" t="str">
        <f t="shared" si="27"/>
        <v>Week 2</v>
      </c>
      <c r="S929" s="65" t="str">
        <f>TEXT(Table8[[#This Row],[Date Day]],"mmm,YYYY")</f>
        <v>Feb,2011</v>
      </c>
    </row>
    <row r="930" spans="1:19" ht="15.6" x14ac:dyDescent="0.3">
      <c r="A930" s="62">
        <v>897</v>
      </c>
      <c r="B930" s="63">
        <v>40582</v>
      </c>
      <c r="C930" s="64">
        <v>20</v>
      </c>
      <c r="D930" s="64" t="b">
        <f>IF(COUNTIF(AU$36:AU$52,Table8[[#This Row],[Date Day]]) &gt; 0, TRUE, FALSE)</f>
        <v>0</v>
      </c>
      <c r="E930" s="64">
        <f t="shared" ref="E930:E993" si="28">WEEKDAY(B:B,2)</f>
        <v>2</v>
      </c>
      <c r="F930" s="64">
        <v>3</v>
      </c>
      <c r="G930" s="65" t="str">
        <f>IF(Table8[[#This Row],[Weathersit]]=1, "BAD", IF(Table8[[#This Row],[Weathersit]]=2, "MODERATE", IF(Table8[[#This Row],[Weathersit]]=3, "GOOD")))</f>
        <v>GOOD</v>
      </c>
      <c r="H930" s="64">
        <v>14.000000000000002</v>
      </c>
      <c r="I930" s="65" t="str">
        <f>IF(Table8[[#This Row],[Temp]]&lt;11, "COLD", IF(Table8[[#This Row],[Temp]]&lt;=25, "COMFORTABLE", "WARM"))</f>
        <v>COMFORTABLE</v>
      </c>
      <c r="J930" s="64">
        <v>0.1515</v>
      </c>
      <c r="K930" s="64">
        <v>0.86</v>
      </c>
      <c r="L930" s="66">
        <v>16.420000000000002</v>
      </c>
      <c r="M930" s="75" t="s">
        <v>80</v>
      </c>
      <c r="N930" s="64">
        <v>0</v>
      </c>
      <c r="O930" s="64">
        <v>84</v>
      </c>
      <c r="P930" s="64">
        <v>84</v>
      </c>
      <c r="Q930" s="64"/>
      <c r="R930" s="65" t="str">
        <f t="shared" ref="R930:R993" si="29">"Week " &amp; INT((DAY(B930)-1)/7)+1</f>
        <v>Week 2</v>
      </c>
      <c r="S930" s="65" t="str">
        <f>TEXT(Table8[[#This Row],[Date Day]],"mmm,YYYY")</f>
        <v>Feb,2011</v>
      </c>
    </row>
    <row r="931" spans="1:19" ht="15.6" x14ac:dyDescent="0.3">
      <c r="A931" s="62">
        <v>898</v>
      </c>
      <c r="B931" s="63">
        <v>40582</v>
      </c>
      <c r="C931" s="64">
        <v>21</v>
      </c>
      <c r="D931" s="64" t="b">
        <f>IF(COUNTIF(AU$36:AU$52,Table8[[#This Row],[Date Day]]) &gt; 0, TRUE, FALSE)</f>
        <v>0</v>
      </c>
      <c r="E931" s="64">
        <f t="shared" si="28"/>
        <v>2</v>
      </c>
      <c r="F931" s="64">
        <v>2</v>
      </c>
      <c r="G931" s="65" t="str">
        <f>IF(Table8[[#This Row],[Weathersit]]=1, "BAD", IF(Table8[[#This Row],[Weathersit]]=2, "MODERATE", IF(Table8[[#This Row],[Weathersit]]=3, "GOOD")))</f>
        <v>MODERATE</v>
      </c>
      <c r="H931" s="64">
        <v>14.000000000000002</v>
      </c>
      <c r="I931" s="65" t="str">
        <f>IF(Table8[[#This Row],[Temp]]&lt;11, "COLD", IF(Table8[[#This Row],[Temp]]&lt;=25, "COMFORTABLE", "WARM"))</f>
        <v>COMFORTABLE</v>
      </c>
      <c r="J931" s="64">
        <v>0.1515</v>
      </c>
      <c r="K931" s="64">
        <v>0.86</v>
      </c>
      <c r="L931" s="66">
        <v>16.420000000000002</v>
      </c>
      <c r="M931" s="75" t="s">
        <v>80</v>
      </c>
      <c r="N931" s="64">
        <v>0</v>
      </c>
      <c r="O931" s="64">
        <v>83</v>
      </c>
      <c r="P931" s="64">
        <v>83</v>
      </c>
      <c r="Q931" s="64"/>
      <c r="R931" s="65" t="str">
        <f t="shared" si="29"/>
        <v>Week 2</v>
      </c>
      <c r="S931" s="65" t="str">
        <f>TEXT(Table8[[#This Row],[Date Day]],"mmm,YYYY")</f>
        <v>Feb,2011</v>
      </c>
    </row>
    <row r="932" spans="1:19" ht="15.6" x14ac:dyDescent="0.3">
      <c r="A932" s="62">
        <v>899</v>
      </c>
      <c r="B932" s="63">
        <v>40582</v>
      </c>
      <c r="C932" s="64">
        <v>22</v>
      </c>
      <c r="D932" s="64" t="b">
        <f>IF(COUNTIF(AU$36:AU$52,Table8[[#This Row],[Date Day]]) &gt; 0, TRUE, FALSE)</f>
        <v>0</v>
      </c>
      <c r="E932" s="64">
        <f t="shared" si="28"/>
        <v>2</v>
      </c>
      <c r="F932" s="64">
        <v>3</v>
      </c>
      <c r="G932" s="65" t="str">
        <f>IF(Table8[[#This Row],[Weathersit]]=1, "BAD", IF(Table8[[#This Row],[Weathersit]]=2, "MODERATE", IF(Table8[[#This Row],[Weathersit]]=3, "GOOD")))</f>
        <v>GOOD</v>
      </c>
      <c r="H932" s="64">
        <v>16</v>
      </c>
      <c r="I932" s="65" t="str">
        <f>IF(Table8[[#This Row],[Temp]]&lt;11, "COLD", IF(Table8[[#This Row],[Temp]]&lt;=25, "COMFORTABLE", "WARM"))</f>
        <v>COMFORTABLE</v>
      </c>
      <c r="J932" s="64">
        <v>0.16669999999999999</v>
      </c>
      <c r="K932" s="64">
        <v>0.8</v>
      </c>
      <c r="L932" s="66">
        <v>16.420000000000002</v>
      </c>
      <c r="M932" s="75" t="s">
        <v>80</v>
      </c>
      <c r="N932" s="64">
        <v>4</v>
      </c>
      <c r="O932" s="64">
        <v>42</v>
      </c>
      <c r="P932" s="64">
        <v>46</v>
      </c>
      <c r="Q932" s="64"/>
      <c r="R932" s="65" t="str">
        <f t="shared" si="29"/>
        <v>Week 2</v>
      </c>
      <c r="S932" s="65" t="str">
        <f>TEXT(Table8[[#This Row],[Date Day]],"mmm,YYYY")</f>
        <v>Feb,2011</v>
      </c>
    </row>
    <row r="933" spans="1:19" ht="15.6" x14ac:dyDescent="0.3">
      <c r="A933" s="62">
        <v>900</v>
      </c>
      <c r="B933" s="63">
        <v>40582</v>
      </c>
      <c r="C933" s="64">
        <v>23</v>
      </c>
      <c r="D933" s="64" t="b">
        <f>IF(COUNTIF(AU$36:AU$52,Table8[[#This Row],[Date Day]]) &gt; 0, TRUE, FALSE)</f>
        <v>0</v>
      </c>
      <c r="E933" s="64">
        <f t="shared" si="28"/>
        <v>2</v>
      </c>
      <c r="F933" s="64">
        <v>3</v>
      </c>
      <c r="G933" s="65" t="str">
        <f>IF(Table8[[#This Row],[Weathersit]]=1, "BAD", IF(Table8[[#This Row],[Weathersit]]=2, "MODERATE", IF(Table8[[#This Row],[Weathersit]]=3, "GOOD")))</f>
        <v>GOOD</v>
      </c>
      <c r="H933" s="64">
        <v>16</v>
      </c>
      <c r="I933" s="65" t="str">
        <f>IF(Table8[[#This Row],[Temp]]&lt;11, "COLD", IF(Table8[[#This Row],[Temp]]&lt;=25, "COMFORTABLE", "WARM"))</f>
        <v>COMFORTABLE</v>
      </c>
      <c r="J933" s="64">
        <v>0.1515</v>
      </c>
      <c r="K933" s="64">
        <v>0.8</v>
      </c>
      <c r="L933" s="66">
        <v>19.400000000000002</v>
      </c>
      <c r="M933" s="75" t="s">
        <v>80</v>
      </c>
      <c r="N933" s="64">
        <v>0</v>
      </c>
      <c r="O933" s="64">
        <v>37</v>
      </c>
      <c r="P933" s="64">
        <v>37</v>
      </c>
      <c r="Q933" s="64"/>
      <c r="R933" s="65" t="str">
        <f t="shared" si="29"/>
        <v>Week 2</v>
      </c>
      <c r="S933" s="65" t="str">
        <f>TEXT(Table8[[#This Row],[Date Day]],"mmm,YYYY")</f>
        <v>Feb,2011</v>
      </c>
    </row>
    <row r="934" spans="1:19" ht="15.6" x14ac:dyDescent="0.3">
      <c r="A934" s="62">
        <v>901</v>
      </c>
      <c r="B934" s="63">
        <v>40583</v>
      </c>
      <c r="C934" s="64">
        <v>0</v>
      </c>
      <c r="D934" s="64" t="b">
        <f>IF(COUNTIF(AU$36:AU$52,Table8[[#This Row],[Date Day]]) &gt; 0, TRUE, FALSE)</f>
        <v>0</v>
      </c>
      <c r="E934" s="64">
        <f t="shared" si="28"/>
        <v>3</v>
      </c>
      <c r="F934" s="64">
        <v>3</v>
      </c>
      <c r="G934" s="65" t="str">
        <f>IF(Table8[[#This Row],[Weathersit]]=1, "BAD", IF(Table8[[#This Row],[Weathersit]]=2, "MODERATE", IF(Table8[[#This Row],[Weathersit]]=3, "GOOD")))</f>
        <v>GOOD</v>
      </c>
      <c r="H934" s="64">
        <v>14.000000000000002</v>
      </c>
      <c r="I934" s="65" t="str">
        <f>IF(Table8[[#This Row],[Temp]]&lt;11, "COLD", IF(Table8[[#This Row],[Temp]]&lt;=25, "COMFORTABLE", "WARM"))</f>
        <v>COMFORTABLE</v>
      </c>
      <c r="J934" s="64">
        <v>0.13639999999999999</v>
      </c>
      <c r="K934" s="64">
        <v>0.86</v>
      </c>
      <c r="L934" s="66">
        <v>19.400000000000002</v>
      </c>
      <c r="M934" s="75" t="s">
        <v>80</v>
      </c>
      <c r="N934" s="64">
        <v>0</v>
      </c>
      <c r="O934" s="64">
        <v>16</v>
      </c>
      <c r="P934" s="64">
        <v>16</v>
      </c>
      <c r="Q934" s="64"/>
      <c r="R934" s="65" t="str">
        <f t="shared" si="29"/>
        <v>Week 2</v>
      </c>
      <c r="S934" s="65" t="str">
        <f>TEXT(Table8[[#This Row],[Date Day]],"mmm,YYYY")</f>
        <v>Feb,2011</v>
      </c>
    </row>
    <row r="935" spans="1:19" ht="15.6" x14ac:dyDescent="0.3">
      <c r="A935" s="62">
        <v>902</v>
      </c>
      <c r="B935" s="63">
        <v>40583</v>
      </c>
      <c r="C935" s="64">
        <v>1</v>
      </c>
      <c r="D935" s="64" t="b">
        <f>IF(COUNTIF(AU$36:AU$52,Table8[[#This Row],[Date Day]]) &gt; 0, TRUE, FALSE)</f>
        <v>0</v>
      </c>
      <c r="E935" s="64">
        <f t="shared" si="28"/>
        <v>3</v>
      </c>
      <c r="F935" s="64">
        <v>3</v>
      </c>
      <c r="G935" s="65" t="str">
        <f>IF(Table8[[#This Row],[Weathersit]]=1, "BAD", IF(Table8[[#This Row],[Weathersit]]=2, "MODERATE", IF(Table8[[#This Row],[Weathersit]]=3, "GOOD")))</f>
        <v>GOOD</v>
      </c>
      <c r="H935" s="64">
        <v>14.000000000000002</v>
      </c>
      <c r="I935" s="65" t="str">
        <f>IF(Table8[[#This Row],[Temp]]&lt;11, "COLD", IF(Table8[[#This Row],[Temp]]&lt;=25, "COMFORTABLE", "WARM"))</f>
        <v>COMFORTABLE</v>
      </c>
      <c r="J935" s="64">
        <v>0.1515</v>
      </c>
      <c r="K935" s="64">
        <v>0.8</v>
      </c>
      <c r="L935" s="66">
        <v>13.43</v>
      </c>
      <c r="M935" s="75" t="s">
        <v>80</v>
      </c>
      <c r="N935" s="64">
        <v>0</v>
      </c>
      <c r="O935" s="64">
        <v>7</v>
      </c>
      <c r="P935" s="64">
        <v>7</v>
      </c>
      <c r="Q935" s="64"/>
      <c r="R935" s="65" t="str">
        <f t="shared" si="29"/>
        <v>Week 2</v>
      </c>
      <c r="S935" s="65" t="str">
        <f>TEXT(Table8[[#This Row],[Date Day]],"mmm,YYYY")</f>
        <v>Feb,2011</v>
      </c>
    </row>
    <row r="936" spans="1:19" ht="15.6" x14ac:dyDescent="0.3">
      <c r="A936" s="62">
        <v>903</v>
      </c>
      <c r="B936" s="63">
        <v>40583</v>
      </c>
      <c r="C936" s="64">
        <v>2</v>
      </c>
      <c r="D936" s="64" t="b">
        <f>IF(COUNTIF(AU$36:AU$52,Table8[[#This Row],[Date Day]]) &gt; 0, TRUE, FALSE)</f>
        <v>0</v>
      </c>
      <c r="E936" s="64">
        <f t="shared" si="28"/>
        <v>3</v>
      </c>
      <c r="F936" s="64">
        <v>3</v>
      </c>
      <c r="G936" s="65" t="str">
        <f>IF(Table8[[#This Row],[Weathersit]]=1, "BAD", IF(Table8[[#This Row],[Weathersit]]=2, "MODERATE", IF(Table8[[#This Row],[Weathersit]]=3, "GOOD")))</f>
        <v>GOOD</v>
      </c>
      <c r="H936" s="64">
        <v>14.000000000000002</v>
      </c>
      <c r="I936" s="65" t="str">
        <f>IF(Table8[[#This Row],[Temp]]&lt;11, "COLD", IF(Table8[[#This Row],[Temp]]&lt;=25, "COMFORTABLE", "WARM"))</f>
        <v>COMFORTABLE</v>
      </c>
      <c r="J936" s="64">
        <v>0.1515</v>
      </c>
      <c r="K936" s="64">
        <v>0.8</v>
      </c>
      <c r="L936" s="66">
        <v>13.43</v>
      </c>
      <c r="M936" s="75" t="s">
        <v>80</v>
      </c>
      <c r="N936" s="64">
        <v>0</v>
      </c>
      <c r="O936" s="64">
        <v>3</v>
      </c>
      <c r="P936" s="64">
        <v>3</v>
      </c>
      <c r="Q936" s="64"/>
      <c r="R936" s="65" t="str">
        <f t="shared" si="29"/>
        <v>Week 2</v>
      </c>
      <c r="S936" s="65" t="str">
        <f>TEXT(Table8[[#This Row],[Date Day]],"mmm,YYYY")</f>
        <v>Feb,2011</v>
      </c>
    </row>
    <row r="937" spans="1:19" ht="15.6" x14ac:dyDescent="0.3">
      <c r="A937" s="62">
        <v>904</v>
      </c>
      <c r="B937" s="63">
        <v>40583</v>
      </c>
      <c r="C937" s="64">
        <v>4</v>
      </c>
      <c r="D937" s="64" t="b">
        <f>IF(COUNTIF(AU$36:AU$52,Table8[[#This Row],[Date Day]]) &gt; 0, TRUE, FALSE)</f>
        <v>0</v>
      </c>
      <c r="E937" s="64">
        <f t="shared" si="28"/>
        <v>3</v>
      </c>
      <c r="F937" s="64">
        <v>2</v>
      </c>
      <c r="G937" s="65" t="str">
        <f>IF(Table8[[#This Row],[Weathersit]]=1, "BAD", IF(Table8[[#This Row],[Weathersit]]=2, "MODERATE", IF(Table8[[#This Row],[Weathersit]]=3, "GOOD")))</f>
        <v>MODERATE</v>
      </c>
      <c r="H937" s="64">
        <v>14.000000000000002</v>
      </c>
      <c r="I937" s="65" t="str">
        <f>IF(Table8[[#This Row],[Temp]]&lt;11, "COLD", IF(Table8[[#This Row],[Temp]]&lt;=25, "COMFORTABLE", "WARM"))</f>
        <v>COMFORTABLE</v>
      </c>
      <c r="J937" s="64">
        <v>0.13639999999999999</v>
      </c>
      <c r="K937" s="64">
        <v>0.59</v>
      </c>
      <c r="L937" s="66">
        <v>22.39</v>
      </c>
      <c r="M937" s="75" t="s">
        <v>81</v>
      </c>
      <c r="N937" s="64">
        <v>0</v>
      </c>
      <c r="O937" s="64">
        <v>1</v>
      </c>
      <c r="P937" s="64">
        <v>1</v>
      </c>
      <c r="Q937" s="64"/>
      <c r="R937" s="65" t="str">
        <f t="shared" si="29"/>
        <v>Week 2</v>
      </c>
      <c r="S937" s="65" t="str">
        <f>TEXT(Table8[[#This Row],[Date Day]],"mmm,YYYY")</f>
        <v>Feb,2011</v>
      </c>
    </row>
    <row r="938" spans="1:19" ht="15.6" x14ac:dyDescent="0.3">
      <c r="A938" s="62">
        <v>905</v>
      </c>
      <c r="B938" s="63">
        <v>40583</v>
      </c>
      <c r="C938" s="64">
        <v>5</v>
      </c>
      <c r="D938" s="64" t="b">
        <f>IF(COUNTIF(AU$36:AU$52,Table8[[#This Row],[Date Day]]) &gt; 0, TRUE, FALSE)</f>
        <v>0</v>
      </c>
      <c r="E938" s="64">
        <f t="shared" si="28"/>
        <v>3</v>
      </c>
      <c r="F938" s="64">
        <v>2</v>
      </c>
      <c r="G938" s="65" t="str">
        <f>IF(Table8[[#This Row],[Weathersit]]=1, "BAD", IF(Table8[[#This Row],[Weathersit]]=2, "MODERATE", IF(Table8[[#This Row],[Weathersit]]=3, "GOOD")))</f>
        <v>MODERATE</v>
      </c>
      <c r="H938" s="64">
        <v>12</v>
      </c>
      <c r="I938" s="65" t="str">
        <f>IF(Table8[[#This Row],[Temp]]&lt;11, "COLD", IF(Table8[[#This Row],[Temp]]&lt;=25, "COMFORTABLE", "WARM"))</f>
        <v>COMFORTABLE</v>
      </c>
      <c r="J938" s="64">
        <v>0.1212</v>
      </c>
      <c r="K938" s="64">
        <v>0.5</v>
      </c>
      <c r="L938" s="66">
        <v>22.39</v>
      </c>
      <c r="M938" s="75" t="s">
        <v>81</v>
      </c>
      <c r="N938" s="64">
        <v>0</v>
      </c>
      <c r="O938" s="64">
        <v>6</v>
      </c>
      <c r="P938" s="64">
        <v>6</v>
      </c>
      <c r="Q938" s="64"/>
      <c r="R938" s="65" t="str">
        <f t="shared" si="29"/>
        <v>Week 2</v>
      </c>
      <c r="S938" s="65" t="str">
        <f>TEXT(Table8[[#This Row],[Date Day]],"mmm,YYYY")</f>
        <v>Feb,2011</v>
      </c>
    </row>
    <row r="939" spans="1:19" ht="15.6" x14ac:dyDescent="0.3">
      <c r="A939" s="62">
        <v>906</v>
      </c>
      <c r="B939" s="63">
        <v>40583</v>
      </c>
      <c r="C939" s="64">
        <v>6</v>
      </c>
      <c r="D939" s="64" t="b">
        <f>IF(COUNTIF(AU$36:AU$52,Table8[[#This Row],[Date Day]]) &gt; 0, TRUE, FALSE)</f>
        <v>0</v>
      </c>
      <c r="E939" s="64">
        <f t="shared" si="28"/>
        <v>3</v>
      </c>
      <c r="F939" s="64">
        <v>2</v>
      </c>
      <c r="G939" s="65" t="str">
        <f>IF(Table8[[#This Row],[Weathersit]]=1, "BAD", IF(Table8[[#This Row],[Weathersit]]=2, "MODERATE", IF(Table8[[#This Row],[Weathersit]]=3, "GOOD")))</f>
        <v>MODERATE</v>
      </c>
      <c r="H939" s="64">
        <v>12</v>
      </c>
      <c r="I939" s="65" t="str">
        <f>IF(Table8[[#This Row],[Temp]]&lt;11, "COLD", IF(Table8[[#This Row],[Temp]]&lt;=25, "COMFORTABLE", "WARM"))</f>
        <v>COMFORTABLE</v>
      </c>
      <c r="J939" s="64">
        <v>0.1212</v>
      </c>
      <c r="K939" s="64">
        <v>0.54</v>
      </c>
      <c r="L939" s="66">
        <v>28.360000000000003</v>
      </c>
      <c r="M939" s="75" t="s">
        <v>81</v>
      </c>
      <c r="N939" s="64">
        <v>0</v>
      </c>
      <c r="O939" s="64">
        <v>26</v>
      </c>
      <c r="P939" s="64">
        <v>26</v>
      </c>
      <c r="Q939" s="64"/>
      <c r="R939" s="65" t="str">
        <f t="shared" si="29"/>
        <v>Week 2</v>
      </c>
      <c r="S939" s="65" t="str">
        <f>TEXT(Table8[[#This Row],[Date Day]],"mmm,YYYY")</f>
        <v>Feb,2011</v>
      </c>
    </row>
    <row r="940" spans="1:19" ht="15.6" x14ac:dyDescent="0.3">
      <c r="A940" s="62">
        <v>907</v>
      </c>
      <c r="B940" s="63">
        <v>40583</v>
      </c>
      <c r="C940" s="64">
        <v>7</v>
      </c>
      <c r="D940" s="64" t="b">
        <f>IF(COUNTIF(AU$36:AU$52,Table8[[#This Row],[Date Day]]) &gt; 0, TRUE, FALSE)</f>
        <v>0</v>
      </c>
      <c r="E940" s="64">
        <f t="shared" si="28"/>
        <v>3</v>
      </c>
      <c r="F940" s="64">
        <v>1</v>
      </c>
      <c r="G940" s="65" t="str">
        <f>IF(Table8[[#This Row],[Weathersit]]=1, "BAD", IF(Table8[[#This Row],[Weathersit]]=2, "MODERATE", IF(Table8[[#This Row],[Weathersit]]=3, "GOOD")))</f>
        <v>BAD</v>
      </c>
      <c r="H940" s="64">
        <v>10</v>
      </c>
      <c r="I940" s="65" t="str">
        <f>IF(Table8[[#This Row],[Temp]]&lt;11, "COLD", IF(Table8[[#This Row],[Temp]]&lt;=25, "COMFORTABLE", "WARM"))</f>
        <v>COLD</v>
      </c>
      <c r="J940" s="64">
        <v>7.5800000000000006E-2</v>
      </c>
      <c r="K940" s="64">
        <v>0.5</v>
      </c>
      <c r="L940" s="66">
        <v>41.79</v>
      </c>
      <c r="M940" s="75" t="s">
        <v>84</v>
      </c>
      <c r="N940" s="64">
        <v>0</v>
      </c>
      <c r="O940" s="64">
        <v>99</v>
      </c>
      <c r="P940" s="64">
        <v>99</v>
      </c>
      <c r="Q940" s="64"/>
      <c r="R940" s="65" t="str">
        <f t="shared" si="29"/>
        <v>Week 2</v>
      </c>
      <c r="S940" s="65" t="str">
        <f>TEXT(Table8[[#This Row],[Date Day]],"mmm,YYYY")</f>
        <v>Feb,2011</v>
      </c>
    </row>
    <row r="941" spans="1:19" ht="15.6" x14ac:dyDescent="0.3">
      <c r="A941" s="62">
        <v>908</v>
      </c>
      <c r="B941" s="63">
        <v>40583</v>
      </c>
      <c r="C941" s="64">
        <v>8</v>
      </c>
      <c r="D941" s="64" t="b">
        <f>IF(COUNTIF(AU$36:AU$52,Table8[[#This Row],[Date Day]]) &gt; 0, TRUE, FALSE)</f>
        <v>0</v>
      </c>
      <c r="E941" s="64">
        <f t="shared" si="28"/>
        <v>3</v>
      </c>
      <c r="F941" s="64">
        <v>1</v>
      </c>
      <c r="G941" s="65" t="str">
        <f>IF(Table8[[#This Row],[Weathersit]]=1, "BAD", IF(Table8[[#This Row],[Weathersit]]=2, "MODERATE", IF(Table8[[#This Row],[Weathersit]]=3, "GOOD")))</f>
        <v>BAD</v>
      </c>
      <c r="H941" s="64">
        <v>10</v>
      </c>
      <c r="I941" s="65" t="str">
        <f>IF(Table8[[#This Row],[Temp]]&lt;11, "COLD", IF(Table8[[#This Row],[Temp]]&lt;=25, "COMFORTABLE", "WARM"))</f>
        <v>COLD</v>
      </c>
      <c r="J941" s="64">
        <v>7.5800000000000006E-2</v>
      </c>
      <c r="K941" s="64">
        <v>0.49</v>
      </c>
      <c r="L941" s="66">
        <v>32.840000000000003</v>
      </c>
      <c r="M941" s="75" t="s">
        <v>84</v>
      </c>
      <c r="N941" s="64">
        <v>5</v>
      </c>
      <c r="O941" s="64">
        <v>173</v>
      </c>
      <c r="P941" s="64">
        <v>178</v>
      </c>
      <c r="Q941" s="64"/>
      <c r="R941" s="65" t="str">
        <f t="shared" si="29"/>
        <v>Week 2</v>
      </c>
      <c r="S941" s="65" t="str">
        <f>TEXT(Table8[[#This Row],[Date Day]],"mmm,YYYY")</f>
        <v>Feb,2011</v>
      </c>
    </row>
    <row r="942" spans="1:19" ht="15.6" x14ac:dyDescent="0.3">
      <c r="A942" s="62">
        <v>909</v>
      </c>
      <c r="B942" s="63">
        <v>40583</v>
      </c>
      <c r="C942" s="64">
        <v>9</v>
      </c>
      <c r="D942" s="64" t="b">
        <f>IF(COUNTIF(AU$36:AU$52,Table8[[#This Row],[Date Day]]) &gt; 0, TRUE, FALSE)</f>
        <v>0</v>
      </c>
      <c r="E942" s="64">
        <f t="shared" si="28"/>
        <v>3</v>
      </c>
      <c r="F942" s="64">
        <v>1</v>
      </c>
      <c r="G942" s="65" t="str">
        <f>IF(Table8[[#This Row],[Weathersit]]=1, "BAD", IF(Table8[[#This Row],[Weathersit]]=2, "MODERATE", IF(Table8[[#This Row],[Weathersit]]=3, "GOOD")))</f>
        <v>BAD</v>
      </c>
      <c r="H942" s="64">
        <v>12</v>
      </c>
      <c r="I942" s="65" t="str">
        <f>IF(Table8[[#This Row],[Temp]]&lt;11, "COLD", IF(Table8[[#This Row],[Temp]]&lt;=25, "COMFORTABLE", "WARM"))</f>
        <v>COMFORTABLE</v>
      </c>
      <c r="J942" s="64">
        <v>0.1061</v>
      </c>
      <c r="K942" s="64">
        <v>0.42</v>
      </c>
      <c r="L942" s="66">
        <v>35.82</v>
      </c>
      <c r="M942" s="75" t="s">
        <v>84</v>
      </c>
      <c r="N942" s="64">
        <v>1</v>
      </c>
      <c r="O942" s="64">
        <v>121</v>
      </c>
      <c r="P942" s="64">
        <v>122</v>
      </c>
      <c r="Q942" s="64"/>
      <c r="R942" s="65" t="str">
        <f t="shared" si="29"/>
        <v>Week 2</v>
      </c>
      <c r="S942" s="65" t="str">
        <f>TEXT(Table8[[#This Row],[Date Day]],"mmm,YYYY")</f>
        <v>Feb,2011</v>
      </c>
    </row>
    <row r="943" spans="1:19" ht="15.6" x14ac:dyDescent="0.3">
      <c r="A943" s="62">
        <v>910</v>
      </c>
      <c r="B943" s="63">
        <v>40583</v>
      </c>
      <c r="C943" s="64">
        <v>10</v>
      </c>
      <c r="D943" s="64" t="b">
        <f>IF(COUNTIF(AU$36:AU$52,Table8[[#This Row],[Date Day]]) &gt; 0, TRUE, FALSE)</f>
        <v>0</v>
      </c>
      <c r="E943" s="64">
        <f t="shared" si="28"/>
        <v>3</v>
      </c>
      <c r="F943" s="64">
        <v>1</v>
      </c>
      <c r="G943" s="65" t="str">
        <f>IF(Table8[[#This Row],[Weathersit]]=1, "BAD", IF(Table8[[#This Row],[Weathersit]]=2, "MODERATE", IF(Table8[[#This Row],[Weathersit]]=3, "GOOD")))</f>
        <v>BAD</v>
      </c>
      <c r="H943" s="64">
        <v>12</v>
      </c>
      <c r="I943" s="65" t="str">
        <f>IF(Table8[[#This Row],[Temp]]&lt;11, "COLD", IF(Table8[[#This Row],[Temp]]&lt;=25, "COMFORTABLE", "WARM"))</f>
        <v>COMFORTABLE</v>
      </c>
      <c r="J943" s="64">
        <v>0.1061</v>
      </c>
      <c r="K943" s="64">
        <v>0.42</v>
      </c>
      <c r="L943" s="66">
        <v>29.849999999999998</v>
      </c>
      <c r="M943" s="75" t="s">
        <v>81</v>
      </c>
      <c r="N943" s="64">
        <v>1</v>
      </c>
      <c r="O943" s="64">
        <v>34</v>
      </c>
      <c r="P943" s="64">
        <v>35</v>
      </c>
      <c r="Q943" s="64"/>
      <c r="R943" s="65" t="str">
        <f t="shared" si="29"/>
        <v>Week 2</v>
      </c>
      <c r="S943" s="65" t="str">
        <f>TEXT(Table8[[#This Row],[Date Day]],"mmm,YYYY")</f>
        <v>Feb,2011</v>
      </c>
    </row>
    <row r="944" spans="1:19" ht="15.6" x14ac:dyDescent="0.3">
      <c r="A944" s="62">
        <v>911</v>
      </c>
      <c r="B944" s="63">
        <v>40583</v>
      </c>
      <c r="C944" s="64">
        <v>11</v>
      </c>
      <c r="D944" s="64" t="b">
        <f>IF(COUNTIF(AU$36:AU$52,Table8[[#This Row],[Date Day]]) &gt; 0, TRUE, FALSE)</f>
        <v>0</v>
      </c>
      <c r="E944" s="64">
        <f t="shared" si="28"/>
        <v>3</v>
      </c>
      <c r="F944" s="64">
        <v>1</v>
      </c>
      <c r="G944" s="65" t="str">
        <f>IF(Table8[[#This Row],[Weathersit]]=1, "BAD", IF(Table8[[#This Row],[Weathersit]]=2, "MODERATE", IF(Table8[[#This Row],[Weathersit]]=3, "GOOD")))</f>
        <v>BAD</v>
      </c>
      <c r="H944" s="64">
        <v>14.000000000000002</v>
      </c>
      <c r="I944" s="65" t="str">
        <f>IF(Table8[[#This Row],[Temp]]&lt;11, "COLD", IF(Table8[[#This Row],[Temp]]&lt;=25, "COMFORTABLE", "WARM"))</f>
        <v>COMFORTABLE</v>
      </c>
      <c r="J944" s="64">
        <v>0.1212</v>
      </c>
      <c r="K944" s="64">
        <v>0.39</v>
      </c>
      <c r="L944" s="66">
        <v>35.82</v>
      </c>
      <c r="M944" s="75" t="s">
        <v>84</v>
      </c>
      <c r="N944" s="64">
        <v>1</v>
      </c>
      <c r="O944" s="64">
        <v>44</v>
      </c>
      <c r="P944" s="64">
        <v>45</v>
      </c>
      <c r="Q944" s="64"/>
      <c r="R944" s="65" t="str">
        <f t="shared" si="29"/>
        <v>Week 2</v>
      </c>
      <c r="S944" s="65" t="str">
        <f>TEXT(Table8[[#This Row],[Date Day]],"mmm,YYYY")</f>
        <v>Feb,2011</v>
      </c>
    </row>
    <row r="945" spans="1:19" ht="15.6" x14ac:dyDescent="0.3">
      <c r="A945" s="62">
        <v>912</v>
      </c>
      <c r="B945" s="63">
        <v>40583</v>
      </c>
      <c r="C945" s="64">
        <v>12</v>
      </c>
      <c r="D945" s="64" t="b">
        <f>IF(COUNTIF(AU$36:AU$52,Table8[[#This Row],[Date Day]]) &gt; 0, TRUE, FALSE)</f>
        <v>0</v>
      </c>
      <c r="E945" s="64">
        <f t="shared" si="28"/>
        <v>3</v>
      </c>
      <c r="F945" s="64">
        <v>1</v>
      </c>
      <c r="G945" s="65" t="str">
        <f>IF(Table8[[#This Row],[Weathersit]]=1, "BAD", IF(Table8[[#This Row],[Weathersit]]=2, "MODERATE", IF(Table8[[#This Row],[Weathersit]]=3, "GOOD")))</f>
        <v>BAD</v>
      </c>
      <c r="H945" s="64">
        <v>16</v>
      </c>
      <c r="I945" s="65" t="str">
        <f>IF(Table8[[#This Row],[Temp]]&lt;11, "COLD", IF(Table8[[#This Row],[Temp]]&lt;=25, "COMFORTABLE", "WARM"))</f>
        <v>COMFORTABLE</v>
      </c>
      <c r="J945" s="64">
        <v>0.13639999999999999</v>
      </c>
      <c r="K945" s="64">
        <v>0.34</v>
      </c>
      <c r="L945" s="66">
        <v>38.81</v>
      </c>
      <c r="M945" s="75" t="s">
        <v>84</v>
      </c>
      <c r="N945" s="64">
        <v>4</v>
      </c>
      <c r="O945" s="64">
        <v>65</v>
      </c>
      <c r="P945" s="64">
        <v>69</v>
      </c>
      <c r="Q945" s="64"/>
      <c r="R945" s="65" t="str">
        <f t="shared" si="29"/>
        <v>Week 2</v>
      </c>
      <c r="S945" s="65" t="str">
        <f>TEXT(Table8[[#This Row],[Date Day]],"mmm,YYYY")</f>
        <v>Feb,2011</v>
      </c>
    </row>
    <row r="946" spans="1:19" ht="15.6" x14ac:dyDescent="0.3">
      <c r="A946" s="62">
        <v>913</v>
      </c>
      <c r="B946" s="63">
        <v>40583</v>
      </c>
      <c r="C946" s="64">
        <v>13</v>
      </c>
      <c r="D946" s="64" t="b">
        <f>IF(COUNTIF(AU$36:AU$52,Table8[[#This Row],[Date Day]]) &gt; 0, TRUE, FALSE)</f>
        <v>0</v>
      </c>
      <c r="E946" s="64">
        <f t="shared" si="28"/>
        <v>3</v>
      </c>
      <c r="F946" s="64">
        <v>1</v>
      </c>
      <c r="G946" s="65" t="str">
        <f>IF(Table8[[#This Row],[Weathersit]]=1, "BAD", IF(Table8[[#This Row],[Weathersit]]=2, "MODERATE", IF(Table8[[#This Row],[Weathersit]]=3, "GOOD")))</f>
        <v>BAD</v>
      </c>
      <c r="H946" s="64">
        <v>18</v>
      </c>
      <c r="I946" s="65" t="str">
        <f>IF(Table8[[#This Row],[Temp]]&lt;11, "COLD", IF(Table8[[#This Row],[Temp]]&lt;=25, "COMFORTABLE", "WARM"))</f>
        <v>COMFORTABLE</v>
      </c>
      <c r="J946" s="64">
        <v>0.16669999999999999</v>
      </c>
      <c r="K946" s="64">
        <v>0.28999999999999998</v>
      </c>
      <c r="L946" s="66">
        <v>29.849999999999998</v>
      </c>
      <c r="M946" s="75" t="s">
        <v>81</v>
      </c>
      <c r="N946" s="64">
        <v>3</v>
      </c>
      <c r="O946" s="64">
        <v>59</v>
      </c>
      <c r="P946" s="64">
        <v>62</v>
      </c>
      <c r="Q946" s="64"/>
      <c r="R946" s="65" t="str">
        <f t="shared" si="29"/>
        <v>Week 2</v>
      </c>
      <c r="S946" s="65" t="str">
        <f>TEXT(Table8[[#This Row],[Date Day]],"mmm,YYYY")</f>
        <v>Feb,2011</v>
      </c>
    </row>
    <row r="947" spans="1:19" ht="15.6" x14ac:dyDescent="0.3">
      <c r="A947" s="62">
        <v>914</v>
      </c>
      <c r="B947" s="63">
        <v>40583</v>
      </c>
      <c r="C947" s="64">
        <v>14</v>
      </c>
      <c r="D947" s="64" t="b">
        <f>IF(COUNTIF(AU$36:AU$52,Table8[[#This Row],[Date Day]]) &gt; 0, TRUE, FALSE)</f>
        <v>0</v>
      </c>
      <c r="E947" s="64">
        <f t="shared" si="28"/>
        <v>3</v>
      </c>
      <c r="F947" s="64">
        <v>1</v>
      </c>
      <c r="G947" s="65" t="str">
        <f>IF(Table8[[#This Row],[Weathersit]]=1, "BAD", IF(Table8[[#This Row],[Weathersit]]=2, "MODERATE", IF(Table8[[#This Row],[Weathersit]]=3, "GOOD")))</f>
        <v>BAD</v>
      </c>
      <c r="H947" s="64">
        <v>20</v>
      </c>
      <c r="I947" s="65" t="str">
        <f>IF(Table8[[#This Row],[Temp]]&lt;11, "COLD", IF(Table8[[#This Row],[Temp]]&lt;=25, "COMFORTABLE", "WARM"))</f>
        <v>COMFORTABLE</v>
      </c>
      <c r="J947" s="64">
        <v>0.18179999999999999</v>
      </c>
      <c r="K947" s="64">
        <v>0.27</v>
      </c>
      <c r="L947" s="66">
        <v>28.360000000000003</v>
      </c>
      <c r="M947" s="75" t="s">
        <v>81</v>
      </c>
      <c r="N947" s="64">
        <v>6</v>
      </c>
      <c r="O947" s="64">
        <v>42</v>
      </c>
      <c r="P947" s="64">
        <v>48</v>
      </c>
      <c r="Q947" s="64"/>
      <c r="R947" s="65" t="str">
        <f t="shared" si="29"/>
        <v>Week 2</v>
      </c>
      <c r="S947" s="65" t="str">
        <f>TEXT(Table8[[#This Row],[Date Day]],"mmm,YYYY")</f>
        <v>Feb,2011</v>
      </c>
    </row>
    <row r="948" spans="1:19" ht="15.6" x14ac:dyDescent="0.3">
      <c r="A948" s="62">
        <v>915</v>
      </c>
      <c r="B948" s="63">
        <v>40583</v>
      </c>
      <c r="C948" s="64">
        <v>15</v>
      </c>
      <c r="D948" s="64" t="b">
        <f>IF(COUNTIF(AU$36:AU$52,Table8[[#This Row],[Date Day]]) &gt; 0, TRUE, FALSE)</f>
        <v>0</v>
      </c>
      <c r="E948" s="64">
        <f t="shared" si="28"/>
        <v>3</v>
      </c>
      <c r="F948" s="64">
        <v>1</v>
      </c>
      <c r="G948" s="65" t="str">
        <f>IF(Table8[[#This Row],[Weathersit]]=1, "BAD", IF(Table8[[#This Row],[Weathersit]]=2, "MODERATE", IF(Table8[[#This Row],[Weathersit]]=3, "GOOD")))</f>
        <v>BAD</v>
      </c>
      <c r="H948" s="64">
        <v>20</v>
      </c>
      <c r="I948" s="65" t="str">
        <f>IF(Table8[[#This Row],[Temp]]&lt;11, "COLD", IF(Table8[[#This Row],[Temp]]&lt;=25, "COMFORTABLE", "WARM"))</f>
        <v>COMFORTABLE</v>
      </c>
      <c r="J948" s="64">
        <v>0.19700000000000001</v>
      </c>
      <c r="K948" s="64">
        <v>0.25</v>
      </c>
      <c r="L948" s="66">
        <v>25.369999999999997</v>
      </c>
      <c r="M948" s="75" t="s">
        <v>81</v>
      </c>
      <c r="N948" s="64">
        <v>0</v>
      </c>
      <c r="O948" s="64">
        <v>50</v>
      </c>
      <c r="P948" s="64">
        <v>50</v>
      </c>
      <c r="Q948" s="64"/>
      <c r="R948" s="65" t="str">
        <f t="shared" si="29"/>
        <v>Week 2</v>
      </c>
      <c r="S948" s="65" t="str">
        <f>TEXT(Table8[[#This Row],[Date Day]],"mmm,YYYY")</f>
        <v>Feb,2011</v>
      </c>
    </row>
    <row r="949" spans="1:19" ht="15.6" x14ac:dyDescent="0.3">
      <c r="A949" s="62">
        <v>916</v>
      </c>
      <c r="B949" s="63">
        <v>40583</v>
      </c>
      <c r="C949" s="64">
        <v>16</v>
      </c>
      <c r="D949" s="64" t="b">
        <f>IF(COUNTIF(AU$36:AU$52,Table8[[#This Row],[Date Day]]) &gt; 0, TRUE, FALSE)</f>
        <v>0</v>
      </c>
      <c r="E949" s="64">
        <f t="shared" si="28"/>
        <v>3</v>
      </c>
      <c r="F949" s="64">
        <v>1</v>
      </c>
      <c r="G949" s="65" t="str">
        <f>IF(Table8[[#This Row],[Weathersit]]=1, "BAD", IF(Table8[[#This Row],[Weathersit]]=2, "MODERATE", IF(Table8[[#This Row],[Weathersit]]=3, "GOOD")))</f>
        <v>BAD</v>
      </c>
      <c r="H949" s="64">
        <v>20</v>
      </c>
      <c r="I949" s="65" t="str">
        <f>IF(Table8[[#This Row],[Temp]]&lt;11, "COLD", IF(Table8[[#This Row],[Temp]]&lt;=25, "COMFORTABLE", "WARM"))</f>
        <v>COMFORTABLE</v>
      </c>
      <c r="J949" s="64">
        <v>0.18179999999999999</v>
      </c>
      <c r="K949" s="64">
        <v>0.27</v>
      </c>
      <c r="L949" s="66">
        <v>29.849999999999998</v>
      </c>
      <c r="M949" s="75" t="s">
        <v>81</v>
      </c>
      <c r="N949" s="64">
        <v>4</v>
      </c>
      <c r="O949" s="64">
        <v>76</v>
      </c>
      <c r="P949" s="64">
        <v>80</v>
      </c>
      <c r="Q949" s="64"/>
      <c r="R949" s="65" t="str">
        <f t="shared" si="29"/>
        <v>Week 2</v>
      </c>
      <c r="S949" s="65" t="str">
        <f>TEXT(Table8[[#This Row],[Date Day]],"mmm,YYYY")</f>
        <v>Feb,2011</v>
      </c>
    </row>
    <row r="950" spans="1:19" ht="15.6" x14ac:dyDescent="0.3">
      <c r="A950" s="62">
        <v>917</v>
      </c>
      <c r="B950" s="63">
        <v>40583</v>
      </c>
      <c r="C950" s="64">
        <v>17</v>
      </c>
      <c r="D950" s="64" t="b">
        <f>IF(COUNTIF(AU$36:AU$52,Table8[[#This Row],[Date Day]]) &gt; 0, TRUE, FALSE)</f>
        <v>0</v>
      </c>
      <c r="E950" s="64">
        <f t="shared" si="28"/>
        <v>3</v>
      </c>
      <c r="F950" s="64">
        <v>1</v>
      </c>
      <c r="G950" s="65" t="str">
        <f>IF(Table8[[#This Row],[Weathersit]]=1, "BAD", IF(Table8[[#This Row],[Weathersit]]=2, "MODERATE", IF(Table8[[#This Row],[Weathersit]]=3, "GOOD")))</f>
        <v>BAD</v>
      </c>
      <c r="H950" s="64">
        <v>18</v>
      </c>
      <c r="I950" s="65" t="str">
        <f>IF(Table8[[#This Row],[Temp]]&lt;11, "COLD", IF(Table8[[#This Row],[Temp]]&lt;=25, "COMFORTABLE", "WARM"))</f>
        <v>COMFORTABLE</v>
      </c>
      <c r="J950" s="64">
        <v>0.18179999999999999</v>
      </c>
      <c r="K950" s="64">
        <v>0.26</v>
      </c>
      <c r="L950" s="66">
        <v>19.400000000000002</v>
      </c>
      <c r="M950" s="75" t="s">
        <v>80</v>
      </c>
      <c r="N950" s="64">
        <v>6</v>
      </c>
      <c r="O950" s="64">
        <v>159</v>
      </c>
      <c r="P950" s="64">
        <v>165</v>
      </c>
      <c r="Q950" s="64"/>
      <c r="R950" s="65" t="str">
        <f t="shared" si="29"/>
        <v>Week 2</v>
      </c>
      <c r="S950" s="65" t="str">
        <f>TEXT(Table8[[#This Row],[Date Day]],"mmm,YYYY")</f>
        <v>Feb,2011</v>
      </c>
    </row>
    <row r="951" spans="1:19" ht="15.6" x14ac:dyDescent="0.3">
      <c r="A951" s="62">
        <v>918</v>
      </c>
      <c r="B951" s="63">
        <v>40583</v>
      </c>
      <c r="C951" s="64">
        <v>18</v>
      </c>
      <c r="D951" s="64" t="b">
        <f>IF(COUNTIF(AU$36:AU$52,Table8[[#This Row],[Date Day]]) &gt; 0, TRUE, FALSE)</f>
        <v>0</v>
      </c>
      <c r="E951" s="64">
        <f t="shared" si="28"/>
        <v>3</v>
      </c>
      <c r="F951" s="64">
        <v>1</v>
      </c>
      <c r="G951" s="65" t="str">
        <f>IF(Table8[[#This Row],[Weathersit]]=1, "BAD", IF(Table8[[#This Row],[Weathersit]]=2, "MODERATE", IF(Table8[[#This Row],[Weathersit]]=3, "GOOD")))</f>
        <v>BAD</v>
      </c>
      <c r="H951" s="64">
        <v>16</v>
      </c>
      <c r="I951" s="65" t="str">
        <f>IF(Table8[[#This Row],[Temp]]&lt;11, "COLD", IF(Table8[[#This Row],[Temp]]&lt;=25, "COMFORTABLE", "WARM"))</f>
        <v>COMFORTABLE</v>
      </c>
      <c r="J951" s="64">
        <v>0.18179999999999999</v>
      </c>
      <c r="K951" s="64">
        <v>0.28000000000000003</v>
      </c>
      <c r="L951" s="66">
        <v>13.43</v>
      </c>
      <c r="M951" s="75" t="s">
        <v>80</v>
      </c>
      <c r="N951" s="64">
        <v>3</v>
      </c>
      <c r="O951" s="64">
        <v>157</v>
      </c>
      <c r="P951" s="64">
        <v>160</v>
      </c>
      <c r="Q951" s="64"/>
      <c r="R951" s="65" t="str">
        <f t="shared" si="29"/>
        <v>Week 2</v>
      </c>
      <c r="S951" s="65" t="str">
        <f>TEXT(Table8[[#This Row],[Date Day]],"mmm,YYYY")</f>
        <v>Feb,2011</v>
      </c>
    </row>
    <row r="952" spans="1:19" ht="15.6" x14ac:dyDescent="0.3">
      <c r="A952" s="62">
        <v>919</v>
      </c>
      <c r="B952" s="63">
        <v>40583</v>
      </c>
      <c r="C952" s="64">
        <v>19</v>
      </c>
      <c r="D952" s="64" t="b">
        <f>IF(COUNTIF(AU$36:AU$52,Table8[[#This Row],[Date Day]]) &gt; 0, TRUE, FALSE)</f>
        <v>0</v>
      </c>
      <c r="E952" s="64">
        <f t="shared" si="28"/>
        <v>3</v>
      </c>
      <c r="F952" s="64">
        <v>1</v>
      </c>
      <c r="G952" s="65" t="str">
        <f>IF(Table8[[#This Row],[Weathersit]]=1, "BAD", IF(Table8[[#This Row],[Weathersit]]=2, "MODERATE", IF(Table8[[#This Row],[Weathersit]]=3, "GOOD")))</f>
        <v>BAD</v>
      </c>
      <c r="H952" s="64">
        <v>14.000000000000002</v>
      </c>
      <c r="I952" s="65" t="str">
        <f>IF(Table8[[#This Row],[Temp]]&lt;11, "COLD", IF(Table8[[#This Row],[Temp]]&lt;=25, "COMFORTABLE", "WARM"))</f>
        <v>COMFORTABLE</v>
      </c>
      <c r="J952" s="64">
        <v>0.16669999999999999</v>
      </c>
      <c r="K952" s="64">
        <v>0.28000000000000003</v>
      </c>
      <c r="L952" s="66">
        <v>10.45</v>
      </c>
      <c r="M952" s="75" t="s">
        <v>80</v>
      </c>
      <c r="N952" s="64">
        <v>2</v>
      </c>
      <c r="O952" s="64">
        <v>110</v>
      </c>
      <c r="P952" s="64">
        <v>112</v>
      </c>
      <c r="Q952" s="64"/>
      <c r="R952" s="65" t="str">
        <f t="shared" si="29"/>
        <v>Week 2</v>
      </c>
      <c r="S952" s="65" t="str">
        <f>TEXT(Table8[[#This Row],[Date Day]],"mmm,YYYY")</f>
        <v>Feb,2011</v>
      </c>
    </row>
    <row r="953" spans="1:19" ht="15.6" x14ac:dyDescent="0.3">
      <c r="A953" s="62">
        <v>920</v>
      </c>
      <c r="B953" s="63">
        <v>40583</v>
      </c>
      <c r="C953" s="64">
        <v>20</v>
      </c>
      <c r="D953" s="64" t="b">
        <f>IF(COUNTIF(AU$36:AU$52,Table8[[#This Row],[Date Day]]) &gt; 0, TRUE, FALSE)</f>
        <v>0</v>
      </c>
      <c r="E953" s="64">
        <f t="shared" si="28"/>
        <v>3</v>
      </c>
      <c r="F953" s="64">
        <v>1</v>
      </c>
      <c r="G953" s="65" t="str">
        <f>IF(Table8[[#This Row],[Weathersit]]=1, "BAD", IF(Table8[[#This Row],[Weathersit]]=2, "MODERATE", IF(Table8[[#This Row],[Weathersit]]=3, "GOOD")))</f>
        <v>BAD</v>
      </c>
      <c r="H953" s="64">
        <v>14.000000000000002</v>
      </c>
      <c r="I953" s="65" t="str">
        <f>IF(Table8[[#This Row],[Temp]]&lt;11, "COLD", IF(Table8[[#This Row],[Temp]]&lt;=25, "COMFORTABLE", "WARM"))</f>
        <v>COMFORTABLE</v>
      </c>
      <c r="J953" s="64">
        <v>0.18179999999999999</v>
      </c>
      <c r="K953" s="64">
        <v>0.31</v>
      </c>
      <c r="L953" s="66">
        <v>8.9599999999999991</v>
      </c>
      <c r="M953" s="75" t="s">
        <v>80</v>
      </c>
      <c r="N953" s="64">
        <v>4</v>
      </c>
      <c r="O953" s="64">
        <v>93</v>
      </c>
      <c r="P953" s="64">
        <v>97</v>
      </c>
      <c r="Q953" s="64"/>
      <c r="R953" s="65" t="str">
        <f t="shared" si="29"/>
        <v>Week 2</v>
      </c>
      <c r="S953" s="65" t="str">
        <f>TEXT(Table8[[#This Row],[Date Day]],"mmm,YYYY")</f>
        <v>Feb,2011</v>
      </c>
    </row>
    <row r="954" spans="1:19" ht="15.6" x14ac:dyDescent="0.3">
      <c r="A954" s="62">
        <v>921</v>
      </c>
      <c r="B954" s="63">
        <v>40583</v>
      </c>
      <c r="C954" s="64">
        <v>21</v>
      </c>
      <c r="D954" s="64" t="b">
        <f>IF(COUNTIF(AU$36:AU$52,Table8[[#This Row],[Date Day]]) &gt; 0, TRUE, FALSE)</f>
        <v>0</v>
      </c>
      <c r="E954" s="64">
        <f t="shared" si="28"/>
        <v>3</v>
      </c>
      <c r="F954" s="64">
        <v>1</v>
      </c>
      <c r="G954" s="65" t="str">
        <f>IF(Table8[[#This Row],[Weathersit]]=1, "BAD", IF(Table8[[#This Row],[Weathersit]]=2, "MODERATE", IF(Table8[[#This Row],[Weathersit]]=3, "GOOD")))</f>
        <v>BAD</v>
      </c>
      <c r="H954" s="64">
        <v>14.000000000000002</v>
      </c>
      <c r="I954" s="65" t="str">
        <f>IF(Table8[[#This Row],[Temp]]&lt;11, "COLD", IF(Table8[[#This Row],[Temp]]&lt;=25, "COMFORTABLE", "WARM"))</f>
        <v>COMFORTABLE</v>
      </c>
      <c r="J954" s="64">
        <v>0.21210000000000001</v>
      </c>
      <c r="K954" s="64">
        <v>0.39</v>
      </c>
      <c r="L954" s="66">
        <v>17.94158974358977</v>
      </c>
      <c r="M954" s="75" t="s">
        <v>80</v>
      </c>
      <c r="N954" s="64">
        <v>2</v>
      </c>
      <c r="O954" s="64">
        <v>70</v>
      </c>
      <c r="P954" s="64">
        <v>72</v>
      </c>
      <c r="Q954" s="64"/>
      <c r="R954" s="65" t="str">
        <f t="shared" si="29"/>
        <v>Week 2</v>
      </c>
      <c r="S954" s="65" t="str">
        <f>TEXT(Table8[[#This Row],[Date Day]],"mmm,YYYY")</f>
        <v>Feb,2011</v>
      </c>
    </row>
    <row r="955" spans="1:19" ht="15.6" x14ac:dyDescent="0.3">
      <c r="A955" s="62">
        <v>922</v>
      </c>
      <c r="B955" s="63">
        <v>40583</v>
      </c>
      <c r="C955" s="64">
        <v>22</v>
      </c>
      <c r="D955" s="64" t="b">
        <f>IF(COUNTIF(AU$36:AU$52,Table8[[#This Row],[Date Day]]) &gt; 0, TRUE, FALSE)</f>
        <v>0</v>
      </c>
      <c r="E955" s="64">
        <f t="shared" si="28"/>
        <v>3</v>
      </c>
      <c r="F955" s="64">
        <v>1</v>
      </c>
      <c r="G955" s="65" t="str">
        <f>IF(Table8[[#This Row],[Weathersit]]=1, "BAD", IF(Table8[[#This Row],[Weathersit]]=2, "MODERATE", IF(Table8[[#This Row],[Weathersit]]=3, "GOOD")))</f>
        <v>BAD</v>
      </c>
      <c r="H955" s="64">
        <v>12</v>
      </c>
      <c r="I955" s="65" t="str">
        <f>IF(Table8[[#This Row],[Temp]]&lt;11, "COLD", IF(Table8[[#This Row],[Temp]]&lt;=25, "COMFORTABLE", "WARM"))</f>
        <v>COMFORTABLE</v>
      </c>
      <c r="J955" s="64">
        <v>0.19700000000000001</v>
      </c>
      <c r="K955" s="64">
        <v>0.39</v>
      </c>
      <c r="L955" s="66">
        <v>17.94158974358977</v>
      </c>
      <c r="M955" s="75" t="s">
        <v>80</v>
      </c>
      <c r="N955" s="64">
        <v>4</v>
      </c>
      <c r="O955" s="64">
        <v>47</v>
      </c>
      <c r="P955" s="64">
        <v>51</v>
      </c>
      <c r="Q955" s="64"/>
      <c r="R955" s="65" t="str">
        <f t="shared" si="29"/>
        <v>Week 2</v>
      </c>
      <c r="S955" s="65" t="str">
        <f>TEXT(Table8[[#This Row],[Date Day]],"mmm,YYYY")</f>
        <v>Feb,2011</v>
      </c>
    </row>
    <row r="956" spans="1:19" ht="15.6" x14ac:dyDescent="0.3">
      <c r="A956" s="62">
        <v>923</v>
      </c>
      <c r="B956" s="63">
        <v>40583</v>
      </c>
      <c r="C956" s="64">
        <v>23</v>
      </c>
      <c r="D956" s="64" t="b">
        <f>IF(COUNTIF(AU$36:AU$52,Table8[[#This Row],[Date Day]]) &gt; 0, TRUE, FALSE)</f>
        <v>0</v>
      </c>
      <c r="E956" s="64">
        <f t="shared" si="28"/>
        <v>3</v>
      </c>
      <c r="F956" s="64">
        <v>1</v>
      </c>
      <c r="G956" s="65" t="str">
        <f>IF(Table8[[#This Row],[Weathersit]]=1, "BAD", IF(Table8[[#This Row],[Weathersit]]=2, "MODERATE", IF(Table8[[#This Row],[Weathersit]]=3, "GOOD")))</f>
        <v>BAD</v>
      </c>
      <c r="H956" s="64">
        <v>12</v>
      </c>
      <c r="I956" s="65" t="str">
        <f>IF(Table8[[#This Row],[Temp]]&lt;11, "COLD", IF(Table8[[#This Row],[Temp]]&lt;=25, "COMFORTABLE", "WARM"))</f>
        <v>COMFORTABLE</v>
      </c>
      <c r="J956" s="64">
        <v>0.1515</v>
      </c>
      <c r="K956" s="64">
        <v>0.42</v>
      </c>
      <c r="L956" s="66">
        <v>10.45</v>
      </c>
      <c r="M956" s="75" t="s">
        <v>80</v>
      </c>
      <c r="N956" s="64">
        <v>1</v>
      </c>
      <c r="O956" s="64">
        <v>33</v>
      </c>
      <c r="P956" s="64">
        <v>34</v>
      </c>
      <c r="Q956" s="64"/>
      <c r="R956" s="65" t="str">
        <f t="shared" si="29"/>
        <v>Week 2</v>
      </c>
      <c r="S956" s="65" t="str">
        <f>TEXT(Table8[[#This Row],[Date Day]],"mmm,YYYY")</f>
        <v>Feb,2011</v>
      </c>
    </row>
    <row r="957" spans="1:19" ht="15.6" x14ac:dyDescent="0.3">
      <c r="A957" s="62">
        <v>924</v>
      </c>
      <c r="B957" s="63">
        <v>40584</v>
      </c>
      <c r="C957" s="64">
        <v>0</v>
      </c>
      <c r="D957" s="64" t="b">
        <f>IF(COUNTIF(AU$36:AU$52,Table8[[#This Row],[Date Day]]) &gt; 0, TRUE, FALSE)</f>
        <v>0</v>
      </c>
      <c r="E957" s="64">
        <f t="shared" si="28"/>
        <v>4</v>
      </c>
      <c r="F957" s="64">
        <v>1</v>
      </c>
      <c r="G957" s="65" t="str">
        <f>IF(Table8[[#This Row],[Weathersit]]=1, "BAD", IF(Table8[[#This Row],[Weathersit]]=2, "MODERATE", IF(Table8[[#This Row],[Weathersit]]=3, "GOOD")))</f>
        <v>BAD</v>
      </c>
      <c r="H957" s="64">
        <v>10</v>
      </c>
      <c r="I957" s="65" t="str">
        <f>IF(Table8[[#This Row],[Temp]]&lt;11, "COLD", IF(Table8[[#This Row],[Temp]]&lt;=25, "COMFORTABLE", "WARM"))</f>
        <v>COLD</v>
      </c>
      <c r="J957" s="64">
        <v>0.13639999999999999</v>
      </c>
      <c r="K957" s="64">
        <v>0.49</v>
      </c>
      <c r="L957" s="66">
        <v>10.45</v>
      </c>
      <c r="M957" s="75" t="s">
        <v>80</v>
      </c>
      <c r="N957" s="64">
        <v>2</v>
      </c>
      <c r="O957" s="64">
        <v>12</v>
      </c>
      <c r="P957" s="64">
        <v>14</v>
      </c>
      <c r="Q957" s="64"/>
      <c r="R957" s="65" t="str">
        <f t="shared" si="29"/>
        <v>Week 2</v>
      </c>
      <c r="S957" s="65" t="str">
        <f>TEXT(Table8[[#This Row],[Date Day]],"mmm,YYYY")</f>
        <v>Feb,2011</v>
      </c>
    </row>
    <row r="958" spans="1:19" ht="15.6" x14ac:dyDescent="0.3">
      <c r="A958" s="62">
        <v>925</v>
      </c>
      <c r="B958" s="63">
        <v>40584</v>
      </c>
      <c r="C958" s="64">
        <v>1</v>
      </c>
      <c r="D958" s="64" t="b">
        <f>IF(COUNTIF(AU$36:AU$52,Table8[[#This Row],[Date Day]]) &gt; 0, TRUE, FALSE)</f>
        <v>0</v>
      </c>
      <c r="E958" s="64">
        <f t="shared" si="28"/>
        <v>4</v>
      </c>
      <c r="F958" s="64">
        <v>1</v>
      </c>
      <c r="G958" s="65" t="str">
        <f>IF(Table8[[#This Row],[Weathersit]]=1, "BAD", IF(Table8[[#This Row],[Weathersit]]=2, "MODERATE", IF(Table8[[#This Row],[Weathersit]]=3, "GOOD")))</f>
        <v>BAD</v>
      </c>
      <c r="H958" s="64">
        <v>10</v>
      </c>
      <c r="I958" s="65" t="str">
        <f>IF(Table8[[#This Row],[Temp]]&lt;11, "COLD", IF(Table8[[#This Row],[Temp]]&lt;=25, "COMFORTABLE", "WARM"))</f>
        <v>COLD</v>
      </c>
      <c r="J958" s="64">
        <v>0.13639999999999999</v>
      </c>
      <c r="K958" s="64">
        <v>0.54</v>
      </c>
      <c r="L958" s="66">
        <v>8.9599999999999991</v>
      </c>
      <c r="M958" s="75" t="s">
        <v>80</v>
      </c>
      <c r="N958" s="64">
        <v>1</v>
      </c>
      <c r="O958" s="64">
        <v>6</v>
      </c>
      <c r="P958" s="64">
        <v>7</v>
      </c>
      <c r="Q958" s="64"/>
      <c r="R958" s="65" t="str">
        <f t="shared" si="29"/>
        <v>Week 2</v>
      </c>
      <c r="S958" s="65" t="str">
        <f>TEXT(Table8[[#This Row],[Date Day]],"mmm,YYYY")</f>
        <v>Feb,2011</v>
      </c>
    </row>
    <row r="959" spans="1:19" ht="15.6" x14ac:dyDescent="0.3">
      <c r="A959" s="62">
        <v>926</v>
      </c>
      <c r="B959" s="63">
        <v>40584</v>
      </c>
      <c r="C959" s="64">
        <v>2</v>
      </c>
      <c r="D959" s="64" t="b">
        <f>IF(COUNTIF(AU$36:AU$52,Table8[[#This Row],[Date Day]]) &gt; 0, TRUE, FALSE)</f>
        <v>0</v>
      </c>
      <c r="E959" s="64">
        <f t="shared" si="28"/>
        <v>4</v>
      </c>
      <c r="F959" s="64">
        <v>1</v>
      </c>
      <c r="G959" s="65" t="str">
        <f>IF(Table8[[#This Row],[Weathersit]]=1, "BAD", IF(Table8[[#This Row],[Weathersit]]=2, "MODERATE", IF(Table8[[#This Row],[Weathersit]]=3, "GOOD")))</f>
        <v>BAD</v>
      </c>
      <c r="H959" s="64">
        <v>10</v>
      </c>
      <c r="I959" s="65" t="str">
        <f>IF(Table8[[#This Row],[Temp]]&lt;11, "COLD", IF(Table8[[#This Row],[Temp]]&lt;=25, "COMFORTABLE", "WARM"))</f>
        <v>COLD</v>
      </c>
      <c r="J959" s="64">
        <v>0.13639999999999999</v>
      </c>
      <c r="K959" s="64">
        <v>0.54</v>
      </c>
      <c r="L959" s="66">
        <v>8.9599999999999991</v>
      </c>
      <c r="M959" s="75" t="s">
        <v>80</v>
      </c>
      <c r="N959" s="64">
        <v>0</v>
      </c>
      <c r="O959" s="64">
        <v>3</v>
      </c>
      <c r="P959" s="64">
        <v>3</v>
      </c>
      <c r="Q959" s="64"/>
      <c r="R959" s="65" t="str">
        <f t="shared" si="29"/>
        <v>Week 2</v>
      </c>
      <c r="S959" s="65" t="str">
        <f>TEXT(Table8[[#This Row],[Date Day]],"mmm,YYYY")</f>
        <v>Feb,2011</v>
      </c>
    </row>
    <row r="960" spans="1:19" ht="15.6" x14ac:dyDescent="0.3">
      <c r="A960" s="62">
        <v>927</v>
      </c>
      <c r="B960" s="63">
        <v>40584</v>
      </c>
      <c r="C960" s="64">
        <v>5</v>
      </c>
      <c r="D960" s="64" t="b">
        <f>IF(COUNTIF(AU$36:AU$52,Table8[[#This Row],[Date Day]]) &gt; 0, TRUE, FALSE)</f>
        <v>0</v>
      </c>
      <c r="E960" s="64">
        <f t="shared" si="28"/>
        <v>4</v>
      </c>
      <c r="F960" s="64">
        <v>1</v>
      </c>
      <c r="G960" s="65" t="str">
        <f>IF(Table8[[#This Row],[Weathersit]]=1, "BAD", IF(Table8[[#This Row],[Weathersit]]=2, "MODERATE", IF(Table8[[#This Row],[Weathersit]]=3, "GOOD")))</f>
        <v>BAD</v>
      </c>
      <c r="H960" s="64">
        <v>8</v>
      </c>
      <c r="I960" s="65" t="str">
        <f>IF(Table8[[#This Row],[Temp]]&lt;11, "COLD", IF(Table8[[#This Row],[Temp]]&lt;=25, "COMFORTABLE", "WARM"))</f>
        <v>COLD</v>
      </c>
      <c r="J960" s="64">
        <v>0.1212</v>
      </c>
      <c r="K960" s="64">
        <v>0.63</v>
      </c>
      <c r="L960" s="66">
        <v>8.9599999999999991</v>
      </c>
      <c r="M960" s="75" t="s">
        <v>80</v>
      </c>
      <c r="N960" s="64">
        <v>0</v>
      </c>
      <c r="O960" s="64">
        <v>4</v>
      </c>
      <c r="P960" s="64">
        <v>4</v>
      </c>
      <c r="Q960" s="64"/>
      <c r="R960" s="65" t="str">
        <f t="shared" si="29"/>
        <v>Week 2</v>
      </c>
      <c r="S960" s="65" t="str">
        <f>TEXT(Table8[[#This Row],[Date Day]],"mmm,YYYY")</f>
        <v>Feb,2011</v>
      </c>
    </row>
    <row r="961" spans="1:19" ht="15.6" x14ac:dyDescent="0.3">
      <c r="A961" s="62">
        <v>928</v>
      </c>
      <c r="B961" s="63">
        <v>40584</v>
      </c>
      <c r="C961" s="64">
        <v>6</v>
      </c>
      <c r="D961" s="64" t="b">
        <f>IF(COUNTIF(AU$36:AU$52,Table8[[#This Row],[Date Day]]) &gt; 0, TRUE, FALSE)</f>
        <v>0</v>
      </c>
      <c r="E961" s="64">
        <f t="shared" si="28"/>
        <v>4</v>
      </c>
      <c r="F961" s="64">
        <v>1</v>
      </c>
      <c r="G961" s="65" t="str">
        <f>IF(Table8[[#This Row],[Weathersit]]=1, "BAD", IF(Table8[[#This Row],[Weathersit]]=2, "MODERATE", IF(Table8[[#This Row],[Weathersit]]=3, "GOOD")))</f>
        <v>BAD</v>
      </c>
      <c r="H961" s="64">
        <v>10</v>
      </c>
      <c r="I961" s="65" t="str">
        <f>IF(Table8[[#This Row],[Temp]]&lt;11, "COLD", IF(Table8[[#This Row],[Temp]]&lt;=25, "COMFORTABLE", "WARM"))</f>
        <v>COLD</v>
      </c>
      <c r="J961" s="64">
        <v>0.18179999999999999</v>
      </c>
      <c r="K961" s="64">
        <v>0.68</v>
      </c>
      <c r="L961" s="66">
        <v>17.94158974358977</v>
      </c>
      <c r="M961" s="75" t="s">
        <v>80</v>
      </c>
      <c r="N961" s="64">
        <v>1</v>
      </c>
      <c r="O961" s="64">
        <v>23</v>
      </c>
      <c r="P961" s="64">
        <v>24</v>
      </c>
      <c r="Q961" s="64"/>
      <c r="R961" s="65" t="str">
        <f t="shared" si="29"/>
        <v>Week 2</v>
      </c>
      <c r="S961" s="65" t="str">
        <f>TEXT(Table8[[#This Row],[Date Day]],"mmm,YYYY")</f>
        <v>Feb,2011</v>
      </c>
    </row>
    <row r="962" spans="1:19" ht="15.6" x14ac:dyDescent="0.3">
      <c r="A962" s="62">
        <v>929</v>
      </c>
      <c r="B962" s="63">
        <v>40584</v>
      </c>
      <c r="C962" s="64">
        <v>7</v>
      </c>
      <c r="D962" s="64" t="b">
        <f>IF(COUNTIF(AU$36:AU$52,Table8[[#This Row],[Date Day]]) &gt; 0, TRUE, FALSE)</f>
        <v>0</v>
      </c>
      <c r="E962" s="64">
        <f t="shared" si="28"/>
        <v>4</v>
      </c>
      <c r="F962" s="64">
        <v>1</v>
      </c>
      <c r="G962" s="65" t="str">
        <f>IF(Table8[[#This Row],[Weathersit]]=1, "BAD", IF(Table8[[#This Row],[Weathersit]]=2, "MODERATE", IF(Table8[[#This Row],[Weathersit]]=3, "GOOD")))</f>
        <v>BAD</v>
      </c>
      <c r="H962" s="64">
        <v>8</v>
      </c>
      <c r="I962" s="65" t="str">
        <f>IF(Table8[[#This Row],[Temp]]&lt;11, "COLD", IF(Table8[[#This Row],[Temp]]&lt;=25, "COMFORTABLE", "WARM"))</f>
        <v>COLD</v>
      </c>
      <c r="J962" s="64">
        <v>0.16669999999999999</v>
      </c>
      <c r="K962" s="64">
        <v>0.73</v>
      </c>
      <c r="L962" s="66">
        <v>17.94158974358977</v>
      </c>
      <c r="M962" s="75" t="s">
        <v>80</v>
      </c>
      <c r="N962" s="64">
        <v>1</v>
      </c>
      <c r="O962" s="64">
        <v>73</v>
      </c>
      <c r="P962" s="64">
        <v>74</v>
      </c>
      <c r="Q962" s="64"/>
      <c r="R962" s="65" t="str">
        <f t="shared" si="29"/>
        <v>Week 2</v>
      </c>
      <c r="S962" s="65" t="str">
        <f>TEXT(Table8[[#This Row],[Date Day]],"mmm,YYYY")</f>
        <v>Feb,2011</v>
      </c>
    </row>
    <row r="963" spans="1:19" ht="15.6" x14ac:dyDescent="0.3">
      <c r="A963" s="62">
        <v>930</v>
      </c>
      <c r="B963" s="63">
        <v>40584</v>
      </c>
      <c r="C963" s="64">
        <v>8</v>
      </c>
      <c r="D963" s="64" t="b">
        <f>IF(COUNTIF(AU$36:AU$52,Table8[[#This Row],[Date Day]]) &gt; 0, TRUE, FALSE)</f>
        <v>0</v>
      </c>
      <c r="E963" s="64">
        <f t="shared" si="28"/>
        <v>4</v>
      </c>
      <c r="F963" s="64">
        <v>1</v>
      </c>
      <c r="G963" s="65" t="str">
        <f>IF(Table8[[#This Row],[Weathersit]]=1, "BAD", IF(Table8[[#This Row],[Weathersit]]=2, "MODERATE", IF(Table8[[#This Row],[Weathersit]]=3, "GOOD")))</f>
        <v>BAD</v>
      </c>
      <c r="H963" s="64">
        <v>10</v>
      </c>
      <c r="I963" s="65" t="str">
        <f>IF(Table8[[#This Row],[Temp]]&lt;11, "COLD", IF(Table8[[#This Row],[Temp]]&lt;=25, "COMFORTABLE", "WARM"))</f>
        <v>COLD</v>
      </c>
      <c r="J963" s="64">
        <v>0.1212</v>
      </c>
      <c r="K963" s="64">
        <v>0.74</v>
      </c>
      <c r="L963" s="66">
        <v>16.420000000000002</v>
      </c>
      <c r="M963" s="75" t="s">
        <v>80</v>
      </c>
      <c r="N963" s="64">
        <v>4</v>
      </c>
      <c r="O963" s="64">
        <v>212</v>
      </c>
      <c r="P963" s="64">
        <v>216</v>
      </c>
      <c r="Q963" s="64"/>
      <c r="R963" s="65" t="str">
        <f t="shared" si="29"/>
        <v>Week 2</v>
      </c>
      <c r="S963" s="65" t="str">
        <f>TEXT(Table8[[#This Row],[Date Day]],"mmm,YYYY")</f>
        <v>Feb,2011</v>
      </c>
    </row>
    <row r="964" spans="1:19" ht="15.6" x14ac:dyDescent="0.3">
      <c r="A964" s="62">
        <v>931</v>
      </c>
      <c r="B964" s="63">
        <v>40584</v>
      </c>
      <c r="C964" s="64">
        <v>9</v>
      </c>
      <c r="D964" s="64" t="b">
        <f>IF(COUNTIF(AU$36:AU$52,Table8[[#This Row],[Date Day]]) &gt; 0, TRUE, FALSE)</f>
        <v>0</v>
      </c>
      <c r="E964" s="64">
        <f t="shared" si="28"/>
        <v>4</v>
      </c>
      <c r="F964" s="64">
        <v>1</v>
      </c>
      <c r="G964" s="65" t="str">
        <f>IF(Table8[[#This Row],[Weathersit]]=1, "BAD", IF(Table8[[#This Row],[Weathersit]]=2, "MODERATE", IF(Table8[[#This Row],[Weathersit]]=3, "GOOD")))</f>
        <v>BAD</v>
      </c>
      <c r="H964" s="64">
        <v>12</v>
      </c>
      <c r="I964" s="65" t="str">
        <f>IF(Table8[[#This Row],[Temp]]&lt;11, "COLD", IF(Table8[[#This Row],[Temp]]&lt;=25, "COMFORTABLE", "WARM"))</f>
        <v>COMFORTABLE</v>
      </c>
      <c r="J964" s="64">
        <v>0.1212</v>
      </c>
      <c r="K964" s="64">
        <v>0.74</v>
      </c>
      <c r="L964" s="66">
        <v>22.39</v>
      </c>
      <c r="M964" s="75" t="s">
        <v>81</v>
      </c>
      <c r="N964" s="64">
        <v>8</v>
      </c>
      <c r="O964" s="64">
        <v>132</v>
      </c>
      <c r="P964" s="64">
        <v>140</v>
      </c>
      <c r="Q964" s="64"/>
      <c r="R964" s="65" t="str">
        <f t="shared" si="29"/>
        <v>Week 2</v>
      </c>
      <c r="S964" s="65" t="str">
        <f>TEXT(Table8[[#This Row],[Date Day]],"mmm,YYYY")</f>
        <v>Feb,2011</v>
      </c>
    </row>
    <row r="965" spans="1:19" ht="15.6" x14ac:dyDescent="0.3">
      <c r="A965" s="62">
        <v>932</v>
      </c>
      <c r="B965" s="63">
        <v>40584</v>
      </c>
      <c r="C965" s="64">
        <v>10</v>
      </c>
      <c r="D965" s="64" t="b">
        <f>IF(COUNTIF(AU$36:AU$52,Table8[[#This Row],[Date Day]]) &gt; 0, TRUE, FALSE)</f>
        <v>0</v>
      </c>
      <c r="E965" s="64">
        <f t="shared" si="28"/>
        <v>4</v>
      </c>
      <c r="F965" s="64">
        <v>1</v>
      </c>
      <c r="G965" s="65" t="str">
        <f>IF(Table8[[#This Row],[Weathersit]]=1, "BAD", IF(Table8[[#This Row],[Weathersit]]=2, "MODERATE", IF(Table8[[#This Row],[Weathersit]]=3, "GOOD")))</f>
        <v>BAD</v>
      </c>
      <c r="H965" s="64">
        <v>14.000000000000002</v>
      </c>
      <c r="I965" s="65" t="str">
        <f>IF(Table8[[#This Row],[Temp]]&lt;11, "COLD", IF(Table8[[#This Row],[Temp]]&lt;=25, "COMFORTABLE", "WARM"))</f>
        <v>COMFORTABLE</v>
      </c>
      <c r="J965" s="64">
        <v>0.13639999999999999</v>
      </c>
      <c r="K965" s="64">
        <v>0.69</v>
      </c>
      <c r="L965" s="66">
        <v>19.400000000000002</v>
      </c>
      <c r="M965" s="75" t="s">
        <v>80</v>
      </c>
      <c r="N965" s="64">
        <v>5</v>
      </c>
      <c r="O965" s="64">
        <v>39</v>
      </c>
      <c r="P965" s="64">
        <v>44</v>
      </c>
      <c r="Q965" s="64"/>
      <c r="R965" s="65" t="str">
        <f t="shared" si="29"/>
        <v>Week 2</v>
      </c>
      <c r="S965" s="65" t="str">
        <f>TEXT(Table8[[#This Row],[Date Day]],"mmm,YYYY")</f>
        <v>Feb,2011</v>
      </c>
    </row>
    <row r="966" spans="1:19" ht="15.6" x14ac:dyDescent="0.3">
      <c r="A966" s="62">
        <v>933</v>
      </c>
      <c r="B966" s="63">
        <v>40584</v>
      </c>
      <c r="C966" s="64">
        <v>11</v>
      </c>
      <c r="D966" s="64" t="b">
        <f>IF(COUNTIF(AU$36:AU$52,Table8[[#This Row],[Date Day]]) &gt; 0, TRUE, FALSE)</f>
        <v>0</v>
      </c>
      <c r="E966" s="64">
        <f t="shared" si="28"/>
        <v>4</v>
      </c>
      <c r="F966" s="64">
        <v>1</v>
      </c>
      <c r="G966" s="65" t="str">
        <f>IF(Table8[[#This Row],[Weathersit]]=1, "BAD", IF(Table8[[#This Row],[Weathersit]]=2, "MODERATE", IF(Table8[[#This Row],[Weathersit]]=3, "GOOD")))</f>
        <v>BAD</v>
      </c>
      <c r="H966" s="64">
        <v>22</v>
      </c>
      <c r="I966" s="65" t="str">
        <f>IF(Table8[[#This Row],[Temp]]&lt;11, "COLD", IF(Table8[[#This Row],[Temp]]&lt;=25, "COMFORTABLE", "WARM"))</f>
        <v>COMFORTABLE</v>
      </c>
      <c r="J966" s="64">
        <v>0.2273</v>
      </c>
      <c r="K966" s="64">
        <v>0.47</v>
      </c>
      <c r="L966" s="66">
        <v>13.43</v>
      </c>
      <c r="M966" s="75" t="s">
        <v>80</v>
      </c>
      <c r="N966" s="64">
        <v>12</v>
      </c>
      <c r="O966" s="64">
        <v>52</v>
      </c>
      <c r="P966" s="64">
        <v>64</v>
      </c>
      <c r="Q966" s="64"/>
      <c r="R966" s="65" t="str">
        <f t="shared" si="29"/>
        <v>Week 2</v>
      </c>
      <c r="S966" s="65" t="str">
        <f>TEXT(Table8[[#This Row],[Date Day]],"mmm,YYYY")</f>
        <v>Feb,2011</v>
      </c>
    </row>
    <row r="967" spans="1:19" ht="15.6" x14ac:dyDescent="0.3">
      <c r="A967" s="62">
        <v>934</v>
      </c>
      <c r="B967" s="63">
        <v>40584</v>
      </c>
      <c r="C967" s="64">
        <v>12</v>
      </c>
      <c r="D967" s="64" t="b">
        <f>IF(COUNTIF(AU$36:AU$52,Table8[[#This Row],[Date Day]]) &gt; 0, TRUE, FALSE)</f>
        <v>0</v>
      </c>
      <c r="E967" s="64">
        <f t="shared" si="28"/>
        <v>4</v>
      </c>
      <c r="F967" s="64">
        <v>1</v>
      </c>
      <c r="G967" s="65" t="str">
        <f>IF(Table8[[#This Row],[Weathersit]]=1, "BAD", IF(Table8[[#This Row],[Weathersit]]=2, "MODERATE", IF(Table8[[#This Row],[Weathersit]]=3, "GOOD")))</f>
        <v>BAD</v>
      </c>
      <c r="H967" s="64">
        <v>22</v>
      </c>
      <c r="I967" s="65" t="str">
        <f>IF(Table8[[#This Row],[Temp]]&lt;11, "COLD", IF(Table8[[#This Row],[Temp]]&lt;=25, "COMFORTABLE", "WARM"))</f>
        <v>COMFORTABLE</v>
      </c>
      <c r="J967" s="64">
        <v>0.2273</v>
      </c>
      <c r="K967" s="64">
        <v>0.47</v>
      </c>
      <c r="L967" s="66">
        <v>13.43</v>
      </c>
      <c r="M967" s="75" t="s">
        <v>80</v>
      </c>
      <c r="N967" s="64">
        <v>7</v>
      </c>
      <c r="O967" s="64">
        <v>64</v>
      </c>
      <c r="P967" s="64">
        <v>71</v>
      </c>
      <c r="Q967" s="64"/>
      <c r="R967" s="65" t="str">
        <f t="shared" si="29"/>
        <v>Week 2</v>
      </c>
      <c r="S967" s="65" t="str">
        <f>TEXT(Table8[[#This Row],[Date Day]],"mmm,YYYY")</f>
        <v>Feb,2011</v>
      </c>
    </row>
    <row r="968" spans="1:19" ht="15.6" x14ac:dyDescent="0.3">
      <c r="A968" s="62">
        <v>935</v>
      </c>
      <c r="B968" s="63">
        <v>40584</v>
      </c>
      <c r="C968" s="64">
        <v>13</v>
      </c>
      <c r="D968" s="64" t="b">
        <f>IF(COUNTIF(AU$36:AU$52,Table8[[#This Row],[Date Day]]) &gt; 0, TRUE, FALSE)</f>
        <v>0</v>
      </c>
      <c r="E968" s="64">
        <f t="shared" si="28"/>
        <v>4</v>
      </c>
      <c r="F968" s="64">
        <v>1</v>
      </c>
      <c r="G968" s="65" t="str">
        <f>IF(Table8[[#This Row],[Weathersit]]=1, "BAD", IF(Table8[[#This Row],[Weathersit]]=2, "MODERATE", IF(Table8[[#This Row],[Weathersit]]=3, "GOOD")))</f>
        <v>BAD</v>
      </c>
      <c r="H968" s="64">
        <v>24</v>
      </c>
      <c r="I968" s="65" t="str">
        <f>IF(Table8[[#This Row],[Temp]]&lt;11, "COLD", IF(Table8[[#This Row],[Temp]]&lt;=25, "COMFORTABLE", "WARM"))</f>
        <v>COMFORTABLE</v>
      </c>
      <c r="J968" s="64">
        <v>0.2273</v>
      </c>
      <c r="K968" s="64">
        <v>0.35</v>
      </c>
      <c r="L968" s="66">
        <v>19.400000000000002</v>
      </c>
      <c r="M968" s="75" t="s">
        <v>80</v>
      </c>
      <c r="N968" s="64">
        <v>21</v>
      </c>
      <c r="O968" s="64">
        <v>89</v>
      </c>
      <c r="P968" s="64">
        <v>110</v>
      </c>
      <c r="Q968" s="64"/>
      <c r="R968" s="65" t="str">
        <f t="shared" si="29"/>
        <v>Week 2</v>
      </c>
      <c r="S968" s="65" t="str">
        <f>TEXT(Table8[[#This Row],[Date Day]],"mmm,YYYY")</f>
        <v>Feb,2011</v>
      </c>
    </row>
    <row r="969" spans="1:19" ht="15.6" x14ac:dyDescent="0.3">
      <c r="A969" s="62">
        <v>936</v>
      </c>
      <c r="B969" s="63">
        <v>40584</v>
      </c>
      <c r="C969" s="64">
        <v>14</v>
      </c>
      <c r="D969" s="64" t="b">
        <f>IF(COUNTIF(AU$36:AU$52,Table8[[#This Row],[Date Day]]) &gt; 0, TRUE, FALSE)</f>
        <v>0</v>
      </c>
      <c r="E969" s="64">
        <f t="shared" si="28"/>
        <v>4</v>
      </c>
      <c r="F969" s="64">
        <v>1</v>
      </c>
      <c r="G969" s="65" t="str">
        <f>IF(Table8[[#This Row],[Weathersit]]=1, "BAD", IF(Table8[[#This Row],[Weathersit]]=2, "MODERATE", IF(Table8[[#This Row],[Weathersit]]=3, "GOOD")))</f>
        <v>BAD</v>
      </c>
      <c r="H969" s="64">
        <v>30</v>
      </c>
      <c r="I969" s="65" t="str">
        <f>IF(Table8[[#This Row],[Temp]]&lt;11, "COLD", IF(Table8[[#This Row],[Temp]]&lt;=25, "COMFORTABLE", "WARM"))</f>
        <v>WARM</v>
      </c>
      <c r="J969" s="64">
        <v>0.28789999999999999</v>
      </c>
      <c r="K969" s="64">
        <v>0.26</v>
      </c>
      <c r="L969" s="66">
        <v>25.369999999999997</v>
      </c>
      <c r="M969" s="75" t="s">
        <v>81</v>
      </c>
      <c r="N969" s="64">
        <v>17</v>
      </c>
      <c r="O969" s="64">
        <v>67</v>
      </c>
      <c r="P969" s="64">
        <v>84</v>
      </c>
      <c r="Q969" s="64"/>
      <c r="R969" s="65" t="str">
        <f t="shared" si="29"/>
        <v>Week 2</v>
      </c>
      <c r="S969" s="65" t="str">
        <f>TEXT(Table8[[#This Row],[Date Day]],"mmm,YYYY")</f>
        <v>Feb,2011</v>
      </c>
    </row>
    <row r="970" spans="1:19" ht="15.6" x14ac:dyDescent="0.3">
      <c r="A970" s="62">
        <v>937</v>
      </c>
      <c r="B970" s="63">
        <v>40584</v>
      </c>
      <c r="C970" s="64">
        <v>15</v>
      </c>
      <c r="D970" s="64" t="b">
        <f>IF(COUNTIF(AU$36:AU$52,Table8[[#This Row],[Date Day]]) &gt; 0, TRUE, FALSE)</f>
        <v>0</v>
      </c>
      <c r="E970" s="64">
        <f t="shared" si="28"/>
        <v>4</v>
      </c>
      <c r="F970" s="64">
        <v>1</v>
      </c>
      <c r="G970" s="65" t="str">
        <f>IF(Table8[[#This Row],[Weathersit]]=1, "BAD", IF(Table8[[#This Row],[Weathersit]]=2, "MODERATE", IF(Table8[[#This Row],[Weathersit]]=3, "GOOD")))</f>
        <v>BAD</v>
      </c>
      <c r="H970" s="64">
        <v>32</v>
      </c>
      <c r="I970" s="65" t="str">
        <f>IF(Table8[[#This Row],[Temp]]&lt;11, "COLD", IF(Table8[[#This Row],[Temp]]&lt;=25, "COMFORTABLE", "WARM"))</f>
        <v>WARM</v>
      </c>
      <c r="J970" s="64">
        <v>0.31819999999999998</v>
      </c>
      <c r="K970" s="64">
        <v>0.21</v>
      </c>
      <c r="L970" s="66">
        <v>16.420000000000002</v>
      </c>
      <c r="M970" s="75" t="s">
        <v>80</v>
      </c>
      <c r="N970" s="64">
        <v>12</v>
      </c>
      <c r="O970" s="64">
        <v>62</v>
      </c>
      <c r="P970" s="64">
        <v>74</v>
      </c>
      <c r="Q970" s="64"/>
      <c r="R970" s="65" t="str">
        <f t="shared" si="29"/>
        <v>Week 2</v>
      </c>
      <c r="S970" s="65" t="str">
        <f>TEXT(Table8[[#This Row],[Date Day]],"mmm,YYYY")</f>
        <v>Feb,2011</v>
      </c>
    </row>
    <row r="971" spans="1:19" ht="15.6" x14ac:dyDescent="0.3">
      <c r="A971" s="62">
        <v>938</v>
      </c>
      <c r="B971" s="63">
        <v>40584</v>
      </c>
      <c r="C971" s="64">
        <v>16</v>
      </c>
      <c r="D971" s="64" t="b">
        <f>IF(COUNTIF(AU$36:AU$52,Table8[[#This Row],[Date Day]]) &gt; 0, TRUE, FALSE)</f>
        <v>0</v>
      </c>
      <c r="E971" s="64">
        <f t="shared" si="28"/>
        <v>4</v>
      </c>
      <c r="F971" s="64">
        <v>1</v>
      </c>
      <c r="G971" s="65" t="str">
        <f>IF(Table8[[#This Row],[Weathersit]]=1, "BAD", IF(Table8[[#This Row],[Weathersit]]=2, "MODERATE", IF(Table8[[#This Row],[Weathersit]]=3, "GOOD")))</f>
        <v>BAD</v>
      </c>
      <c r="H971" s="64">
        <v>30</v>
      </c>
      <c r="I971" s="65" t="str">
        <f>IF(Table8[[#This Row],[Temp]]&lt;11, "COLD", IF(Table8[[#This Row],[Temp]]&lt;=25, "COMFORTABLE", "WARM"))</f>
        <v>WARM</v>
      </c>
      <c r="J971" s="64">
        <v>0.28789999999999999</v>
      </c>
      <c r="K971" s="64">
        <v>0.28000000000000003</v>
      </c>
      <c r="L971" s="66">
        <v>19.400000000000002</v>
      </c>
      <c r="M971" s="75" t="s">
        <v>80</v>
      </c>
      <c r="N971" s="64">
        <v>14</v>
      </c>
      <c r="O971" s="64">
        <v>111</v>
      </c>
      <c r="P971" s="64">
        <v>125</v>
      </c>
      <c r="Q971" s="64"/>
      <c r="R971" s="65" t="str">
        <f t="shared" si="29"/>
        <v>Week 2</v>
      </c>
      <c r="S971" s="65" t="str">
        <f>TEXT(Table8[[#This Row],[Date Day]],"mmm,YYYY")</f>
        <v>Feb,2011</v>
      </c>
    </row>
    <row r="972" spans="1:19" ht="15.6" x14ac:dyDescent="0.3">
      <c r="A972" s="62">
        <v>939</v>
      </c>
      <c r="B972" s="63">
        <v>40584</v>
      </c>
      <c r="C972" s="64">
        <v>17</v>
      </c>
      <c r="D972" s="64" t="b">
        <f>IF(COUNTIF(AU$36:AU$52,Table8[[#This Row],[Date Day]]) &gt; 0, TRUE, FALSE)</f>
        <v>0</v>
      </c>
      <c r="E972" s="64">
        <f t="shared" si="28"/>
        <v>4</v>
      </c>
      <c r="F972" s="64">
        <v>1</v>
      </c>
      <c r="G972" s="65" t="str">
        <f>IF(Table8[[#This Row],[Weathersit]]=1, "BAD", IF(Table8[[#This Row],[Weathersit]]=2, "MODERATE", IF(Table8[[#This Row],[Weathersit]]=3, "GOOD")))</f>
        <v>BAD</v>
      </c>
      <c r="H972" s="64">
        <v>30</v>
      </c>
      <c r="I972" s="65" t="str">
        <f>IF(Table8[[#This Row],[Temp]]&lt;11, "COLD", IF(Table8[[#This Row],[Temp]]&lt;=25, "COMFORTABLE", "WARM"))</f>
        <v>WARM</v>
      </c>
      <c r="J972" s="64">
        <v>0.33329999999999999</v>
      </c>
      <c r="K972" s="64">
        <v>0.24</v>
      </c>
      <c r="L972" s="66">
        <v>17.94158974358977</v>
      </c>
      <c r="M972" s="75" t="s">
        <v>80</v>
      </c>
      <c r="N972" s="64">
        <v>18</v>
      </c>
      <c r="O972" s="64">
        <v>193</v>
      </c>
      <c r="P972" s="64">
        <v>211</v>
      </c>
      <c r="Q972" s="64"/>
      <c r="R972" s="65" t="str">
        <f t="shared" si="29"/>
        <v>Week 2</v>
      </c>
      <c r="S972" s="65" t="str">
        <f>TEXT(Table8[[#This Row],[Date Day]],"mmm,YYYY")</f>
        <v>Feb,2011</v>
      </c>
    </row>
    <row r="973" spans="1:19" ht="15.6" x14ac:dyDescent="0.3">
      <c r="A973" s="62">
        <v>940</v>
      </c>
      <c r="B973" s="63">
        <v>40584</v>
      </c>
      <c r="C973" s="64">
        <v>18</v>
      </c>
      <c r="D973" s="64" t="b">
        <f>IF(COUNTIF(AU$36:AU$52,Table8[[#This Row],[Date Day]]) &gt; 0, TRUE, FALSE)</f>
        <v>0</v>
      </c>
      <c r="E973" s="64">
        <f t="shared" si="28"/>
        <v>4</v>
      </c>
      <c r="F973" s="64">
        <v>1</v>
      </c>
      <c r="G973" s="65" t="str">
        <f>IF(Table8[[#This Row],[Weathersit]]=1, "BAD", IF(Table8[[#This Row],[Weathersit]]=2, "MODERATE", IF(Table8[[#This Row],[Weathersit]]=3, "GOOD")))</f>
        <v>BAD</v>
      </c>
      <c r="H973" s="64">
        <v>28.000000000000004</v>
      </c>
      <c r="I973" s="65" t="str">
        <f>IF(Table8[[#This Row],[Temp]]&lt;11, "COLD", IF(Table8[[#This Row],[Temp]]&lt;=25, "COMFORTABLE", "WARM"))</f>
        <v>WARM</v>
      </c>
      <c r="J973" s="64">
        <v>0.31819999999999998</v>
      </c>
      <c r="K973" s="64">
        <v>0.28000000000000003</v>
      </c>
      <c r="L973" s="66">
        <v>17.94158974358977</v>
      </c>
      <c r="M973" s="75" t="s">
        <v>80</v>
      </c>
      <c r="N973" s="64">
        <v>9</v>
      </c>
      <c r="O973" s="64">
        <v>165</v>
      </c>
      <c r="P973" s="64">
        <v>174</v>
      </c>
      <c r="Q973" s="64"/>
      <c r="R973" s="65" t="str">
        <f t="shared" si="29"/>
        <v>Week 2</v>
      </c>
      <c r="S973" s="65" t="str">
        <f>TEXT(Table8[[#This Row],[Date Day]],"mmm,YYYY")</f>
        <v>Feb,2011</v>
      </c>
    </row>
    <row r="974" spans="1:19" ht="15.6" x14ac:dyDescent="0.3">
      <c r="A974" s="62">
        <v>941</v>
      </c>
      <c r="B974" s="63">
        <v>40584</v>
      </c>
      <c r="C974" s="64">
        <v>19</v>
      </c>
      <c r="D974" s="64" t="b">
        <f>IF(COUNTIF(AU$36:AU$52,Table8[[#This Row],[Date Day]]) &gt; 0, TRUE, FALSE)</f>
        <v>0</v>
      </c>
      <c r="E974" s="64">
        <f t="shared" si="28"/>
        <v>4</v>
      </c>
      <c r="F974" s="64">
        <v>1</v>
      </c>
      <c r="G974" s="65" t="str">
        <f>IF(Table8[[#This Row],[Weathersit]]=1, "BAD", IF(Table8[[#This Row],[Weathersit]]=2, "MODERATE", IF(Table8[[#This Row],[Weathersit]]=3, "GOOD")))</f>
        <v>BAD</v>
      </c>
      <c r="H974" s="64">
        <v>26</v>
      </c>
      <c r="I974" s="65" t="str">
        <f>IF(Table8[[#This Row],[Temp]]&lt;11, "COLD", IF(Table8[[#This Row],[Temp]]&lt;=25, "COMFORTABLE", "WARM"))</f>
        <v>WARM</v>
      </c>
      <c r="J974" s="64">
        <v>0.30299999999999999</v>
      </c>
      <c r="K974" s="64">
        <v>0.33</v>
      </c>
      <c r="L974" s="66">
        <v>17.94158974358977</v>
      </c>
      <c r="M974" s="75" t="s">
        <v>80</v>
      </c>
      <c r="N974" s="64">
        <v>7</v>
      </c>
      <c r="O974" s="64">
        <v>94</v>
      </c>
      <c r="P974" s="64">
        <v>101</v>
      </c>
      <c r="Q974" s="64"/>
      <c r="R974" s="65" t="str">
        <f t="shared" si="29"/>
        <v>Week 2</v>
      </c>
      <c r="S974" s="65" t="str">
        <f>TEXT(Table8[[#This Row],[Date Day]],"mmm,YYYY")</f>
        <v>Feb,2011</v>
      </c>
    </row>
    <row r="975" spans="1:19" ht="15.6" x14ac:dyDescent="0.3">
      <c r="A975" s="62">
        <v>942</v>
      </c>
      <c r="B975" s="63">
        <v>40584</v>
      </c>
      <c r="C975" s="64">
        <v>20</v>
      </c>
      <c r="D975" s="64" t="b">
        <f>IF(COUNTIF(AU$36:AU$52,Table8[[#This Row],[Date Day]]) &gt; 0, TRUE, FALSE)</f>
        <v>0</v>
      </c>
      <c r="E975" s="64">
        <f t="shared" si="28"/>
        <v>4</v>
      </c>
      <c r="F975" s="64">
        <v>1</v>
      </c>
      <c r="G975" s="65" t="str">
        <f>IF(Table8[[#This Row],[Weathersit]]=1, "BAD", IF(Table8[[#This Row],[Weathersit]]=2, "MODERATE", IF(Table8[[#This Row],[Weathersit]]=3, "GOOD")))</f>
        <v>BAD</v>
      </c>
      <c r="H975" s="64">
        <v>22</v>
      </c>
      <c r="I975" s="65" t="str">
        <f>IF(Table8[[#This Row],[Temp]]&lt;11, "COLD", IF(Table8[[#This Row],[Temp]]&lt;=25, "COMFORTABLE", "WARM"))</f>
        <v>COMFORTABLE</v>
      </c>
      <c r="J975" s="64">
        <v>0.2273</v>
      </c>
      <c r="K975" s="64">
        <v>0.55000000000000004</v>
      </c>
      <c r="L975" s="66">
        <v>13.43</v>
      </c>
      <c r="M975" s="75" t="s">
        <v>80</v>
      </c>
      <c r="N975" s="64">
        <v>2</v>
      </c>
      <c r="O975" s="64">
        <v>61</v>
      </c>
      <c r="P975" s="64">
        <v>63</v>
      </c>
      <c r="Q975" s="64"/>
      <c r="R975" s="65" t="str">
        <f t="shared" si="29"/>
        <v>Week 2</v>
      </c>
      <c r="S975" s="65" t="str">
        <f>TEXT(Table8[[#This Row],[Date Day]],"mmm,YYYY")</f>
        <v>Feb,2011</v>
      </c>
    </row>
    <row r="976" spans="1:19" ht="15.6" x14ac:dyDescent="0.3">
      <c r="A976" s="62">
        <v>943</v>
      </c>
      <c r="B976" s="63">
        <v>40584</v>
      </c>
      <c r="C976" s="64">
        <v>21</v>
      </c>
      <c r="D976" s="64" t="b">
        <f>IF(COUNTIF(AU$36:AU$52,Table8[[#This Row],[Date Day]]) &gt; 0, TRUE, FALSE)</f>
        <v>0</v>
      </c>
      <c r="E976" s="64">
        <f t="shared" si="28"/>
        <v>4</v>
      </c>
      <c r="F976" s="64">
        <v>1</v>
      </c>
      <c r="G976" s="65" t="str">
        <f>IF(Table8[[#This Row],[Weathersit]]=1, "BAD", IF(Table8[[#This Row],[Weathersit]]=2, "MODERATE", IF(Table8[[#This Row],[Weathersit]]=3, "GOOD")))</f>
        <v>BAD</v>
      </c>
      <c r="H976" s="64">
        <v>20</v>
      </c>
      <c r="I976" s="65" t="str">
        <f>IF(Table8[[#This Row],[Temp]]&lt;11, "COLD", IF(Table8[[#This Row],[Temp]]&lt;=25, "COMFORTABLE", "WARM"))</f>
        <v>COMFORTABLE</v>
      </c>
      <c r="J976" s="64">
        <v>0.21210000000000001</v>
      </c>
      <c r="K976" s="64">
        <v>0.59</v>
      </c>
      <c r="L976" s="66">
        <v>13.43</v>
      </c>
      <c r="M976" s="75" t="s">
        <v>80</v>
      </c>
      <c r="N976" s="64">
        <v>1</v>
      </c>
      <c r="O976" s="64">
        <v>46</v>
      </c>
      <c r="P976" s="64">
        <v>47</v>
      </c>
      <c r="Q976" s="64"/>
      <c r="R976" s="65" t="str">
        <f t="shared" si="29"/>
        <v>Week 2</v>
      </c>
      <c r="S976" s="65" t="str">
        <f>TEXT(Table8[[#This Row],[Date Day]],"mmm,YYYY")</f>
        <v>Feb,2011</v>
      </c>
    </row>
    <row r="977" spans="1:19" ht="15.6" x14ac:dyDescent="0.3">
      <c r="A977" s="62">
        <v>944</v>
      </c>
      <c r="B977" s="63">
        <v>40584</v>
      </c>
      <c r="C977" s="64">
        <v>22</v>
      </c>
      <c r="D977" s="64" t="b">
        <f>IF(COUNTIF(AU$36:AU$52,Table8[[#This Row],[Date Day]]) &gt; 0, TRUE, FALSE)</f>
        <v>0</v>
      </c>
      <c r="E977" s="64">
        <f t="shared" si="28"/>
        <v>4</v>
      </c>
      <c r="F977" s="64">
        <v>1</v>
      </c>
      <c r="G977" s="65" t="str">
        <f>IF(Table8[[#This Row],[Weathersit]]=1, "BAD", IF(Table8[[#This Row],[Weathersit]]=2, "MODERATE", IF(Table8[[#This Row],[Weathersit]]=3, "GOOD")))</f>
        <v>BAD</v>
      </c>
      <c r="H977" s="64">
        <v>20</v>
      </c>
      <c r="I977" s="65" t="str">
        <f>IF(Table8[[#This Row],[Temp]]&lt;11, "COLD", IF(Table8[[#This Row],[Temp]]&lt;=25, "COMFORTABLE", "WARM"))</f>
        <v>COMFORTABLE</v>
      </c>
      <c r="J977" s="64">
        <v>0.2273</v>
      </c>
      <c r="K977" s="64">
        <v>0.64</v>
      </c>
      <c r="L977" s="66">
        <v>8.9599999999999991</v>
      </c>
      <c r="M977" s="75" t="s">
        <v>80</v>
      </c>
      <c r="N977" s="64">
        <v>2</v>
      </c>
      <c r="O977" s="64">
        <v>41</v>
      </c>
      <c r="P977" s="64">
        <v>43</v>
      </c>
      <c r="Q977" s="64"/>
      <c r="R977" s="65" t="str">
        <f t="shared" si="29"/>
        <v>Week 2</v>
      </c>
      <c r="S977" s="65" t="str">
        <f>TEXT(Table8[[#This Row],[Date Day]],"mmm,YYYY")</f>
        <v>Feb,2011</v>
      </c>
    </row>
    <row r="978" spans="1:19" ht="15.6" x14ac:dyDescent="0.3">
      <c r="A978" s="62">
        <v>945</v>
      </c>
      <c r="B978" s="63">
        <v>40584</v>
      </c>
      <c r="C978" s="64">
        <v>23</v>
      </c>
      <c r="D978" s="64" t="b">
        <f>IF(COUNTIF(AU$36:AU$52,Table8[[#This Row],[Date Day]]) &gt; 0, TRUE, FALSE)</f>
        <v>0</v>
      </c>
      <c r="E978" s="64">
        <f t="shared" si="28"/>
        <v>4</v>
      </c>
      <c r="F978" s="64">
        <v>1</v>
      </c>
      <c r="G978" s="65" t="str">
        <f>IF(Table8[[#This Row],[Weathersit]]=1, "BAD", IF(Table8[[#This Row],[Weathersit]]=2, "MODERATE", IF(Table8[[#This Row],[Weathersit]]=3, "GOOD")))</f>
        <v>BAD</v>
      </c>
      <c r="H978" s="64">
        <v>18</v>
      </c>
      <c r="I978" s="65" t="str">
        <f>IF(Table8[[#This Row],[Temp]]&lt;11, "COLD", IF(Table8[[#This Row],[Temp]]&lt;=25, "COMFORTABLE", "WARM"))</f>
        <v>COMFORTABLE</v>
      </c>
      <c r="J978" s="64">
        <v>0.2424</v>
      </c>
      <c r="K978" s="64">
        <v>0.69</v>
      </c>
      <c r="L978" s="66">
        <v>17.94158974358977</v>
      </c>
      <c r="M978" s="75" t="s">
        <v>80</v>
      </c>
      <c r="N978" s="64">
        <v>5</v>
      </c>
      <c r="O978" s="64">
        <v>48</v>
      </c>
      <c r="P978" s="64">
        <v>53</v>
      </c>
      <c r="Q978" s="64"/>
      <c r="R978" s="65" t="str">
        <f t="shared" si="29"/>
        <v>Week 2</v>
      </c>
      <c r="S978" s="65" t="str">
        <f>TEXT(Table8[[#This Row],[Date Day]],"mmm,YYYY")</f>
        <v>Feb,2011</v>
      </c>
    </row>
    <row r="979" spans="1:19" ht="15.6" x14ac:dyDescent="0.3">
      <c r="A979" s="62">
        <v>946</v>
      </c>
      <c r="B979" s="63">
        <v>40585</v>
      </c>
      <c r="C979" s="64">
        <v>0</v>
      </c>
      <c r="D979" s="64" t="b">
        <f>IF(COUNTIF(AU$36:AU$52,Table8[[#This Row],[Date Day]]) &gt; 0, TRUE, FALSE)</f>
        <v>0</v>
      </c>
      <c r="E979" s="64">
        <f t="shared" si="28"/>
        <v>5</v>
      </c>
      <c r="F979" s="64">
        <v>1</v>
      </c>
      <c r="G979" s="65" t="str">
        <f>IF(Table8[[#This Row],[Weathersit]]=1, "BAD", IF(Table8[[#This Row],[Weathersit]]=2, "MODERATE", IF(Table8[[#This Row],[Weathersit]]=3, "GOOD")))</f>
        <v>BAD</v>
      </c>
      <c r="H979" s="64">
        <v>16</v>
      </c>
      <c r="I979" s="65" t="str">
        <f>IF(Table8[[#This Row],[Temp]]&lt;11, "COLD", IF(Table8[[#This Row],[Temp]]&lt;=25, "COMFORTABLE", "WARM"))</f>
        <v>COMFORTABLE</v>
      </c>
      <c r="J979" s="64">
        <v>0.19700000000000001</v>
      </c>
      <c r="K979" s="64">
        <v>0.69</v>
      </c>
      <c r="L979" s="66">
        <v>8.9599999999999991</v>
      </c>
      <c r="M979" s="75" t="s">
        <v>80</v>
      </c>
      <c r="N979" s="64">
        <v>3</v>
      </c>
      <c r="O979" s="64">
        <v>27</v>
      </c>
      <c r="P979" s="64">
        <v>30</v>
      </c>
      <c r="Q979" s="64"/>
      <c r="R979" s="65" t="str">
        <f t="shared" si="29"/>
        <v>Week 2</v>
      </c>
      <c r="S979" s="65" t="str">
        <f>TEXT(Table8[[#This Row],[Date Day]],"mmm,YYYY")</f>
        <v>Feb,2011</v>
      </c>
    </row>
    <row r="980" spans="1:19" ht="15.6" x14ac:dyDescent="0.3">
      <c r="A980" s="62">
        <v>947</v>
      </c>
      <c r="B980" s="63">
        <v>40585</v>
      </c>
      <c r="C980" s="64">
        <v>1</v>
      </c>
      <c r="D980" s="64" t="b">
        <f>IF(COUNTIF(AU$36:AU$52,Table8[[#This Row],[Date Day]]) &gt; 0, TRUE, FALSE)</f>
        <v>0</v>
      </c>
      <c r="E980" s="64">
        <f t="shared" si="28"/>
        <v>5</v>
      </c>
      <c r="F980" s="64">
        <v>1</v>
      </c>
      <c r="G980" s="65" t="str">
        <f>IF(Table8[[#This Row],[Weathersit]]=1, "BAD", IF(Table8[[#This Row],[Weathersit]]=2, "MODERATE", IF(Table8[[#This Row],[Weathersit]]=3, "GOOD")))</f>
        <v>BAD</v>
      </c>
      <c r="H980" s="64">
        <v>14.000000000000002</v>
      </c>
      <c r="I980" s="65" t="str">
        <f>IF(Table8[[#This Row],[Temp]]&lt;11, "COLD", IF(Table8[[#This Row],[Temp]]&lt;=25, "COMFORTABLE", "WARM"))</f>
        <v>COMFORTABLE</v>
      </c>
      <c r="J980" s="64">
        <v>0.21210000000000001</v>
      </c>
      <c r="K980" s="64">
        <v>0.86</v>
      </c>
      <c r="L980" s="66">
        <v>17.94158974358977</v>
      </c>
      <c r="M980" s="75" t="s">
        <v>80</v>
      </c>
      <c r="N980" s="64">
        <v>2</v>
      </c>
      <c r="O980" s="64">
        <v>22</v>
      </c>
      <c r="P980" s="64">
        <v>24</v>
      </c>
      <c r="Q980" s="64"/>
      <c r="R980" s="65" t="str">
        <f t="shared" si="29"/>
        <v>Week 2</v>
      </c>
      <c r="S980" s="65" t="str">
        <f>TEXT(Table8[[#This Row],[Date Day]],"mmm,YYYY")</f>
        <v>Feb,2011</v>
      </c>
    </row>
    <row r="981" spans="1:19" ht="15.6" x14ac:dyDescent="0.3">
      <c r="A981" s="62">
        <v>948</v>
      </c>
      <c r="B981" s="63">
        <v>40585</v>
      </c>
      <c r="C981" s="64">
        <v>2</v>
      </c>
      <c r="D981" s="64" t="b">
        <f>IF(COUNTIF(AU$36:AU$52,Table8[[#This Row],[Date Day]]) &gt; 0, TRUE, FALSE)</f>
        <v>0</v>
      </c>
      <c r="E981" s="64">
        <f t="shared" si="28"/>
        <v>5</v>
      </c>
      <c r="F981" s="64">
        <v>1</v>
      </c>
      <c r="G981" s="65" t="str">
        <f>IF(Table8[[#This Row],[Weathersit]]=1, "BAD", IF(Table8[[#This Row],[Weathersit]]=2, "MODERATE", IF(Table8[[#This Row],[Weathersit]]=3, "GOOD")))</f>
        <v>BAD</v>
      </c>
      <c r="H981" s="64">
        <v>14.000000000000002</v>
      </c>
      <c r="I981" s="65" t="str">
        <f>IF(Table8[[#This Row],[Temp]]&lt;11, "COLD", IF(Table8[[#This Row],[Temp]]&lt;=25, "COMFORTABLE", "WARM"))</f>
        <v>COMFORTABLE</v>
      </c>
      <c r="J981" s="64">
        <v>0.21210000000000001</v>
      </c>
      <c r="K981" s="64">
        <v>0.8</v>
      </c>
      <c r="L981" s="66">
        <v>17.94158974358977</v>
      </c>
      <c r="M981" s="75" t="s">
        <v>80</v>
      </c>
      <c r="N981" s="64">
        <v>2</v>
      </c>
      <c r="O981" s="64">
        <v>13</v>
      </c>
      <c r="P981" s="64">
        <v>15</v>
      </c>
      <c r="Q981" s="64"/>
      <c r="R981" s="65" t="str">
        <f t="shared" si="29"/>
        <v>Week 2</v>
      </c>
      <c r="S981" s="65" t="str">
        <f>TEXT(Table8[[#This Row],[Date Day]],"mmm,YYYY")</f>
        <v>Feb,2011</v>
      </c>
    </row>
    <row r="982" spans="1:19" ht="15.6" x14ac:dyDescent="0.3">
      <c r="A982" s="62">
        <v>949</v>
      </c>
      <c r="B982" s="63">
        <v>40585</v>
      </c>
      <c r="C982" s="64">
        <v>3</v>
      </c>
      <c r="D982" s="64" t="b">
        <f>IF(COUNTIF(AU$36:AU$52,Table8[[#This Row],[Date Day]]) &gt; 0, TRUE, FALSE)</f>
        <v>0</v>
      </c>
      <c r="E982" s="64">
        <f t="shared" si="28"/>
        <v>5</v>
      </c>
      <c r="F982" s="64">
        <v>1</v>
      </c>
      <c r="G982" s="65" t="str">
        <f>IF(Table8[[#This Row],[Weathersit]]=1, "BAD", IF(Table8[[#This Row],[Weathersit]]=2, "MODERATE", IF(Table8[[#This Row],[Weathersit]]=3, "GOOD")))</f>
        <v>BAD</v>
      </c>
      <c r="H982" s="64">
        <v>12</v>
      </c>
      <c r="I982" s="65" t="str">
        <f>IF(Table8[[#This Row],[Temp]]&lt;11, "COLD", IF(Table8[[#This Row],[Temp]]&lt;=25, "COMFORTABLE", "WARM"))</f>
        <v>COMFORTABLE</v>
      </c>
      <c r="J982" s="64">
        <v>0.19700000000000001</v>
      </c>
      <c r="K982" s="64">
        <v>0.8</v>
      </c>
      <c r="L982" s="66">
        <v>17.94158974358977</v>
      </c>
      <c r="M982" s="75" t="s">
        <v>80</v>
      </c>
      <c r="N982" s="64">
        <v>3</v>
      </c>
      <c r="O982" s="64">
        <v>7</v>
      </c>
      <c r="P982" s="64">
        <v>10</v>
      </c>
      <c r="Q982" s="64"/>
      <c r="R982" s="65" t="str">
        <f t="shared" si="29"/>
        <v>Week 2</v>
      </c>
      <c r="S982" s="65" t="str">
        <f>TEXT(Table8[[#This Row],[Date Day]],"mmm,YYYY")</f>
        <v>Feb,2011</v>
      </c>
    </row>
    <row r="983" spans="1:19" ht="15.6" x14ac:dyDescent="0.3">
      <c r="A983" s="62">
        <v>950</v>
      </c>
      <c r="B983" s="63">
        <v>40585</v>
      </c>
      <c r="C983" s="64">
        <v>4</v>
      </c>
      <c r="D983" s="64" t="b">
        <f>IF(COUNTIF(AU$36:AU$52,Table8[[#This Row],[Date Day]]) &gt; 0, TRUE, FALSE)</f>
        <v>0</v>
      </c>
      <c r="E983" s="64">
        <f t="shared" si="28"/>
        <v>5</v>
      </c>
      <c r="F983" s="64">
        <v>1</v>
      </c>
      <c r="G983" s="65" t="str">
        <f>IF(Table8[[#This Row],[Weathersit]]=1, "BAD", IF(Table8[[#This Row],[Weathersit]]=2, "MODERATE", IF(Table8[[#This Row],[Weathersit]]=3, "GOOD")))</f>
        <v>BAD</v>
      </c>
      <c r="H983" s="64">
        <v>12</v>
      </c>
      <c r="I983" s="65" t="str">
        <f>IF(Table8[[#This Row],[Temp]]&lt;11, "COLD", IF(Table8[[#This Row],[Temp]]&lt;=25, "COMFORTABLE", "WARM"))</f>
        <v>COMFORTABLE</v>
      </c>
      <c r="J983" s="64">
        <v>0.16669999999999999</v>
      </c>
      <c r="K983" s="64">
        <v>0.74</v>
      </c>
      <c r="L983" s="66">
        <v>8.9599999999999991</v>
      </c>
      <c r="M983" s="75" t="s">
        <v>80</v>
      </c>
      <c r="N983" s="64">
        <v>0</v>
      </c>
      <c r="O983" s="64">
        <v>4</v>
      </c>
      <c r="P983" s="64">
        <v>4</v>
      </c>
      <c r="Q983" s="64"/>
      <c r="R983" s="65" t="str">
        <f t="shared" si="29"/>
        <v>Week 2</v>
      </c>
      <c r="S983" s="65" t="str">
        <f>TEXT(Table8[[#This Row],[Date Day]],"mmm,YYYY")</f>
        <v>Feb,2011</v>
      </c>
    </row>
    <row r="984" spans="1:19" ht="15.6" x14ac:dyDescent="0.3">
      <c r="A984" s="62">
        <v>951</v>
      </c>
      <c r="B984" s="63">
        <v>40585</v>
      </c>
      <c r="C984" s="64">
        <v>5</v>
      </c>
      <c r="D984" s="64" t="b">
        <f>IF(COUNTIF(AU$36:AU$52,Table8[[#This Row],[Date Day]]) &gt; 0, TRUE, FALSE)</f>
        <v>0</v>
      </c>
      <c r="E984" s="64">
        <f t="shared" si="28"/>
        <v>5</v>
      </c>
      <c r="F984" s="64">
        <v>1</v>
      </c>
      <c r="G984" s="65" t="str">
        <f>IF(Table8[[#This Row],[Weathersit]]=1, "BAD", IF(Table8[[#This Row],[Weathersit]]=2, "MODERATE", IF(Table8[[#This Row],[Weathersit]]=3, "GOOD")))</f>
        <v>BAD</v>
      </c>
      <c r="H984" s="64">
        <v>12</v>
      </c>
      <c r="I984" s="65" t="str">
        <f>IF(Table8[[#This Row],[Temp]]&lt;11, "COLD", IF(Table8[[#This Row],[Temp]]&lt;=25, "COMFORTABLE", "WARM"))</f>
        <v>COMFORTABLE</v>
      </c>
      <c r="J984" s="64">
        <v>0.16669999999999999</v>
      </c>
      <c r="K984" s="64">
        <v>0.74</v>
      </c>
      <c r="L984" s="66">
        <v>8.9599999999999991</v>
      </c>
      <c r="M984" s="75" t="s">
        <v>80</v>
      </c>
      <c r="N984" s="64">
        <v>0</v>
      </c>
      <c r="O984" s="64">
        <v>1</v>
      </c>
      <c r="P984" s="64">
        <v>1</v>
      </c>
      <c r="Q984" s="64"/>
      <c r="R984" s="65" t="str">
        <f t="shared" si="29"/>
        <v>Week 2</v>
      </c>
      <c r="S984" s="65" t="str">
        <f>TEXT(Table8[[#This Row],[Date Day]],"mmm,YYYY")</f>
        <v>Feb,2011</v>
      </c>
    </row>
    <row r="985" spans="1:19" ht="15.6" x14ac:dyDescent="0.3">
      <c r="A985" s="62">
        <v>952</v>
      </c>
      <c r="B985" s="63">
        <v>40585</v>
      </c>
      <c r="C985" s="64">
        <v>6</v>
      </c>
      <c r="D985" s="64" t="b">
        <f>IF(COUNTIF(AU$36:AU$52,Table8[[#This Row],[Date Day]]) &gt; 0, TRUE, FALSE)</f>
        <v>0</v>
      </c>
      <c r="E985" s="64">
        <f t="shared" si="28"/>
        <v>5</v>
      </c>
      <c r="F985" s="64">
        <v>1</v>
      </c>
      <c r="G985" s="65" t="str">
        <f>IF(Table8[[#This Row],[Weathersit]]=1, "BAD", IF(Table8[[#This Row],[Weathersit]]=2, "MODERATE", IF(Table8[[#This Row],[Weathersit]]=3, "GOOD")))</f>
        <v>BAD</v>
      </c>
      <c r="H985" s="64">
        <v>12</v>
      </c>
      <c r="I985" s="65" t="str">
        <f>IF(Table8[[#This Row],[Temp]]&lt;11, "COLD", IF(Table8[[#This Row],[Temp]]&lt;=25, "COMFORTABLE", "WARM"))</f>
        <v>COMFORTABLE</v>
      </c>
      <c r="J985" s="64">
        <v>0.13639999999999999</v>
      </c>
      <c r="K985" s="64">
        <v>0.93</v>
      </c>
      <c r="L985" s="66">
        <v>19.400000000000002</v>
      </c>
      <c r="M985" s="75" t="s">
        <v>80</v>
      </c>
      <c r="N985" s="64">
        <v>1</v>
      </c>
      <c r="O985" s="64">
        <v>1</v>
      </c>
      <c r="P985" s="64">
        <v>2</v>
      </c>
      <c r="Q985" s="64"/>
      <c r="R985" s="65" t="str">
        <f t="shared" si="29"/>
        <v>Week 2</v>
      </c>
      <c r="S985" s="65" t="str">
        <f>TEXT(Table8[[#This Row],[Date Day]],"mmm,YYYY")</f>
        <v>Feb,2011</v>
      </c>
    </row>
    <row r="986" spans="1:19" ht="15.6" x14ac:dyDescent="0.3">
      <c r="A986" s="62">
        <v>953</v>
      </c>
      <c r="B986" s="63">
        <v>40585</v>
      </c>
      <c r="C986" s="64">
        <v>7</v>
      </c>
      <c r="D986" s="64" t="b">
        <f>IF(COUNTIF(AU$36:AU$52,Table8[[#This Row],[Date Day]]) &gt; 0, TRUE, FALSE)</f>
        <v>0</v>
      </c>
      <c r="E986" s="64">
        <f t="shared" si="28"/>
        <v>5</v>
      </c>
      <c r="F986" s="64">
        <v>1</v>
      </c>
      <c r="G986" s="65" t="str">
        <f>IF(Table8[[#This Row],[Weathersit]]=1, "BAD", IF(Table8[[#This Row],[Weathersit]]=2, "MODERATE", IF(Table8[[#This Row],[Weathersit]]=3, "GOOD")))</f>
        <v>BAD</v>
      </c>
      <c r="H986" s="64">
        <v>12</v>
      </c>
      <c r="I986" s="65" t="str">
        <f>IF(Table8[[#This Row],[Temp]]&lt;11, "COLD", IF(Table8[[#This Row],[Temp]]&lt;=25, "COMFORTABLE", "WARM"))</f>
        <v>COMFORTABLE</v>
      </c>
      <c r="J986" s="64">
        <v>0.1515</v>
      </c>
      <c r="K986" s="64">
        <v>0.8</v>
      </c>
      <c r="L986" s="66">
        <v>10.45</v>
      </c>
      <c r="M986" s="75" t="s">
        <v>80</v>
      </c>
      <c r="N986" s="64">
        <v>2</v>
      </c>
      <c r="O986" s="64">
        <v>9</v>
      </c>
      <c r="P986" s="64">
        <v>11</v>
      </c>
      <c r="Q986" s="64"/>
      <c r="R986" s="65" t="str">
        <f t="shared" si="29"/>
        <v>Week 2</v>
      </c>
      <c r="S986" s="65" t="str">
        <f>TEXT(Table8[[#This Row],[Date Day]],"mmm,YYYY")</f>
        <v>Feb,2011</v>
      </c>
    </row>
    <row r="987" spans="1:19" ht="15.6" x14ac:dyDescent="0.3">
      <c r="A987" s="62">
        <v>954</v>
      </c>
      <c r="B987" s="63">
        <v>40585</v>
      </c>
      <c r="C987" s="64">
        <v>8</v>
      </c>
      <c r="D987" s="64" t="b">
        <f>IF(COUNTIF(AU$36:AU$52,Table8[[#This Row],[Date Day]]) &gt; 0, TRUE, FALSE)</f>
        <v>0</v>
      </c>
      <c r="E987" s="64">
        <f t="shared" si="28"/>
        <v>5</v>
      </c>
      <c r="F987" s="64">
        <v>1</v>
      </c>
      <c r="G987" s="65" t="str">
        <f>IF(Table8[[#This Row],[Weathersit]]=1, "BAD", IF(Table8[[#This Row],[Weathersit]]=2, "MODERATE", IF(Table8[[#This Row],[Weathersit]]=3, "GOOD")))</f>
        <v>BAD</v>
      </c>
      <c r="H987" s="64">
        <v>14.000000000000002</v>
      </c>
      <c r="I987" s="65" t="str">
        <f>IF(Table8[[#This Row],[Temp]]&lt;11, "COLD", IF(Table8[[#This Row],[Temp]]&lt;=25, "COMFORTABLE", "WARM"))</f>
        <v>COMFORTABLE</v>
      </c>
      <c r="J987" s="64">
        <v>0.1515</v>
      </c>
      <c r="K987" s="64">
        <v>0.86</v>
      </c>
      <c r="L987" s="66">
        <v>13.43</v>
      </c>
      <c r="M987" s="75" t="s">
        <v>80</v>
      </c>
      <c r="N987" s="64">
        <v>2</v>
      </c>
      <c r="O987" s="64">
        <v>28</v>
      </c>
      <c r="P987" s="64">
        <v>30</v>
      </c>
      <c r="Q987" s="64"/>
      <c r="R987" s="65" t="str">
        <f t="shared" si="29"/>
        <v>Week 2</v>
      </c>
      <c r="S987" s="65" t="str">
        <f>TEXT(Table8[[#This Row],[Date Day]],"mmm,YYYY")</f>
        <v>Feb,2011</v>
      </c>
    </row>
    <row r="988" spans="1:19" ht="15.6" x14ac:dyDescent="0.3">
      <c r="A988" s="62">
        <v>955</v>
      </c>
      <c r="B988" s="63">
        <v>40585</v>
      </c>
      <c r="C988" s="64">
        <v>9</v>
      </c>
      <c r="D988" s="64" t="b">
        <f>IF(COUNTIF(AU$36:AU$52,Table8[[#This Row],[Date Day]]) &gt; 0, TRUE, FALSE)</f>
        <v>0</v>
      </c>
      <c r="E988" s="64">
        <f t="shared" si="28"/>
        <v>5</v>
      </c>
      <c r="F988" s="64">
        <v>1</v>
      </c>
      <c r="G988" s="65" t="str">
        <f>IF(Table8[[#This Row],[Weathersit]]=1, "BAD", IF(Table8[[#This Row],[Weathersit]]=2, "MODERATE", IF(Table8[[#This Row],[Weathersit]]=3, "GOOD")))</f>
        <v>BAD</v>
      </c>
      <c r="H988" s="64">
        <v>16</v>
      </c>
      <c r="I988" s="65" t="str">
        <f>IF(Table8[[#This Row],[Temp]]&lt;11, "COLD", IF(Table8[[#This Row],[Temp]]&lt;=25, "COMFORTABLE", "WARM"))</f>
        <v>COMFORTABLE</v>
      </c>
      <c r="J988" s="64">
        <v>0.18179999999999999</v>
      </c>
      <c r="K988" s="64">
        <v>0.64</v>
      </c>
      <c r="L988" s="66">
        <v>13.43</v>
      </c>
      <c r="M988" s="75" t="s">
        <v>80</v>
      </c>
      <c r="N988" s="64">
        <v>5</v>
      </c>
      <c r="O988" s="64">
        <v>38</v>
      </c>
      <c r="P988" s="64">
        <v>43</v>
      </c>
      <c r="Q988" s="64"/>
      <c r="R988" s="65" t="str">
        <f t="shared" si="29"/>
        <v>Week 2</v>
      </c>
      <c r="S988" s="65" t="str">
        <f>TEXT(Table8[[#This Row],[Date Day]],"mmm,YYYY")</f>
        <v>Feb,2011</v>
      </c>
    </row>
    <row r="989" spans="1:19" ht="15.6" x14ac:dyDescent="0.3">
      <c r="A989" s="62">
        <v>956</v>
      </c>
      <c r="B989" s="63">
        <v>40585</v>
      </c>
      <c r="C989" s="64">
        <v>10</v>
      </c>
      <c r="D989" s="64" t="b">
        <f>IF(COUNTIF(AU$36:AU$52,Table8[[#This Row],[Date Day]]) &gt; 0, TRUE, FALSE)</f>
        <v>0</v>
      </c>
      <c r="E989" s="64">
        <f t="shared" si="28"/>
        <v>5</v>
      </c>
      <c r="F989" s="64">
        <v>1</v>
      </c>
      <c r="G989" s="65" t="str">
        <f>IF(Table8[[#This Row],[Weathersit]]=1, "BAD", IF(Table8[[#This Row],[Weathersit]]=2, "MODERATE", IF(Table8[[#This Row],[Weathersit]]=3, "GOOD")))</f>
        <v>BAD</v>
      </c>
      <c r="H989" s="64">
        <v>22</v>
      </c>
      <c r="I989" s="65" t="str">
        <f>IF(Table8[[#This Row],[Temp]]&lt;11, "COLD", IF(Table8[[#This Row],[Temp]]&lt;=25, "COMFORTABLE", "WARM"))</f>
        <v>COMFORTABLE</v>
      </c>
      <c r="J989" s="64">
        <v>0.21210000000000001</v>
      </c>
      <c r="K989" s="64">
        <v>0.41</v>
      </c>
      <c r="L989" s="66">
        <v>25.369999999999997</v>
      </c>
      <c r="M989" s="75" t="s">
        <v>81</v>
      </c>
      <c r="N989" s="64">
        <v>13</v>
      </c>
      <c r="O989" s="64">
        <v>71</v>
      </c>
      <c r="P989" s="64">
        <v>84</v>
      </c>
      <c r="Q989" s="64"/>
      <c r="R989" s="65" t="str">
        <f t="shared" si="29"/>
        <v>Week 2</v>
      </c>
      <c r="S989" s="65" t="str">
        <f>TEXT(Table8[[#This Row],[Date Day]],"mmm,YYYY")</f>
        <v>Feb,2011</v>
      </c>
    </row>
    <row r="990" spans="1:19" ht="15.6" x14ac:dyDescent="0.3">
      <c r="A990" s="62">
        <v>957</v>
      </c>
      <c r="B990" s="63">
        <v>40585</v>
      </c>
      <c r="C990" s="64">
        <v>11</v>
      </c>
      <c r="D990" s="64" t="b">
        <f>IF(COUNTIF(AU$36:AU$52,Table8[[#This Row],[Date Day]]) &gt; 0, TRUE, FALSE)</f>
        <v>0</v>
      </c>
      <c r="E990" s="64">
        <f t="shared" si="28"/>
        <v>5</v>
      </c>
      <c r="F990" s="64">
        <v>1</v>
      </c>
      <c r="G990" s="65" t="str">
        <f>IF(Table8[[#This Row],[Weathersit]]=1, "BAD", IF(Table8[[#This Row],[Weathersit]]=2, "MODERATE", IF(Table8[[#This Row],[Weathersit]]=3, "GOOD")))</f>
        <v>BAD</v>
      </c>
      <c r="H990" s="64">
        <v>30</v>
      </c>
      <c r="I990" s="65" t="str">
        <f>IF(Table8[[#This Row],[Temp]]&lt;11, "COLD", IF(Table8[[#This Row],[Temp]]&lt;=25, "COMFORTABLE", "WARM"))</f>
        <v>WARM</v>
      </c>
      <c r="J990" s="64">
        <v>0.2727</v>
      </c>
      <c r="K990" s="64">
        <v>0.28000000000000003</v>
      </c>
      <c r="L990" s="66">
        <v>32.840000000000003</v>
      </c>
      <c r="M990" s="75" t="s">
        <v>84</v>
      </c>
      <c r="N990" s="64">
        <v>30</v>
      </c>
      <c r="O990" s="64">
        <v>84</v>
      </c>
      <c r="P990" s="64">
        <v>114</v>
      </c>
      <c r="Q990" s="64"/>
      <c r="R990" s="65" t="str">
        <f t="shared" si="29"/>
        <v>Week 2</v>
      </c>
      <c r="S990" s="65" t="str">
        <f>TEXT(Table8[[#This Row],[Date Day]],"mmm,YYYY")</f>
        <v>Feb,2011</v>
      </c>
    </row>
    <row r="991" spans="1:19" ht="15.6" x14ac:dyDescent="0.3">
      <c r="A991" s="62">
        <v>958</v>
      </c>
      <c r="B991" s="63">
        <v>40585</v>
      </c>
      <c r="C991" s="64">
        <v>12</v>
      </c>
      <c r="D991" s="64" t="b">
        <f>IF(COUNTIF(AU$36:AU$52,Table8[[#This Row],[Date Day]]) &gt; 0, TRUE, FALSE)</f>
        <v>0</v>
      </c>
      <c r="E991" s="64">
        <f t="shared" si="28"/>
        <v>5</v>
      </c>
      <c r="F991" s="64">
        <v>1</v>
      </c>
      <c r="G991" s="65" t="str">
        <f>IF(Table8[[#This Row],[Weathersit]]=1, "BAD", IF(Table8[[#This Row],[Weathersit]]=2, "MODERATE", IF(Table8[[#This Row],[Weathersit]]=3, "GOOD")))</f>
        <v>BAD</v>
      </c>
      <c r="H991" s="64">
        <v>30</v>
      </c>
      <c r="I991" s="65" t="str">
        <f>IF(Table8[[#This Row],[Temp]]&lt;11, "COLD", IF(Table8[[#This Row],[Temp]]&lt;=25, "COMFORTABLE", "WARM"))</f>
        <v>WARM</v>
      </c>
      <c r="J991" s="64">
        <v>0.2727</v>
      </c>
      <c r="K991" s="64">
        <v>0.39</v>
      </c>
      <c r="L991" s="66">
        <v>46.27</v>
      </c>
      <c r="M991" s="75" t="s">
        <v>84</v>
      </c>
      <c r="N991" s="64">
        <v>27</v>
      </c>
      <c r="O991" s="64">
        <v>93</v>
      </c>
      <c r="P991" s="64">
        <v>120</v>
      </c>
      <c r="Q991" s="64"/>
      <c r="R991" s="65" t="str">
        <f t="shared" si="29"/>
        <v>Week 2</v>
      </c>
      <c r="S991" s="65" t="str">
        <f>TEXT(Table8[[#This Row],[Date Day]],"mmm,YYYY")</f>
        <v>Feb,2011</v>
      </c>
    </row>
    <row r="992" spans="1:19" ht="15.6" x14ac:dyDescent="0.3">
      <c r="A992" s="62">
        <v>959</v>
      </c>
      <c r="B992" s="63">
        <v>40585</v>
      </c>
      <c r="C992" s="64">
        <v>13</v>
      </c>
      <c r="D992" s="64" t="b">
        <f>IF(COUNTIF(AU$36:AU$52,Table8[[#This Row],[Date Day]]) &gt; 0, TRUE, FALSE)</f>
        <v>0</v>
      </c>
      <c r="E992" s="64">
        <f t="shared" si="28"/>
        <v>5</v>
      </c>
      <c r="F992" s="64">
        <v>1</v>
      </c>
      <c r="G992" s="65" t="str">
        <f>IF(Table8[[#This Row],[Weathersit]]=1, "BAD", IF(Table8[[#This Row],[Weathersit]]=2, "MODERATE", IF(Table8[[#This Row],[Weathersit]]=3, "GOOD")))</f>
        <v>BAD</v>
      </c>
      <c r="H992" s="64">
        <v>30</v>
      </c>
      <c r="I992" s="65" t="str">
        <f>IF(Table8[[#This Row],[Temp]]&lt;11, "COLD", IF(Table8[[#This Row],[Temp]]&lt;=25, "COMFORTABLE", "WARM"))</f>
        <v>WARM</v>
      </c>
      <c r="J992" s="64">
        <v>0.2727</v>
      </c>
      <c r="K992" s="64">
        <v>0.39</v>
      </c>
      <c r="L992" s="66">
        <v>41.79</v>
      </c>
      <c r="M992" s="75" t="s">
        <v>84</v>
      </c>
      <c r="N992" s="64">
        <v>32</v>
      </c>
      <c r="O992" s="64">
        <v>103</v>
      </c>
      <c r="P992" s="64">
        <v>135</v>
      </c>
      <c r="Q992" s="64"/>
      <c r="R992" s="65" t="str">
        <f t="shared" si="29"/>
        <v>Week 2</v>
      </c>
      <c r="S992" s="65" t="str">
        <f>TEXT(Table8[[#This Row],[Date Day]],"mmm,YYYY")</f>
        <v>Feb,2011</v>
      </c>
    </row>
    <row r="993" spans="1:19" ht="15.6" x14ac:dyDescent="0.3">
      <c r="A993" s="62">
        <v>960</v>
      </c>
      <c r="B993" s="63">
        <v>40585</v>
      </c>
      <c r="C993" s="64">
        <v>14</v>
      </c>
      <c r="D993" s="64" t="b">
        <f>IF(COUNTIF(AU$36:AU$52,Table8[[#This Row],[Date Day]]) &gt; 0, TRUE, FALSE)</f>
        <v>0</v>
      </c>
      <c r="E993" s="64">
        <f t="shared" si="28"/>
        <v>5</v>
      </c>
      <c r="F993" s="64">
        <v>1</v>
      </c>
      <c r="G993" s="65" t="str">
        <f>IF(Table8[[#This Row],[Weathersit]]=1, "BAD", IF(Table8[[#This Row],[Weathersit]]=2, "MODERATE", IF(Table8[[#This Row],[Weathersit]]=3, "GOOD")))</f>
        <v>BAD</v>
      </c>
      <c r="H993" s="64">
        <v>34</v>
      </c>
      <c r="I993" s="65" t="str">
        <f>IF(Table8[[#This Row],[Temp]]&lt;11, "COLD", IF(Table8[[#This Row],[Temp]]&lt;=25, "COMFORTABLE", "WARM"))</f>
        <v>WARM</v>
      </c>
      <c r="J993" s="64">
        <v>0.31819999999999998</v>
      </c>
      <c r="K993" s="64">
        <v>0.31</v>
      </c>
      <c r="L993" s="66">
        <v>28.360000000000003</v>
      </c>
      <c r="M993" s="75" t="s">
        <v>81</v>
      </c>
      <c r="N993" s="64">
        <v>30</v>
      </c>
      <c r="O993" s="64">
        <v>90</v>
      </c>
      <c r="P993" s="64">
        <v>120</v>
      </c>
      <c r="Q993" s="64"/>
      <c r="R993" s="65" t="str">
        <f t="shared" si="29"/>
        <v>Week 2</v>
      </c>
      <c r="S993" s="65" t="str">
        <f>TEXT(Table8[[#This Row],[Date Day]],"mmm,YYYY")</f>
        <v>Feb,2011</v>
      </c>
    </row>
    <row r="994" spans="1:19" ht="15.6" x14ac:dyDescent="0.3">
      <c r="A994" s="62">
        <v>961</v>
      </c>
      <c r="B994" s="63">
        <v>40585</v>
      </c>
      <c r="C994" s="64">
        <v>15</v>
      </c>
      <c r="D994" s="64" t="b">
        <f>IF(COUNTIF(AU$36:AU$52,Table8[[#This Row],[Date Day]]) &gt; 0, TRUE, FALSE)</f>
        <v>0</v>
      </c>
      <c r="E994" s="64">
        <f t="shared" ref="E994:E1033" si="30">WEEKDAY(B:B,2)</f>
        <v>5</v>
      </c>
      <c r="F994" s="64">
        <v>1</v>
      </c>
      <c r="G994" s="65" t="str">
        <f>IF(Table8[[#This Row],[Weathersit]]=1, "BAD", IF(Table8[[#This Row],[Weathersit]]=2, "MODERATE", IF(Table8[[#This Row],[Weathersit]]=3, "GOOD")))</f>
        <v>BAD</v>
      </c>
      <c r="H994" s="64">
        <v>34</v>
      </c>
      <c r="I994" s="65" t="str">
        <f>IF(Table8[[#This Row],[Temp]]&lt;11, "COLD", IF(Table8[[#This Row],[Temp]]&lt;=25, "COMFORTABLE", "WARM"))</f>
        <v>WARM</v>
      </c>
      <c r="J994" s="64">
        <v>0.30299999999999999</v>
      </c>
      <c r="K994" s="64">
        <v>0.28999999999999998</v>
      </c>
      <c r="L994" s="66">
        <v>41.79</v>
      </c>
      <c r="M994" s="75" t="s">
        <v>84</v>
      </c>
      <c r="N994" s="64">
        <v>47</v>
      </c>
      <c r="O994" s="64">
        <v>127</v>
      </c>
      <c r="P994" s="64">
        <v>174</v>
      </c>
      <c r="Q994" s="64"/>
      <c r="R994" s="65" t="str">
        <f t="shared" ref="R994:R1033" si="31">"Week " &amp; INT((DAY(B994)-1)/7)+1</f>
        <v>Week 2</v>
      </c>
      <c r="S994" s="65" t="str">
        <f>TEXT(Table8[[#This Row],[Date Day]],"mmm,YYYY")</f>
        <v>Feb,2011</v>
      </c>
    </row>
    <row r="995" spans="1:19" ht="15.6" x14ac:dyDescent="0.3">
      <c r="A995" s="62">
        <v>962</v>
      </c>
      <c r="B995" s="63">
        <v>40585</v>
      </c>
      <c r="C995" s="64">
        <v>16</v>
      </c>
      <c r="D995" s="64" t="b">
        <f>IF(COUNTIF(AU$36:AU$52,Table8[[#This Row],[Date Day]]) &gt; 0, TRUE, FALSE)</f>
        <v>0</v>
      </c>
      <c r="E995" s="64">
        <f t="shared" si="30"/>
        <v>5</v>
      </c>
      <c r="F995" s="64">
        <v>1</v>
      </c>
      <c r="G995" s="65" t="str">
        <f>IF(Table8[[#This Row],[Weathersit]]=1, "BAD", IF(Table8[[#This Row],[Weathersit]]=2, "MODERATE", IF(Table8[[#This Row],[Weathersit]]=3, "GOOD")))</f>
        <v>BAD</v>
      </c>
      <c r="H995" s="64">
        <v>34</v>
      </c>
      <c r="I995" s="65" t="str">
        <f>IF(Table8[[#This Row],[Temp]]&lt;11, "COLD", IF(Table8[[#This Row],[Temp]]&lt;=25, "COMFORTABLE", "WARM"))</f>
        <v>WARM</v>
      </c>
      <c r="J995" s="64">
        <v>0.30299999999999999</v>
      </c>
      <c r="K995" s="64">
        <v>0.28999999999999998</v>
      </c>
      <c r="L995" s="66">
        <v>41.79</v>
      </c>
      <c r="M995" s="75" t="s">
        <v>84</v>
      </c>
      <c r="N995" s="64">
        <v>42</v>
      </c>
      <c r="O995" s="64">
        <v>103</v>
      </c>
      <c r="P995" s="64">
        <v>145</v>
      </c>
      <c r="Q995" s="64"/>
      <c r="R995" s="65" t="str">
        <f t="shared" si="31"/>
        <v>Week 2</v>
      </c>
      <c r="S995" s="65" t="str">
        <f>TEXT(Table8[[#This Row],[Date Day]],"mmm,YYYY")</f>
        <v>Feb,2011</v>
      </c>
    </row>
    <row r="996" spans="1:19" ht="15.6" x14ac:dyDescent="0.3">
      <c r="A996" s="62">
        <v>963</v>
      </c>
      <c r="B996" s="63">
        <v>40585</v>
      </c>
      <c r="C996" s="64">
        <v>17</v>
      </c>
      <c r="D996" s="64" t="b">
        <f>IF(COUNTIF(AU$36:AU$52,Table8[[#This Row],[Date Day]]) &gt; 0, TRUE, FALSE)</f>
        <v>0</v>
      </c>
      <c r="E996" s="64">
        <f t="shared" si="30"/>
        <v>5</v>
      </c>
      <c r="F996" s="64">
        <v>1</v>
      </c>
      <c r="G996" s="65" t="str">
        <f>IF(Table8[[#This Row],[Weathersit]]=1, "BAD", IF(Table8[[#This Row],[Weathersit]]=2, "MODERATE", IF(Table8[[#This Row],[Weathersit]]=3, "GOOD")))</f>
        <v>BAD</v>
      </c>
      <c r="H996" s="64">
        <v>32</v>
      </c>
      <c r="I996" s="65" t="str">
        <f>IF(Table8[[#This Row],[Temp]]&lt;11, "COLD", IF(Table8[[#This Row],[Temp]]&lt;=25, "COMFORTABLE", "WARM"))</f>
        <v>WARM</v>
      </c>
      <c r="J996" s="64">
        <v>0.28789999999999999</v>
      </c>
      <c r="K996" s="64">
        <v>0.31</v>
      </c>
      <c r="L996" s="66">
        <v>52.239999999999995</v>
      </c>
      <c r="M996" s="75" t="s">
        <v>84</v>
      </c>
      <c r="N996" s="64">
        <v>24</v>
      </c>
      <c r="O996" s="64">
        <v>113</v>
      </c>
      <c r="P996" s="64">
        <v>137</v>
      </c>
      <c r="Q996" s="64"/>
      <c r="R996" s="65" t="str">
        <f t="shared" si="31"/>
        <v>Week 2</v>
      </c>
      <c r="S996" s="65" t="str">
        <f>TEXT(Table8[[#This Row],[Date Day]],"mmm,YYYY")</f>
        <v>Feb,2011</v>
      </c>
    </row>
    <row r="997" spans="1:19" ht="15.6" x14ac:dyDescent="0.3">
      <c r="A997" s="62">
        <v>964</v>
      </c>
      <c r="B997" s="63">
        <v>40585</v>
      </c>
      <c r="C997" s="64">
        <v>18</v>
      </c>
      <c r="D997" s="64" t="b">
        <f>IF(COUNTIF(AU$36:AU$52,Table8[[#This Row],[Date Day]]) &gt; 0, TRUE, FALSE)</f>
        <v>0</v>
      </c>
      <c r="E997" s="64">
        <f t="shared" si="30"/>
        <v>5</v>
      </c>
      <c r="F997" s="64">
        <v>1</v>
      </c>
      <c r="G997" s="65" t="str">
        <f>IF(Table8[[#This Row],[Weathersit]]=1, "BAD", IF(Table8[[#This Row],[Weathersit]]=2, "MODERATE", IF(Table8[[#This Row],[Weathersit]]=3, "GOOD")))</f>
        <v>BAD</v>
      </c>
      <c r="H997" s="64">
        <v>28.000000000000004</v>
      </c>
      <c r="I997" s="65" t="str">
        <f>IF(Table8[[#This Row],[Temp]]&lt;11, "COLD", IF(Table8[[#This Row],[Temp]]&lt;=25, "COMFORTABLE", "WARM"))</f>
        <v>WARM</v>
      </c>
      <c r="J997" s="64">
        <v>0.2576</v>
      </c>
      <c r="K997" s="64">
        <v>0.38</v>
      </c>
      <c r="L997" s="66">
        <v>32.840000000000003</v>
      </c>
      <c r="M997" s="75" t="s">
        <v>84</v>
      </c>
      <c r="N997" s="64">
        <v>4</v>
      </c>
      <c r="O997" s="64">
        <v>60</v>
      </c>
      <c r="P997" s="64">
        <v>64</v>
      </c>
      <c r="Q997" s="64"/>
      <c r="R997" s="65" t="str">
        <f t="shared" si="31"/>
        <v>Week 2</v>
      </c>
      <c r="S997" s="65" t="str">
        <f>TEXT(Table8[[#This Row],[Date Day]],"mmm,YYYY")</f>
        <v>Feb,2011</v>
      </c>
    </row>
    <row r="998" spans="1:19" ht="15.6" x14ac:dyDescent="0.3">
      <c r="A998" s="62">
        <v>965</v>
      </c>
      <c r="B998" s="63">
        <v>40585</v>
      </c>
      <c r="C998" s="64">
        <v>19</v>
      </c>
      <c r="D998" s="64" t="b">
        <f>IF(COUNTIF(AU$36:AU$52,Table8[[#This Row],[Date Day]]) &gt; 0, TRUE, FALSE)</f>
        <v>0</v>
      </c>
      <c r="E998" s="64">
        <f t="shared" si="30"/>
        <v>5</v>
      </c>
      <c r="F998" s="64">
        <v>1</v>
      </c>
      <c r="G998" s="65" t="str">
        <f>IF(Table8[[#This Row],[Weathersit]]=1, "BAD", IF(Table8[[#This Row],[Weathersit]]=2, "MODERATE", IF(Table8[[#This Row],[Weathersit]]=3, "GOOD")))</f>
        <v>BAD</v>
      </c>
      <c r="H998" s="64">
        <v>28.000000000000004</v>
      </c>
      <c r="I998" s="65" t="str">
        <f>IF(Table8[[#This Row],[Temp]]&lt;11, "COLD", IF(Table8[[#This Row],[Temp]]&lt;=25, "COMFORTABLE", "WARM"))</f>
        <v>WARM</v>
      </c>
      <c r="J998" s="64">
        <v>0.2727</v>
      </c>
      <c r="K998" s="64">
        <v>0.38</v>
      </c>
      <c r="L998" s="66">
        <v>16.420000000000002</v>
      </c>
      <c r="M998" s="75" t="s">
        <v>80</v>
      </c>
      <c r="N998" s="64">
        <v>2</v>
      </c>
      <c r="O998" s="64">
        <v>39</v>
      </c>
      <c r="P998" s="64">
        <v>41</v>
      </c>
      <c r="Q998" s="64"/>
      <c r="R998" s="65" t="str">
        <f t="shared" si="31"/>
        <v>Week 2</v>
      </c>
      <c r="S998" s="65" t="str">
        <f>TEXT(Table8[[#This Row],[Date Day]],"mmm,YYYY")</f>
        <v>Feb,2011</v>
      </c>
    </row>
    <row r="999" spans="1:19" ht="15.6" x14ac:dyDescent="0.3">
      <c r="A999" s="62">
        <v>966</v>
      </c>
      <c r="B999" s="63">
        <v>40585</v>
      </c>
      <c r="C999" s="64">
        <v>20</v>
      </c>
      <c r="D999" s="64" t="b">
        <f>IF(COUNTIF(AU$36:AU$52,Table8[[#This Row],[Date Day]]) &gt; 0, TRUE, FALSE)</f>
        <v>0</v>
      </c>
      <c r="E999" s="64">
        <f t="shared" si="30"/>
        <v>5</v>
      </c>
      <c r="F999" s="64">
        <v>1</v>
      </c>
      <c r="G999" s="65" t="str">
        <f>IF(Table8[[#This Row],[Weathersit]]=1, "BAD", IF(Table8[[#This Row],[Weathersit]]=2, "MODERATE", IF(Table8[[#This Row],[Weathersit]]=3, "GOOD")))</f>
        <v>BAD</v>
      </c>
      <c r="H999" s="64">
        <v>26</v>
      </c>
      <c r="I999" s="65" t="str">
        <f>IF(Table8[[#This Row],[Temp]]&lt;11, "COLD", IF(Table8[[#This Row],[Temp]]&lt;=25, "COMFORTABLE", "WARM"))</f>
        <v>WARM</v>
      </c>
      <c r="J999" s="64">
        <v>0.2576</v>
      </c>
      <c r="K999" s="64">
        <v>0.41</v>
      </c>
      <c r="L999" s="66">
        <v>22.39</v>
      </c>
      <c r="M999" s="75" t="s">
        <v>81</v>
      </c>
      <c r="N999" s="64">
        <v>1</v>
      </c>
      <c r="O999" s="64">
        <v>39</v>
      </c>
      <c r="P999" s="64">
        <v>40</v>
      </c>
      <c r="Q999" s="64"/>
      <c r="R999" s="65" t="str">
        <f t="shared" si="31"/>
        <v>Week 2</v>
      </c>
      <c r="S999" s="65" t="str">
        <f>TEXT(Table8[[#This Row],[Date Day]],"mmm,YYYY")</f>
        <v>Feb,2011</v>
      </c>
    </row>
    <row r="1000" spans="1:19" ht="15.6" x14ac:dyDescent="0.3">
      <c r="A1000" s="62">
        <v>967</v>
      </c>
      <c r="B1000" s="63">
        <v>40585</v>
      </c>
      <c r="C1000" s="64">
        <v>21</v>
      </c>
      <c r="D1000" s="64" t="b">
        <f>IF(COUNTIF(AU$36:AU$52,Table8[[#This Row],[Date Day]]) &gt; 0, TRUE, FALSE)</f>
        <v>0</v>
      </c>
      <c r="E1000" s="64">
        <f t="shared" si="30"/>
        <v>5</v>
      </c>
      <c r="F1000" s="64">
        <v>1</v>
      </c>
      <c r="G1000" s="65" t="str">
        <f>IF(Table8[[#This Row],[Weathersit]]=1, "BAD", IF(Table8[[#This Row],[Weathersit]]=2, "MODERATE", IF(Table8[[#This Row],[Weathersit]]=3, "GOOD")))</f>
        <v>BAD</v>
      </c>
      <c r="H1000" s="64">
        <v>26</v>
      </c>
      <c r="I1000" s="65" t="str">
        <f>IF(Table8[[#This Row],[Temp]]&lt;11, "COLD", IF(Table8[[#This Row],[Temp]]&lt;=25, "COMFORTABLE", "WARM"))</f>
        <v>WARM</v>
      </c>
      <c r="J1000" s="64">
        <v>0.30299999999999999</v>
      </c>
      <c r="K1000" s="64">
        <v>0.41</v>
      </c>
      <c r="L1000" s="66">
        <v>17.94158974358977</v>
      </c>
      <c r="M1000" s="75" t="s">
        <v>80</v>
      </c>
      <c r="N1000" s="64">
        <v>9</v>
      </c>
      <c r="O1000" s="64">
        <v>42</v>
      </c>
      <c r="P1000" s="64">
        <v>51</v>
      </c>
      <c r="Q1000" s="64"/>
      <c r="R1000" s="65" t="str">
        <f t="shared" si="31"/>
        <v>Week 2</v>
      </c>
      <c r="S1000" s="65" t="str">
        <f>TEXT(Table8[[#This Row],[Date Day]],"mmm,YYYY")</f>
        <v>Feb,2011</v>
      </c>
    </row>
    <row r="1001" spans="1:19" ht="15.6" x14ac:dyDescent="0.3">
      <c r="A1001" s="62">
        <v>968</v>
      </c>
      <c r="B1001" s="63">
        <v>40585</v>
      </c>
      <c r="C1001" s="64">
        <v>22</v>
      </c>
      <c r="D1001" s="64" t="b">
        <f>IF(COUNTIF(AU$36:AU$52,Table8[[#This Row],[Date Day]]) &gt; 0, TRUE, FALSE)</f>
        <v>0</v>
      </c>
      <c r="E1001" s="64">
        <f t="shared" si="30"/>
        <v>5</v>
      </c>
      <c r="F1001" s="64">
        <v>1</v>
      </c>
      <c r="G1001" s="65" t="str">
        <f>IF(Table8[[#This Row],[Weathersit]]=1, "BAD", IF(Table8[[#This Row],[Weathersit]]=2, "MODERATE", IF(Table8[[#This Row],[Weathersit]]=3, "GOOD")))</f>
        <v>BAD</v>
      </c>
      <c r="H1001" s="64">
        <v>24</v>
      </c>
      <c r="I1001" s="65" t="str">
        <f>IF(Table8[[#This Row],[Temp]]&lt;11, "COLD", IF(Table8[[#This Row],[Temp]]&lt;=25, "COMFORTABLE", "WARM"))</f>
        <v>COMFORTABLE</v>
      </c>
      <c r="J1001" s="64">
        <v>0.2576</v>
      </c>
      <c r="K1001" s="64">
        <v>0.44</v>
      </c>
      <c r="L1001" s="66">
        <v>8.9599999999999991</v>
      </c>
      <c r="M1001" s="75" t="s">
        <v>80</v>
      </c>
      <c r="N1001" s="64">
        <v>6</v>
      </c>
      <c r="O1001" s="64">
        <v>39</v>
      </c>
      <c r="P1001" s="64">
        <v>45</v>
      </c>
      <c r="Q1001" s="64"/>
      <c r="R1001" s="65" t="str">
        <f t="shared" si="31"/>
        <v>Week 2</v>
      </c>
      <c r="S1001" s="65" t="str">
        <f>TEXT(Table8[[#This Row],[Date Day]],"mmm,YYYY")</f>
        <v>Feb,2011</v>
      </c>
    </row>
    <row r="1002" spans="1:19" ht="15.6" x14ac:dyDescent="0.3">
      <c r="A1002" s="62">
        <v>969</v>
      </c>
      <c r="B1002" s="63">
        <v>40585</v>
      </c>
      <c r="C1002" s="64">
        <v>23</v>
      </c>
      <c r="D1002" s="64" t="b">
        <f>IF(COUNTIF(AU$36:AU$52,Table8[[#This Row],[Date Day]]) &gt; 0, TRUE, FALSE)</f>
        <v>0</v>
      </c>
      <c r="E1002" s="64">
        <f t="shared" si="30"/>
        <v>5</v>
      </c>
      <c r="F1002" s="64">
        <v>1</v>
      </c>
      <c r="G1002" s="65" t="str">
        <f>IF(Table8[[#This Row],[Weathersit]]=1, "BAD", IF(Table8[[#This Row],[Weathersit]]=2, "MODERATE", IF(Table8[[#This Row],[Weathersit]]=3, "GOOD")))</f>
        <v>BAD</v>
      </c>
      <c r="H1002" s="64">
        <v>22</v>
      </c>
      <c r="I1002" s="65" t="str">
        <f>IF(Table8[[#This Row],[Temp]]&lt;11, "COLD", IF(Table8[[#This Row],[Temp]]&lt;=25, "COMFORTABLE", "WARM"))</f>
        <v>COMFORTABLE</v>
      </c>
      <c r="J1002" s="64">
        <v>0.2273</v>
      </c>
      <c r="K1002" s="64">
        <v>0.51</v>
      </c>
      <c r="L1002" s="66">
        <v>13.43</v>
      </c>
      <c r="M1002" s="75" t="s">
        <v>80</v>
      </c>
      <c r="N1002" s="64">
        <v>1</v>
      </c>
      <c r="O1002" s="64">
        <v>31</v>
      </c>
      <c r="P1002" s="64">
        <v>32</v>
      </c>
      <c r="Q1002" s="64"/>
      <c r="R1002" s="65" t="str">
        <f t="shared" si="31"/>
        <v>Week 2</v>
      </c>
      <c r="S1002" s="65" t="str">
        <f>TEXT(Table8[[#This Row],[Date Day]],"mmm,YYYY")</f>
        <v>Feb,2011</v>
      </c>
    </row>
    <row r="1003" spans="1:19" ht="15.6" x14ac:dyDescent="0.3">
      <c r="A1003" s="62">
        <v>970</v>
      </c>
      <c r="B1003" s="63">
        <v>40586</v>
      </c>
      <c r="C1003" s="64">
        <v>0</v>
      </c>
      <c r="D1003" s="64" t="b">
        <f>IF(COUNTIF(AU$36:AU$52,Table8[[#This Row],[Date Day]]) &gt; 0, TRUE, FALSE)</f>
        <v>0</v>
      </c>
      <c r="E1003" s="64">
        <f t="shared" si="30"/>
        <v>6</v>
      </c>
      <c r="F1003" s="64">
        <v>1</v>
      </c>
      <c r="G1003" s="65" t="str">
        <f>IF(Table8[[#This Row],[Weathersit]]=1, "BAD", IF(Table8[[#This Row],[Weathersit]]=2, "MODERATE", IF(Table8[[#This Row],[Weathersit]]=3, "GOOD")))</f>
        <v>BAD</v>
      </c>
      <c r="H1003" s="64">
        <v>20</v>
      </c>
      <c r="I1003" s="65" t="str">
        <f>IF(Table8[[#This Row],[Temp]]&lt;11, "COLD", IF(Table8[[#This Row],[Temp]]&lt;=25, "COMFORTABLE", "WARM"))</f>
        <v>COMFORTABLE</v>
      </c>
      <c r="J1003" s="64">
        <v>0.2273</v>
      </c>
      <c r="K1003" s="64">
        <v>0.64</v>
      </c>
      <c r="L1003" s="66">
        <v>10.45</v>
      </c>
      <c r="M1003" s="75" t="s">
        <v>80</v>
      </c>
      <c r="N1003" s="64">
        <v>5</v>
      </c>
      <c r="O1003" s="64">
        <v>34</v>
      </c>
      <c r="P1003" s="64">
        <v>39</v>
      </c>
      <c r="Q1003" s="64"/>
      <c r="R1003" s="65" t="str">
        <f t="shared" si="31"/>
        <v>Week 2</v>
      </c>
      <c r="S1003" s="65" t="str">
        <f>TEXT(Table8[[#This Row],[Date Day]],"mmm,YYYY")</f>
        <v>Feb,2011</v>
      </c>
    </row>
    <row r="1004" spans="1:19" ht="15.6" x14ac:dyDescent="0.3">
      <c r="A1004" s="62">
        <v>971</v>
      </c>
      <c r="B1004" s="63">
        <v>40586</v>
      </c>
      <c r="C1004" s="64">
        <v>1</v>
      </c>
      <c r="D1004" s="64" t="b">
        <f>IF(COUNTIF(AU$36:AU$52,Table8[[#This Row],[Date Day]]) &gt; 0, TRUE, FALSE)</f>
        <v>0</v>
      </c>
      <c r="E1004" s="64">
        <f t="shared" si="30"/>
        <v>6</v>
      </c>
      <c r="F1004" s="64">
        <v>1</v>
      </c>
      <c r="G1004" s="65" t="str">
        <f>IF(Table8[[#This Row],[Weathersit]]=1, "BAD", IF(Table8[[#This Row],[Weathersit]]=2, "MODERATE", IF(Table8[[#This Row],[Weathersit]]=3, "GOOD")))</f>
        <v>BAD</v>
      </c>
      <c r="H1004" s="64">
        <v>20</v>
      </c>
      <c r="I1004" s="65" t="str">
        <f>IF(Table8[[#This Row],[Temp]]&lt;11, "COLD", IF(Table8[[#This Row],[Temp]]&lt;=25, "COMFORTABLE", "WARM"))</f>
        <v>COMFORTABLE</v>
      </c>
      <c r="J1004" s="64">
        <v>0.2273</v>
      </c>
      <c r="K1004" s="64">
        <v>0.59</v>
      </c>
      <c r="L1004" s="66">
        <v>8.9599999999999991</v>
      </c>
      <c r="M1004" s="75" t="s">
        <v>80</v>
      </c>
      <c r="N1004" s="64">
        <v>1</v>
      </c>
      <c r="O1004" s="64">
        <v>23</v>
      </c>
      <c r="P1004" s="64">
        <v>24</v>
      </c>
      <c r="Q1004" s="64"/>
      <c r="R1004" s="65" t="str">
        <f t="shared" si="31"/>
        <v>Week 2</v>
      </c>
      <c r="S1004" s="65" t="str">
        <f>TEXT(Table8[[#This Row],[Date Day]],"mmm,YYYY")</f>
        <v>Feb,2011</v>
      </c>
    </row>
    <row r="1005" spans="1:19" ht="15.6" x14ac:dyDescent="0.3">
      <c r="A1005" s="62">
        <v>972</v>
      </c>
      <c r="B1005" s="63">
        <v>40586</v>
      </c>
      <c r="C1005" s="64">
        <v>2</v>
      </c>
      <c r="D1005" s="64" t="b">
        <f>IF(COUNTIF(AU$36:AU$52,Table8[[#This Row],[Date Day]]) &gt; 0, TRUE, FALSE)</f>
        <v>0</v>
      </c>
      <c r="E1005" s="64">
        <f t="shared" si="30"/>
        <v>6</v>
      </c>
      <c r="F1005" s="64">
        <v>2</v>
      </c>
      <c r="G1005" s="65" t="str">
        <f>IF(Table8[[#This Row],[Weathersit]]=1, "BAD", IF(Table8[[#This Row],[Weathersit]]=2, "MODERATE", IF(Table8[[#This Row],[Weathersit]]=3, "GOOD")))</f>
        <v>MODERATE</v>
      </c>
      <c r="H1005" s="64">
        <v>20</v>
      </c>
      <c r="I1005" s="65" t="str">
        <f>IF(Table8[[#This Row],[Temp]]&lt;11, "COLD", IF(Table8[[#This Row],[Temp]]&lt;=25, "COMFORTABLE", "WARM"))</f>
        <v>COMFORTABLE</v>
      </c>
      <c r="J1005" s="64">
        <v>0.2273</v>
      </c>
      <c r="K1005" s="64">
        <v>0.75</v>
      </c>
      <c r="L1005" s="66">
        <v>8.9599999999999991</v>
      </c>
      <c r="M1005" s="75" t="s">
        <v>80</v>
      </c>
      <c r="N1005" s="64">
        <v>1</v>
      </c>
      <c r="O1005" s="64">
        <v>19</v>
      </c>
      <c r="P1005" s="64">
        <v>20</v>
      </c>
      <c r="Q1005" s="64"/>
      <c r="R1005" s="65" t="str">
        <f t="shared" si="31"/>
        <v>Week 2</v>
      </c>
      <c r="S1005" s="65" t="str">
        <f>TEXT(Table8[[#This Row],[Date Day]],"mmm,YYYY")</f>
        <v>Feb,2011</v>
      </c>
    </row>
    <row r="1006" spans="1:19" ht="15.6" x14ac:dyDescent="0.3">
      <c r="A1006" s="62">
        <v>973</v>
      </c>
      <c r="B1006" s="63">
        <v>40586</v>
      </c>
      <c r="C1006" s="64">
        <v>3</v>
      </c>
      <c r="D1006" s="64" t="b">
        <f>IF(COUNTIF(AU$36:AU$52,Table8[[#This Row],[Date Day]]) &gt; 0, TRUE, FALSE)</f>
        <v>0</v>
      </c>
      <c r="E1006" s="64">
        <f t="shared" si="30"/>
        <v>6</v>
      </c>
      <c r="F1006" s="64">
        <v>2</v>
      </c>
      <c r="G1006" s="65" t="str">
        <f>IF(Table8[[#This Row],[Weathersit]]=1, "BAD", IF(Table8[[#This Row],[Weathersit]]=2, "MODERATE", IF(Table8[[#This Row],[Weathersit]]=3, "GOOD")))</f>
        <v>MODERATE</v>
      </c>
      <c r="H1006" s="64">
        <v>20</v>
      </c>
      <c r="I1006" s="65" t="str">
        <f>IF(Table8[[#This Row],[Temp]]&lt;11, "COLD", IF(Table8[[#This Row],[Temp]]&lt;=25, "COMFORTABLE", "WARM"))</f>
        <v>COMFORTABLE</v>
      </c>
      <c r="J1006" s="64">
        <v>0.2273</v>
      </c>
      <c r="K1006" s="64">
        <v>0.69</v>
      </c>
      <c r="L1006" s="66">
        <v>10.45</v>
      </c>
      <c r="M1006" s="75" t="s">
        <v>80</v>
      </c>
      <c r="N1006" s="64">
        <v>4</v>
      </c>
      <c r="O1006" s="64">
        <v>8</v>
      </c>
      <c r="P1006" s="64">
        <v>12</v>
      </c>
      <c r="Q1006" s="64"/>
      <c r="R1006" s="65" t="str">
        <f t="shared" si="31"/>
        <v>Week 2</v>
      </c>
      <c r="S1006" s="65" t="str">
        <f>TEXT(Table8[[#This Row],[Date Day]],"mmm,YYYY")</f>
        <v>Feb,2011</v>
      </c>
    </row>
    <row r="1007" spans="1:19" ht="15.6" x14ac:dyDescent="0.3">
      <c r="A1007" s="62">
        <v>974</v>
      </c>
      <c r="B1007" s="63">
        <v>40586</v>
      </c>
      <c r="C1007" s="64">
        <v>4</v>
      </c>
      <c r="D1007" s="64" t="b">
        <f>IF(COUNTIF(AU$36:AU$52,Table8[[#This Row],[Date Day]]) &gt; 0, TRUE, FALSE)</f>
        <v>0</v>
      </c>
      <c r="E1007" s="64">
        <f t="shared" si="30"/>
        <v>6</v>
      </c>
      <c r="F1007" s="64">
        <v>2</v>
      </c>
      <c r="G1007" s="65" t="str">
        <f>IF(Table8[[#This Row],[Weathersit]]=1, "BAD", IF(Table8[[#This Row],[Weathersit]]=2, "MODERATE", IF(Table8[[#This Row],[Weathersit]]=3, "GOOD")))</f>
        <v>MODERATE</v>
      </c>
      <c r="H1007" s="64">
        <v>20</v>
      </c>
      <c r="I1007" s="65" t="str">
        <f>IF(Table8[[#This Row],[Temp]]&lt;11, "COLD", IF(Table8[[#This Row],[Temp]]&lt;=25, "COMFORTABLE", "WARM"))</f>
        <v>COMFORTABLE</v>
      </c>
      <c r="J1007" s="64">
        <v>0.21210000000000001</v>
      </c>
      <c r="K1007" s="64">
        <v>0.69</v>
      </c>
      <c r="L1007" s="66">
        <v>16.420000000000002</v>
      </c>
      <c r="M1007" s="75" t="s">
        <v>80</v>
      </c>
      <c r="N1007" s="64">
        <v>0</v>
      </c>
      <c r="O1007" s="64">
        <v>2</v>
      </c>
      <c r="P1007" s="64">
        <v>2</v>
      </c>
      <c r="Q1007" s="64"/>
      <c r="R1007" s="65" t="str">
        <f t="shared" si="31"/>
        <v>Week 2</v>
      </c>
      <c r="S1007" s="65" t="str">
        <f>TEXT(Table8[[#This Row],[Date Day]],"mmm,YYYY")</f>
        <v>Feb,2011</v>
      </c>
    </row>
    <row r="1008" spans="1:19" ht="15.6" x14ac:dyDescent="0.3">
      <c r="A1008" s="62">
        <v>975</v>
      </c>
      <c r="B1008" s="63">
        <v>40586</v>
      </c>
      <c r="C1008" s="64">
        <v>6</v>
      </c>
      <c r="D1008" s="64" t="b">
        <f>IF(COUNTIF(AU$36:AU$52,Table8[[#This Row],[Date Day]]) &gt; 0, TRUE, FALSE)</f>
        <v>0</v>
      </c>
      <c r="E1008" s="64">
        <f t="shared" si="30"/>
        <v>6</v>
      </c>
      <c r="F1008" s="64">
        <v>2</v>
      </c>
      <c r="G1008" s="65" t="str">
        <f>IF(Table8[[#This Row],[Weathersit]]=1, "BAD", IF(Table8[[#This Row],[Weathersit]]=2, "MODERATE", IF(Table8[[#This Row],[Weathersit]]=3, "GOOD")))</f>
        <v>MODERATE</v>
      </c>
      <c r="H1008" s="64">
        <v>20</v>
      </c>
      <c r="I1008" s="65" t="str">
        <f>IF(Table8[[#This Row],[Temp]]&lt;11, "COLD", IF(Table8[[#This Row],[Temp]]&lt;=25, "COMFORTABLE", "WARM"))</f>
        <v>COMFORTABLE</v>
      </c>
      <c r="J1008" s="64">
        <v>0.21210000000000001</v>
      </c>
      <c r="K1008" s="64">
        <v>0.69</v>
      </c>
      <c r="L1008" s="66">
        <v>13.43</v>
      </c>
      <c r="M1008" s="75" t="s">
        <v>80</v>
      </c>
      <c r="N1008" s="64">
        <v>2</v>
      </c>
      <c r="O1008" s="64">
        <v>3</v>
      </c>
      <c r="P1008" s="64">
        <v>5</v>
      </c>
      <c r="Q1008" s="64"/>
      <c r="R1008" s="65" t="str">
        <f t="shared" si="31"/>
        <v>Week 2</v>
      </c>
      <c r="S1008" s="65" t="str">
        <f>TEXT(Table8[[#This Row],[Date Day]],"mmm,YYYY")</f>
        <v>Feb,2011</v>
      </c>
    </row>
    <row r="1009" spans="1:19" ht="15.6" x14ac:dyDescent="0.3">
      <c r="A1009" s="62">
        <v>976</v>
      </c>
      <c r="B1009" s="63">
        <v>40586</v>
      </c>
      <c r="C1009" s="64">
        <v>7</v>
      </c>
      <c r="D1009" s="64" t="b">
        <f>IF(COUNTIF(AU$36:AU$52,Table8[[#This Row],[Date Day]]) &gt; 0, TRUE, FALSE)</f>
        <v>0</v>
      </c>
      <c r="E1009" s="64">
        <f t="shared" si="30"/>
        <v>6</v>
      </c>
      <c r="F1009" s="64">
        <v>2</v>
      </c>
      <c r="G1009" s="65" t="str">
        <f>IF(Table8[[#This Row],[Weathersit]]=1, "BAD", IF(Table8[[#This Row],[Weathersit]]=2, "MODERATE", IF(Table8[[#This Row],[Weathersit]]=3, "GOOD")))</f>
        <v>MODERATE</v>
      </c>
      <c r="H1009" s="64">
        <v>22</v>
      </c>
      <c r="I1009" s="65" t="str">
        <f>IF(Table8[[#This Row],[Temp]]&lt;11, "COLD", IF(Table8[[#This Row],[Temp]]&lt;=25, "COMFORTABLE", "WARM"))</f>
        <v>COMFORTABLE</v>
      </c>
      <c r="J1009" s="64">
        <v>0.2727</v>
      </c>
      <c r="K1009" s="64">
        <v>0.55000000000000004</v>
      </c>
      <c r="L1009" s="66">
        <v>17.94158974358977</v>
      </c>
      <c r="M1009" s="75" t="s">
        <v>80</v>
      </c>
      <c r="N1009" s="64">
        <v>0</v>
      </c>
      <c r="O1009" s="64">
        <v>3</v>
      </c>
      <c r="P1009" s="64">
        <v>3</v>
      </c>
      <c r="Q1009" s="64"/>
      <c r="R1009" s="65" t="str">
        <f t="shared" si="31"/>
        <v>Week 2</v>
      </c>
      <c r="S1009" s="65" t="str">
        <f>TEXT(Table8[[#This Row],[Date Day]],"mmm,YYYY")</f>
        <v>Feb,2011</v>
      </c>
    </row>
    <row r="1010" spans="1:19" ht="15.6" x14ac:dyDescent="0.3">
      <c r="A1010" s="62">
        <v>977</v>
      </c>
      <c r="B1010" s="63">
        <v>40586</v>
      </c>
      <c r="C1010" s="64">
        <v>8</v>
      </c>
      <c r="D1010" s="64" t="b">
        <f>IF(COUNTIF(AU$36:AU$52,Table8[[#This Row],[Date Day]]) &gt; 0, TRUE, FALSE)</f>
        <v>0</v>
      </c>
      <c r="E1010" s="64">
        <f t="shared" si="30"/>
        <v>6</v>
      </c>
      <c r="F1010" s="64">
        <v>2</v>
      </c>
      <c r="G1010" s="65" t="str">
        <f>IF(Table8[[#This Row],[Weathersit]]=1, "BAD", IF(Table8[[#This Row],[Weathersit]]=2, "MODERATE", IF(Table8[[#This Row],[Weathersit]]=3, "GOOD")))</f>
        <v>MODERATE</v>
      </c>
      <c r="H1010" s="64">
        <v>22</v>
      </c>
      <c r="I1010" s="65" t="str">
        <f>IF(Table8[[#This Row],[Temp]]&lt;11, "COLD", IF(Table8[[#This Row],[Temp]]&lt;=25, "COMFORTABLE", "WARM"))</f>
        <v>COMFORTABLE</v>
      </c>
      <c r="J1010" s="64">
        <v>0.2273</v>
      </c>
      <c r="K1010" s="64">
        <v>0.64</v>
      </c>
      <c r="L1010" s="66">
        <v>19.400000000000002</v>
      </c>
      <c r="M1010" s="75" t="s">
        <v>80</v>
      </c>
      <c r="N1010" s="64">
        <v>1</v>
      </c>
      <c r="O1010" s="64">
        <v>11</v>
      </c>
      <c r="P1010" s="64">
        <v>12</v>
      </c>
      <c r="Q1010" s="64"/>
      <c r="R1010" s="65" t="str">
        <f t="shared" si="31"/>
        <v>Week 2</v>
      </c>
      <c r="S1010" s="65" t="str">
        <f>TEXT(Table8[[#This Row],[Date Day]],"mmm,YYYY")</f>
        <v>Feb,2011</v>
      </c>
    </row>
    <row r="1011" spans="1:19" ht="15.6" x14ac:dyDescent="0.3">
      <c r="A1011" s="62">
        <v>978</v>
      </c>
      <c r="B1011" s="63">
        <v>40586</v>
      </c>
      <c r="C1011" s="64">
        <v>9</v>
      </c>
      <c r="D1011" s="64" t="b">
        <f>IF(COUNTIF(AU$36:AU$52,Table8[[#This Row],[Date Day]]) &gt; 0, TRUE, FALSE)</f>
        <v>0</v>
      </c>
      <c r="E1011" s="64">
        <f t="shared" si="30"/>
        <v>6</v>
      </c>
      <c r="F1011" s="64">
        <v>2</v>
      </c>
      <c r="G1011" s="65" t="str">
        <f>IF(Table8[[#This Row],[Weathersit]]=1, "BAD", IF(Table8[[#This Row],[Weathersit]]=2, "MODERATE", IF(Table8[[#This Row],[Weathersit]]=3, "GOOD")))</f>
        <v>MODERATE</v>
      </c>
      <c r="H1011" s="64">
        <v>24</v>
      </c>
      <c r="I1011" s="65" t="str">
        <f>IF(Table8[[#This Row],[Temp]]&lt;11, "COLD", IF(Table8[[#This Row],[Temp]]&lt;=25, "COMFORTABLE", "WARM"))</f>
        <v>COMFORTABLE</v>
      </c>
      <c r="J1011" s="64">
        <v>0.2273</v>
      </c>
      <c r="K1011" s="64">
        <v>0.6</v>
      </c>
      <c r="L1011" s="66">
        <v>22.39</v>
      </c>
      <c r="M1011" s="75" t="s">
        <v>81</v>
      </c>
      <c r="N1011" s="64">
        <v>12</v>
      </c>
      <c r="O1011" s="64">
        <v>35</v>
      </c>
      <c r="P1011" s="64">
        <v>47</v>
      </c>
      <c r="Q1011" s="64"/>
      <c r="R1011" s="65" t="str">
        <f t="shared" si="31"/>
        <v>Week 2</v>
      </c>
      <c r="S1011" s="65" t="str">
        <f>TEXT(Table8[[#This Row],[Date Day]],"mmm,YYYY")</f>
        <v>Feb,2011</v>
      </c>
    </row>
    <row r="1012" spans="1:19" ht="15.6" x14ac:dyDescent="0.3">
      <c r="A1012" s="62">
        <v>979</v>
      </c>
      <c r="B1012" s="63">
        <v>40586</v>
      </c>
      <c r="C1012" s="64">
        <v>10</v>
      </c>
      <c r="D1012" s="64" t="b">
        <f>IF(COUNTIF(AU$36:AU$52,Table8[[#This Row],[Date Day]]) &gt; 0, TRUE, FALSE)</f>
        <v>0</v>
      </c>
      <c r="E1012" s="64">
        <f t="shared" si="30"/>
        <v>6</v>
      </c>
      <c r="F1012" s="64">
        <v>1</v>
      </c>
      <c r="G1012" s="65" t="str">
        <f>IF(Table8[[#This Row],[Weathersit]]=1, "BAD", IF(Table8[[#This Row],[Weathersit]]=2, "MODERATE", IF(Table8[[#This Row],[Weathersit]]=3, "GOOD")))</f>
        <v>BAD</v>
      </c>
      <c r="H1012" s="64">
        <v>30</v>
      </c>
      <c r="I1012" s="65" t="str">
        <f>IF(Table8[[#This Row],[Temp]]&lt;11, "COLD", IF(Table8[[#This Row],[Temp]]&lt;=25, "COMFORTABLE", "WARM"))</f>
        <v>WARM</v>
      </c>
      <c r="J1012" s="64">
        <v>0.2727</v>
      </c>
      <c r="K1012" s="64">
        <v>0.45</v>
      </c>
      <c r="L1012" s="66">
        <v>32.840000000000003</v>
      </c>
      <c r="M1012" s="75" t="s">
        <v>84</v>
      </c>
      <c r="N1012" s="64">
        <v>19</v>
      </c>
      <c r="O1012" s="64">
        <v>86</v>
      </c>
      <c r="P1012" s="64">
        <v>105</v>
      </c>
      <c r="Q1012" s="64"/>
      <c r="R1012" s="65" t="str">
        <f t="shared" si="31"/>
        <v>Week 2</v>
      </c>
      <c r="S1012" s="65" t="str">
        <f>TEXT(Table8[[#This Row],[Date Day]],"mmm,YYYY")</f>
        <v>Feb,2011</v>
      </c>
    </row>
    <row r="1013" spans="1:19" ht="15.6" x14ac:dyDescent="0.3">
      <c r="A1013" s="62">
        <v>980</v>
      </c>
      <c r="B1013" s="63">
        <v>40586</v>
      </c>
      <c r="C1013" s="64">
        <v>11</v>
      </c>
      <c r="D1013" s="64" t="b">
        <f>IF(COUNTIF(AU$36:AU$52,Table8[[#This Row],[Date Day]]) &gt; 0, TRUE, FALSE)</f>
        <v>0</v>
      </c>
      <c r="E1013" s="64">
        <f t="shared" si="30"/>
        <v>6</v>
      </c>
      <c r="F1013" s="64">
        <v>1</v>
      </c>
      <c r="G1013" s="65" t="str">
        <f>IF(Table8[[#This Row],[Weathersit]]=1, "BAD", IF(Table8[[#This Row],[Weathersit]]=2, "MODERATE", IF(Table8[[#This Row],[Weathersit]]=3, "GOOD")))</f>
        <v>BAD</v>
      </c>
      <c r="H1013" s="64">
        <v>32</v>
      </c>
      <c r="I1013" s="65" t="str">
        <f>IF(Table8[[#This Row],[Temp]]&lt;11, "COLD", IF(Table8[[#This Row],[Temp]]&lt;=25, "COMFORTABLE", "WARM"))</f>
        <v>WARM</v>
      </c>
      <c r="J1013" s="64">
        <v>0.28789999999999999</v>
      </c>
      <c r="K1013" s="64">
        <v>0.39</v>
      </c>
      <c r="L1013" s="66">
        <v>44.78</v>
      </c>
      <c r="M1013" s="75" t="s">
        <v>84</v>
      </c>
      <c r="N1013" s="64">
        <v>26</v>
      </c>
      <c r="O1013" s="64">
        <v>86</v>
      </c>
      <c r="P1013" s="64">
        <v>112</v>
      </c>
      <c r="Q1013" s="64"/>
      <c r="R1013" s="65" t="str">
        <f t="shared" si="31"/>
        <v>Week 2</v>
      </c>
      <c r="S1013" s="65" t="str">
        <f>TEXT(Table8[[#This Row],[Date Day]],"mmm,YYYY")</f>
        <v>Feb,2011</v>
      </c>
    </row>
    <row r="1014" spans="1:19" ht="15.6" x14ac:dyDescent="0.3">
      <c r="A1014" s="62">
        <v>981</v>
      </c>
      <c r="B1014" s="63">
        <v>40586</v>
      </c>
      <c r="C1014" s="64">
        <v>12</v>
      </c>
      <c r="D1014" s="64" t="b">
        <f>IF(COUNTIF(AU$36:AU$52,Table8[[#This Row],[Date Day]]) &gt; 0, TRUE, FALSE)</f>
        <v>0</v>
      </c>
      <c r="E1014" s="64">
        <f t="shared" si="30"/>
        <v>6</v>
      </c>
      <c r="F1014" s="64">
        <v>1</v>
      </c>
      <c r="G1014" s="65" t="str">
        <f>IF(Table8[[#This Row],[Weathersit]]=1, "BAD", IF(Table8[[#This Row],[Weathersit]]=2, "MODERATE", IF(Table8[[#This Row],[Weathersit]]=3, "GOOD")))</f>
        <v>BAD</v>
      </c>
      <c r="H1014" s="64">
        <v>36</v>
      </c>
      <c r="I1014" s="65" t="str">
        <f>IF(Table8[[#This Row],[Temp]]&lt;11, "COLD", IF(Table8[[#This Row],[Temp]]&lt;=25, "COMFORTABLE", "WARM"))</f>
        <v>WARM</v>
      </c>
      <c r="J1014" s="64">
        <v>0.31819999999999998</v>
      </c>
      <c r="K1014" s="64">
        <v>0.32</v>
      </c>
      <c r="L1014" s="66">
        <v>46.27</v>
      </c>
      <c r="M1014" s="75" t="s">
        <v>84</v>
      </c>
      <c r="N1014" s="64">
        <v>58</v>
      </c>
      <c r="O1014" s="64">
        <v>94</v>
      </c>
      <c r="P1014" s="64">
        <v>152</v>
      </c>
      <c r="Q1014" s="64"/>
      <c r="R1014" s="65" t="str">
        <f t="shared" si="31"/>
        <v>Week 2</v>
      </c>
      <c r="S1014" s="65" t="str">
        <f>TEXT(Table8[[#This Row],[Date Day]],"mmm,YYYY")</f>
        <v>Feb,2011</v>
      </c>
    </row>
    <row r="1015" spans="1:19" ht="15.6" x14ac:dyDescent="0.3">
      <c r="A1015" s="62">
        <v>982</v>
      </c>
      <c r="B1015" s="63">
        <v>40586</v>
      </c>
      <c r="C1015" s="64">
        <v>13</v>
      </c>
      <c r="D1015" s="64" t="b">
        <f>IF(COUNTIF(AU$36:AU$52,Table8[[#This Row],[Date Day]]) &gt; 0, TRUE, FALSE)</f>
        <v>0</v>
      </c>
      <c r="E1015" s="64">
        <f t="shared" si="30"/>
        <v>6</v>
      </c>
      <c r="F1015" s="64">
        <v>1</v>
      </c>
      <c r="G1015" s="65" t="str">
        <f>IF(Table8[[#This Row],[Weathersit]]=1, "BAD", IF(Table8[[#This Row],[Weathersit]]=2, "MODERATE", IF(Table8[[#This Row],[Weathersit]]=3, "GOOD")))</f>
        <v>BAD</v>
      </c>
      <c r="H1015" s="64">
        <v>38</v>
      </c>
      <c r="I1015" s="65" t="str">
        <f>IF(Table8[[#This Row],[Temp]]&lt;11, "COLD", IF(Table8[[#This Row],[Temp]]&lt;=25, "COMFORTABLE", "WARM"))</f>
        <v>WARM</v>
      </c>
      <c r="J1015" s="64">
        <v>0.39389999999999997</v>
      </c>
      <c r="K1015" s="64">
        <v>0.28999999999999998</v>
      </c>
      <c r="L1015" s="66">
        <v>35.82</v>
      </c>
      <c r="M1015" s="75" t="s">
        <v>84</v>
      </c>
      <c r="N1015" s="64">
        <v>62</v>
      </c>
      <c r="O1015" s="64">
        <v>92</v>
      </c>
      <c r="P1015" s="64">
        <v>154</v>
      </c>
      <c r="Q1015" s="64"/>
      <c r="R1015" s="65" t="str">
        <f t="shared" si="31"/>
        <v>Week 2</v>
      </c>
      <c r="S1015" s="65" t="str">
        <f>TEXT(Table8[[#This Row],[Date Day]],"mmm,YYYY")</f>
        <v>Feb,2011</v>
      </c>
    </row>
    <row r="1016" spans="1:19" ht="15.6" x14ac:dyDescent="0.3">
      <c r="A1016" s="62">
        <v>983</v>
      </c>
      <c r="B1016" s="63">
        <v>40586</v>
      </c>
      <c r="C1016" s="64">
        <v>14</v>
      </c>
      <c r="D1016" s="64" t="b">
        <f>IF(COUNTIF(AU$36:AU$52,Table8[[#This Row],[Date Day]]) &gt; 0, TRUE, FALSE)</f>
        <v>0</v>
      </c>
      <c r="E1016" s="64">
        <f t="shared" si="30"/>
        <v>6</v>
      </c>
      <c r="F1016" s="64">
        <v>2</v>
      </c>
      <c r="G1016" s="65" t="str">
        <f>IF(Table8[[#This Row],[Weathersit]]=1, "BAD", IF(Table8[[#This Row],[Weathersit]]=2, "MODERATE", IF(Table8[[#This Row],[Weathersit]]=3, "GOOD")))</f>
        <v>MODERATE</v>
      </c>
      <c r="H1016" s="64">
        <v>40</v>
      </c>
      <c r="I1016" s="65" t="str">
        <f>IF(Table8[[#This Row],[Temp]]&lt;11, "COLD", IF(Table8[[#This Row],[Temp]]&lt;=25, "COMFORTABLE", "WARM"))</f>
        <v>WARM</v>
      </c>
      <c r="J1016" s="64">
        <v>0.40910000000000002</v>
      </c>
      <c r="K1016" s="64">
        <v>0.3</v>
      </c>
      <c r="L1016" s="66">
        <v>41.79</v>
      </c>
      <c r="M1016" s="75" t="s">
        <v>84</v>
      </c>
      <c r="N1016" s="64">
        <v>51</v>
      </c>
      <c r="O1016" s="64">
        <v>110</v>
      </c>
      <c r="P1016" s="64">
        <v>161</v>
      </c>
      <c r="Q1016" s="64"/>
      <c r="R1016" s="65" t="str">
        <f t="shared" si="31"/>
        <v>Week 2</v>
      </c>
      <c r="S1016" s="65" t="str">
        <f>TEXT(Table8[[#This Row],[Date Day]],"mmm,YYYY")</f>
        <v>Feb,2011</v>
      </c>
    </row>
    <row r="1017" spans="1:19" ht="15.6" x14ac:dyDescent="0.3">
      <c r="A1017" s="62">
        <v>984</v>
      </c>
      <c r="B1017" s="63">
        <v>40586</v>
      </c>
      <c r="C1017" s="64">
        <v>15</v>
      </c>
      <c r="D1017" s="64" t="b">
        <f>IF(COUNTIF(AU$36:AU$52,Table8[[#This Row],[Date Day]]) &gt; 0, TRUE, FALSE)</f>
        <v>0</v>
      </c>
      <c r="E1017" s="64">
        <f t="shared" si="30"/>
        <v>6</v>
      </c>
      <c r="F1017" s="64">
        <v>2</v>
      </c>
      <c r="G1017" s="65" t="str">
        <f>IF(Table8[[#This Row],[Weathersit]]=1, "BAD", IF(Table8[[#This Row],[Weathersit]]=2, "MODERATE", IF(Table8[[#This Row],[Weathersit]]=3, "GOOD")))</f>
        <v>MODERATE</v>
      </c>
      <c r="H1017" s="64">
        <v>40</v>
      </c>
      <c r="I1017" s="65" t="str">
        <f>IF(Table8[[#This Row],[Temp]]&lt;11, "COLD", IF(Table8[[#This Row],[Temp]]&lt;=25, "COMFORTABLE", "WARM"))</f>
        <v>WARM</v>
      </c>
      <c r="J1017" s="64">
        <v>0.40910000000000002</v>
      </c>
      <c r="K1017" s="64">
        <v>0.3</v>
      </c>
      <c r="L1017" s="66">
        <v>29.849999999999998</v>
      </c>
      <c r="M1017" s="75" t="s">
        <v>81</v>
      </c>
      <c r="N1017" s="64">
        <v>40</v>
      </c>
      <c r="O1017" s="64">
        <v>122</v>
      </c>
      <c r="P1017" s="64">
        <v>162</v>
      </c>
      <c r="Q1017" s="64"/>
      <c r="R1017" s="65" t="str">
        <f t="shared" si="31"/>
        <v>Week 2</v>
      </c>
      <c r="S1017" s="65" t="str">
        <f>TEXT(Table8[[#This Row],[Date Day]],"mmm,YYYY")</f>
        <v>Feb,2011</v>
      </c>
    </row>
    <row r="1018" spans="1:19" ht="15.6" x14ac:dyDescent="0.3">
      <c r="A1018" s="62">
        <v>985</v>
      </c>
      <c r="B1018" s="63">
        <v>40586</v>
      </c>
      <c r="C1018" s="64">
        <v>16</v>
      </c>
      <c r="D1018" s="64" t="b">
        <f>IF(COUNTIF(AU$36:AU$52,Table8[[#This Row],[Date Day]]) &gt; 0, TRUE, FALSE)</f>
        <v>0</v>
      </c>
      <c r="E1018" s="64">
        <f t="shared" si="30"/>
        <v>6</v>
      </c>
      <c r="F1018" s="64">
        <v>2</v>
      </c>
      <c r="G1018" s="65" t="str">
        <f>IF(Table8[[#This Row],[Weathersit]]=1, "BAD", IF(Table8[[#This Row],[Weathersit]]=2, "MODERATE", IF(Table8[[#This Row],[Weathersit]]=3, "GOOD")))</f>
        <v>MODERATE</v>
      </c>
      <c r="H1018" s="64">
        <v>42</v>
      </c>
      <c r="I1018" s="65" t="str">
        <f>IF(Table8[[#This Row],[Temp]]&lt;11, "COLD", IF(Table8[[#This Row],[Temp]]&lt;=25, "COMFORTABLE", "WARM"))</f>
        <v>WARM</v>
      </c>
      <c r="J1018" s="64">
        <v>0.42420000000000002</v>
      </c>
      <c r="K1018" s="64">
        <v>0.28000000000000003</v>
      </c>
      <c r="L1018" s="66">
        <v>32.840000000000003</v>
      </c>
      <c r="M1018" s="75" t="s">
        <v>84</v>
      </c>
      <c r="N1018" s="64">
        <v>28</v>
      </c>
      <c r="O1018" s="64">
        <v>106</v>
      </c>
      <c r="P1018" s="64">
        <v>134</v>
      </c>
      <c r="Q1018" s="64"/>
      <c r="R1018" s="65" t="str">
        <f t="shared" si="31"/>
        <v>Week 2</v>
      </c>
      <c r="S1018" s="65" t="str">
        <f>TEXT(Table8[[#This Row],[Date Day]],"mmm,YYYY")</f>
        <v>Feb,2011</v>
      </c>
    </row>
    <row r="1019" spans="1:19" ht="15.6" x14ac:dyDescent="0.3">
      <c r="A1019" s="62">
        <v>986</v>
      </c>
      <c r="B1019" s="63">
        <v>40586</v>
      </c>
      <c r="C1019" s="64">
        <v>17</v>
      </c>
      <c r="D1019" s="64" t="b">
        <f>IF(COUNTIF(AU$36:AU$52,Table8[[#This Row],[Date Day]]) &gt; 0, TRUE, FALSE)</f>
        <v>0</v>
      </c>
      <c r="E1019" s="64">
        <f t="shared" si="30"/>
        <v>6</v>
      </c>
      <c r="F1019" s="64">
        <v>1</v>
      </c>
      <c r="G1019" s="65" t="str">
        <f>IF(Table8[[#This Row],[Weathersit]]=1, "BAD", IF(Table8[[#This Row],[Weathersit]]=2, "MODERATE", IF(Table8[[#This Row],[Weathersit]]=3, "GOOD")))</f>
        <v>BAD</v>
      </c>
      <c r="H1019" s="64">
        <v>42</v>
      </c>
      <c r="I1019" s="65" t="str">
        <f>IF(Table8[[#This Row],[Temp]]&lt;11, "COLD", IF(Table8[[#This Row],[Temp]]&lt;=25, "COMFORTABLE", "WARM"))</f>
        <v>WARM</v>
      </c>
      <c r="J1019" s="64">
        <v>0.42420000000000002</v>
      </c>
      <c r="K1019" s="64">
        <v>0.28000000000000003</v>
      </c>
      <c r="L1019" s="66">
        <v>32.840000000000003</v>
      </c>
      <c r="M1019" s="75" t="s">
        <v>84</v>
      </c>
      <c r="N1019" s="64">
        <v>30</v>
      </c>
      <c r="O1019" s="64">
        <v>95</v>
      </c>
      <c r="P1019" s="64">
        <v>125</v>
      </c>
      <c r="Q1019" s="64"/>
      <c r="R1019" s="65" t="str">
        <f t="shared" si="31"/>
        <v>Week 2</v>
      </c>
      <c r="S1019" s="65" t="str">
        <f>TEXT(Table8[[#This Row],[Date Day]],"mmm,YYYY")</f>
        <v>Feb,2011</v>
      </c>
    </row>
    <row r="1020" spans="1:19" ht="15.6" x14ac:dyDescent="0.3">
      <c r="A1020" s="62">
        <v>987</v>
      </c>
      <c r="B1020" s="63">
        <v>40586</v>
      </c>
      <c r="C1020" s="64">
        <v>18</v>
      </c>
      <c r="D1020" s="64" t="b">
        <f>IF(COUNTIF(AU$36:AU$52,Table8[[#This Row],[Date Day]]) &gt; 0, TRUE, FALSE)</f>
        <v>0</v>
      </c>
      <c r="E1020" s="64">
        <f t="shared" si="30"/>
        <v>6</v>
      </c>
      <c r="F1020" s="64">
        <v>1</v>
      </c>
      <c r="G1020" s="65" t="str">
        <f>IF(Table8[[#This Row],[Weathersit]]=1, "BAD", IF(Table8[[#This Row],[Weathersit]]=2, "MODERATE", IF(Table8[[#This Row],[Weathersit]]=3, "GOOD")))</f>
        <v>BAD</v>
      </c>
      <c r="H1020" s="64">
        <v>40</v>
      </c>
      <c r="I1020" s="65" t="str">
        <f>IF(Table8[[#This Row],[Temp]]&lt;11, "COLD", IF(Table8[[#This Row],[Temp]]&lt;=25, "COMFORTABLE", "WARM"))</f>
        <v>WARM</v>
      </c>
      <c r="J1020" s="64">
        <v>0.40910000000000002</v>
      </c>
      <c r="K1020" s="64">
        <v>0.32</v>
      </c>
      <c r="L1020" s="66">
        <v>29.849999999999998</v>
      </c>
      <c r="M1020" s="75" t="s">
        <v>81</v>
      </c>
      <c r="N1020" s="64">
        <v>17</v>
      </c>
      <c r="O1020" s="64">
        <v>78</v>
      </c>
      <c r="P1020" s="64">
        <v>95</v>
      </c>
      <c r="Q1020" s="64"/>
      <c r="R1020" s="65" t="str">
        <f t="shared" si="31"/>
        <v>Week 2</v>
      </c>
      <c r="S1020" s="65" t="str">
        <f>TEXT(Table8[[#This Row],[Date Day]],"mmm,YYYY")</f>
        <v>Feb,2011</v>
      </c>
    </row>
    <row r="1021" spans="1:19" ht="15.6" x14ac:dyDescent="0.3">
      <c r="A1021" s="62">
        <v>988</v>
      </c>
      <c r="B1021" s="63">
        <v>40586</v>
      </c>
      <c r="C1021" s="64">
        <v>19</v>
      </c>
      <c r="D1021" s="64" t="b">
        <f>IF(COUNTIF(AU$36:AU$52,Table8[[#This Row],[Date Day]]) &gt; 0, TRUE, FALSE)</f>
        <v>0</v>
      </c>
      <c r="E1021" s="64">
        <f t="shared" si="30"/>
        <v>6</v>
      </c>
      <c r="F1021" s="64">
        <v>1</v>
      </c>
      <c r="G1021" s="65" t="str">
        <f>IF(Table8[[#This Row],[Weathersit]]=1, "BAD", IF(Table8[[#This Row],[Weathersit]]=2, "MODERATE", IF(Table8[[#This Row],[Weathersit]]=3, "GOOD")))</f>
        <v>BAD</v>
      </c>
      <c r="H1021" s="64">
        <v>40</v>
      </c>
      <c r="I1021" s="65" t="str">
        <f>IF(Table8[[#This Row],[Temp]]&lt;11, "COLD", IF(Table8[[#This Row],[Temp]]&lt;=25, "COMFORTABLE", "WARM"))</f>
        <v>WARM</v>
      </c>
      <c r="J1021" s="64">
        <v>0.40910000000000002</v>
      </c>
      <c r="K1021" s="64">
        <v>0.35</v>
      </c>
      <c r="L1021" s="66">
        <v>28.360000000000003</v>
      </c>
      <c r="M1021" s="75" t="s">
        <v>81</v>
      </c>
      <c r="N1021" s="64">
        <v>11</v>
      </c>
      <c r="O1021" s="64">
        <v>50</v>
      </c>
      <c r="P1021" s="64">
        <v>61</v>
      </c>
      <c r="Q1021" s="64"/>
      <c r="R1021" s="65" t="str">
        <f t="shared" si="31"/>
        <v>Week 2</v>
      </c>
      <c r="S1021" s="65" t="str">
        <f>TEXT(Table8[[#This Row],[Date Day]],"mmm,YYYY")</f>
        <v>Feb,2011</v>
      </c>
    </row>
    <row r="1022" spans="1:19" ht="15.6" x14ac:dyDescent="0.3">
      <c r="A1022" s="62">
        <v>989</v>
      </c>
      <c r="B1022" s="63">
        <v>40586</v>
      </c>
      <c r="C1022" s="64">
        <v>20</v>
      </c>
      <c r="D1022" s="64" t="b">
        <f>IF(COUNTIF(AU$36:AU$52,Table8[[#This Row],[Date Day]]) &gt; 0, TRUE, FALSE)</f>
        <v>0</v>
      </c>
      <c r="E1022" s="64">
        <f t="shared" si="30"/>
        <v>6</v>
      </c>
      <c r="F1022" s="64">
        <v>1</v>
      </c>
      <c r="G1022" s="65" t="str">
        <f>IF(Table8[[#This Row],[Weathersit]]=1, "BAD", IF(Table8[[#This Row],[Weathersit]]=2, "MODERATE", IF(Table8[[#This Row],[Weathersit]]=3, "GOOD")))</f>
        <v>BAD</v>
      </c>
      <c r="H1022" s="64">
        <v>40</v>
      </c>
      <c r="I1022" s="65" t="str">
        <f>IF(Table8[[#This Row],[Temp]]&lt;11, "COLD", IF(Table8[[#This Row],[Temp]]&lt;=25, "COMFORTABLE", "WARM"))</f>
        <v>WARM</v>
      </c>
      <c r="J1022" s="64">
        <v>0.40910000000000002</v>
      </c>
      <c r="K1022" s="64">
        <v>0.35</v>
      </c>
      <c r="L1022" s="66">
        <v>32.840000000000003</v>
      </c>
      <c r="M1022" s="75" t="s">
        <v>84</v>
      </c>
      <c r="N1022" s="64">
        <v>15</v>
      </c>
      <c r="O1022" s="64">
        <v>32</v>
      </c>
      <c r="P1022" s="64">
        <v>47</v>
      </c>
      <c r="Q1022" s="64"/>
      <c r="R1022" s="65" t="str">
        <f t="shared" si="31"/>
        <v>Week 2</v>
      </c>
      <c r="S1022" s="65" t="str">
        <f>TEXT(Table8[[#This Row],[Date Day]],"mmm,YYYY")</f>
        <v>Feb,2011</v>
      </c>
    </row>
    <row r="1023" spans="1:19" ht="15.6" x14ac:dyDescent="0.3">
      <c r="A1023" s="62">
        <v>990</v>
      </c>
      <c r="B1023" s="63">
        <v>40586</v>
      </c>
      <c r="C1023" s="64">
        <v>21</v>
      </c>
      <c r="D1023" s="64" t="b">
        <f>IF(COUNTIF(AU$36:AU$52,Table8[[#This Row],[Date Day]]) &gt; 0, TRUE, FALSE)</f>
        <v>0</v>
      </c>
      <c r="E1023" s="64">
        <f t="shared" si="30"/>
        <v>6</v>
      </c>
      <c r="F1023" s="64">
        <v>1</v>
      </c>
      <c r="G1023" s="65" t="str">
        <f>IF(Table8[[#This Row],[Weathersit]]=1, "BAD", IF(Table8[[#This Row],[Weathersit]]=2, "MODERATE", IF(Table8[[#This Row],[Weathersit]]=3, "GOOD")))</f>
        <v>BAD</v>
      </c>
      <c r="H1023" s="64">
        <v>40</v>
      </c>
      <c r="I1023" s="65" t="str">
        <f>IF(Table8[[#This Row],[Temp]]&lt;11, "COLD", IF(Table8[[#This Row],[Temp]]&lt;=25, "COMFORTABLE", "WARM"))</f>
        <v>WARM</v>
      </c>
      <c r="J1023" s="64">
        <v>0.40910000000000002</v>
      </c>
      <c r="K1023" s="64">
        <v>0.35</v>
      </c>
      <c r="L1023" s="66">
        <v>35.82</v>
      </c>
      <c r="M1023" s="75" t="s">
        <v>84</v>
      </c>
      <c r="N1023" s="64">
        <v>6</v>
      </c>
      <c r="O1023" s="64">
        <v>45</v>
      </c>
      <c r="P1023" s="64">
        <v>51</v>
      </c>
      <c r="Q1023" s="64"/>
      <c r="R1023" s="65" t="str">
        <f t="shared" si="31"/>
        <v>Week 2</v>
      </c>
      <c r="S1023" s="65" t="str">
        <f>TEXT(Table8[[#This Row],[Date Day]],"mmm,YYYY")</f>
        <v>Feb,2011</v>
      </c>
    </row>
    <row r="1024" spans="1:19" ht="15.6" x14ac:dyDescent="0.3">
      <c r="A1024" s="62">
        <v>991</v>
      </c>
      <c r="B1024" s="63">
        <v>40586</v>
      </c>
      <c r="C1024" s="64">
        <v>22</v>
      </c>
      <c r="D1024" s="64" t="b">
        <f>IF(COUNTIF(AU$36:AU$52,Table8[[#This Row],[Date Day]]) &gt; 0, TRUE, FALSE)</f>
        <v>0</v>
      </c>
      <c r="E1024" s="64">
        <f t="shared" si="30"/>
        <v>6</v>
      </c>
      <c r="F1024" s="64">
        <v>1</v>
      </c>
      <c r="G1024" s="65" t="str">
        <f>IF(Table8[[#This Row],[Weathersit]]=1, "BAD", IF(Table8[[#This Row],[Weathersit]]=2, "MODERATE", IF(Table8[[#This Row],[Weathersit]]=3, "GOOD")))</f>
        <v>BAD</v>
      </c>
      <c r="H1024" s="64">
        <v>40</v>
      </c>
      <c r="I1024" s="65" t="str">
        <f>IF(Table8[[#This Row],[Temp]]&lt;11, "COLD", IF(Table8[[#This Row],[Temp]]&lt;=25, "COMFORTABLE", "WARM"))</f>
        <v>WARM</v>
      </c>
      <c r="J1024" s="64">
        <v>0.40910000000000002</v>
      </c>
      <c r="K1024" s="64">
        <v>0.35</v>
      </c>
      <c r="L1024" s="66">
        <v>29.849999999999998</v>
      </c>
      <c r="M1024" s="75" t="s">
        <v>81</v>
      </c>
      <c r="N1024" s="64">
        <v>5</v>
      </c>
      <c r="O1024" s="64">
        <v>31</v>
      </c>
      <c r="P1024" s="64">
        <v>36</v>
      </c>
      <c r="Q1024" s="64"/>
      <c r="R1024" s="65" t="str">
        <f t="shared" si="31"/>
        <v>Week 2</v>
      </c>
      <c r="S1024" s="65" t="str">
        <f>TEXT(Table8[[#This Row],[Date Day]],"mmm,YYYY")</f>
        <v>Feb,2011</v>
      </c>
    </row>
    <row r="1025" spans="1:19" ht="15.6" x14ac:dyDescent="0.3">
      <c r="A1025" s="62">
        <v>992</v>
      </c>
      <c r="B1025" s="63">
        <v>40586</v>
      </c>
      <c r="C1025" s="64">
        <v>23</v>
      </c>
      <c r="D1025" s="64" t="b">
        <f>IF(COUNTIF(AU$36:AU$52,Table8[[#This Row],[Date Day]]) &gt; 0, TRUE, FALSE)</f>
        <v>0</v>
      </c>
      <c r="E1025" s="64">
        <f t="shared" si="30"/>
        <v>6</v>
      </c>
      <c r="F1025" s="64">
        <v>1</v>
      </c>
      <c r="G1025" s="65" t="str">
        <f>IF(Table8[[#This Row],[Weathersit]]=1, "BAD", IF(Table8[[#This Row],[Weathersit]]=2, "MODERATE", IF(Table8[[#This Row],[Weathersit]]=3, "GOOD")))</f>
        <v>BAD</v>
      </c>
      <c r="H1025" s="64">
        <v>40</v>
      </c>
      <c r="I1025" s="65" t="str">
        <f>IF(Table8[[#This Row],[Temp]]&lt;11, "COLD", IF(Table8[[#This Row],[Temp]]&lt;=25, "COMFORTABLE", "WARM"))</f>
        <v>WARM</v>
      </c>
      <c r="J1025" s="64">
        <v>0.40910000000000002</v>
      </c>
      <c r="K1025" s="64">
        <v>0.35</v>
      </c>
      <c r="L1025" s="66">
        <v>35.82</v>
      </c>
      <c r="M1025" s="75" t="s">
        <v>84</v>
      </c>
      <c r="N1025" s="64">
        <v>3</v>
      </c>
      <c r="O1025" s="64">
        <v>27</v>
      </c>
      <c r="P1025" s="64">
        <v>30</v>
      </c>
      <c r="Q1025" s="64"/>
      <c r="R1025" s="65" t="str">
        <f t="shared" si="31"/>
        <v>Week 2</v>
      </c>
      <c r="S1025" s="65" t="str">
        <f>TEXT(Table8[[#This Row],[Date Day]],"mmm,YYYY")</f>
        <v>Feb,2011</v>
      </c>
    </row>
    <row r="1026" spans="1:19" ht="15.6" x14ac:dyDescent="0.3">
      <c r="A1026" s="62">
        <v>993</v>
      </c>
      <c r="B1026" s="63">
        <v>40587</v>
      </c>
      <c r="C1026" s="64">
        <v>0</v>
      </c>
      <c r="D1026" s="64" t="b">
        <f>IF(COUNTIF(AU$36:AU$52,Table8[[#This Row],[Date Day]]) &gt; 0, TRUE, FALSE)</f>
        <v>0</v>
      </c>
      <c r="E1026" s="64">
        <f t="shared" si="30"/>
        <v>7</v>
      </c>
      <c r="F1026" s="64">
        <v>1</v>
      </c>
      <c r="G1026" s="65" t="str">
        <f>IF(Table8[[#This Row],[Weathersit]]=1, "BAD", IF(Table8[[#This Row],[Weathersit]]=2, "MODERATE", IF(Table8[[#This Row],[Weathersit]]=3, "GOOD")))</f>
        <v>BAD</v>
      </c>
      <c r="H1026" s="64">
        <v>38</v>
      </c>
      <c r="I1026" s="65" t="str">
        <f>IF(Table8[[#This Row],[Temp]]&lt;11, "COLD", IF(Table8[[#This Row],[Temp]]&lt;=25, "COMFORTABLE", "WARM"))</f>
        <v>WARM</v>
      </c>
      <c r="J1026" s="64">
        <v>0.39389999999999997</v>
      </c>
      <c r="K1026" s="64">
        <v>0.37</v>
      </c>
      <c r="L1026" s="66">
        <v>35.82</v>
      </c>
      <c r="M1026" s="75" t="s">
        <v>84</v>
      </c>
      <c r="N1026" s="64">
        <v>3</v>
      </c>
      <c r="O1026" s="64">
        <v>8</v>
      </c>
      <c r="P1026" s="64">
        <v>11</v>
      </c>
      <c r="Q1026" s="64"/>
      <c r="R1026" s="65" t="str">
        <f t="shared" si="31"/>
        <v>Week 2</v>
      </c>
      <c r="S1026" s="65" t="str">
        <f>TEXT(Table8[[#This Row],[Date Day]],"mmm,YYYY")</f>
        <v>Feb,2011</v>
      </c>
    </row>
    <row r="1027" spans="1:19" ht="15.6" x14ac:dyDescent="0.3">
      <c r="A1027" s="62">
        <v>994</v>
      </c>
      <c r="B1027" s="63">
        <v>40587</v>
      </c>
      <c r="C1027" s="64">
        <v>1</v>
      </c>
      <c r="D1027" s="64" t="b">
        <f>IF(COUNTIF(AU$36:AU$52,Table8[[#This Row],[Date Day]]) &gt; 0, TRUE, FALSE)</f>
        <v>0</v>
      </c>
      <c r="E1027" s="64">
        <f t="shared" si="30"/>
        <v>7</v>
      </c>
      <c r="F1027" s="64">
        <v>1</v>
      </c>
      <c r="G1027" s="65" t="str">
        <f>IF(Table8[[#This Row],[Weathersit]]=1, "BAD", IF(Table8[[#This Row],[Weathersit]]=2, "MODERATE", IF(Table8[[#This Row],[Weathersit]]=3, "GOOD")))</f>
        <v>BAD</v>
      </c>
      <c r="H1027" s="64">
        <v>38</v>
      </c>
      <c r="I1027" s="65" t="str">
        <f>IF(Table8[[#This Row],[Temp]]&lt;11, "COLD", IF(Table8[[#This Row],[Temp]]&lt;=25, "COMFORTABLE", "WARM"))</f>
        <v>WARM</v>
      </c>
      <c r="J1027" s="64">
        <v>0.39389999999999997</v>
      </c>
      <c r="K1027" s="64">
        <v>0.37</v>
      </c>
      <c r="L1027" s="66">
        <v>35.82</v>
      </c>
      <c r="M1027" s="75" t="s">
        <v>84</v>
      </c>
      <c r="N1027" s="64">
        <v>1</v>
      </c>
      <c r="O1027" s="64">
        <v>6</v>
      </c>
      <c r="P1027" s="64">
        <v>7</v>
      </c>
      <c r="Q1027" s="64"/>
      <c r="R1027" s="65" t="str">
        <f t="shared" si="31"/>
        <v>Week 2</v>
      </c>
      <c r="S1027" s="65" t="str">
        <f>TEXT(Table8[[#This Row],[Date Day]],"mmm,YYYY")</f>
        <v>Feb,2011</v>
      </c>
    </row>
    <row r="1028" spans="1:19" ht="15.6" x14ac:dyDescent="0.3">
      <c r="A1028" s="62">
        <v>995</v>
      </c>
      <c r="B1028" s="63">
        <v>40587</v>
      </c>
      <c r="C1028" s="64">
        <v>2</v>
      </c>
      <c r="D1028" s="64" t="b">
        <f>IF(COUNTIF(AU$36:AU$52,Table8[[#This Row],[Date Day]]) &gt; 0, TRUE, FALSE)</f>
        <v>0</v>
      </c>
      <c r="E1028" s="64">
        <f t="shared" si="30"/>
        <v>7</v>
      </c>
      <c r="F1028" s="64">
        <v>1</v>
      </c>
      <c r="G1028" s="65" t="str">
        <f>IF(Table8[[#This Row],[Weathersit]]=1, "BAD", IF(Table8[[#This Row],[Weathersit]]=2, "MODERATE", IF(Table8[[#This Row],[Weathersit]]=3, "GOOD")))</f>
        <v>BAD</v>
      </c>
      <c r="H1028" s="64">
        <v>36</v>
      </c>
      <c r="I1028" s="65" t="str">
        <f>IF(Table8[[#This Row],[Temp]]&lt;11, "COLD", IF(Table8[[#This Row],[Temp]]&lt;=25, "COMFORTABLE", "WARM"))</f>
        <v>WARM</v>
      </c>
      <c r="J1028" s="64">
        <v>0.33329999999999999</v>
      </c>
      <c r="K1028" s="64">
        <v>0.4</v>
      </c>
      <c r="L1028" s="66">
        <v>29.849999999999998</v>
      </c>
      <c r="M1028" s="75" t="s">
        <v>81</v>
      </c>
      <c r="N1028" s="64">
        <v>0</v>
      </c>
      <c r="O1028" s="64">
        <v>2</v>
      </c>
      <c r="P1028" s="64">
        <v>2</v>
      </c>
      <c r="Q1028" s="64"/>
      <c r="R1028" s="65" t="str">
        <f t="shared" si="31"/>
        <v>Week 2</v>
      </c>
      <c r="S1028" s="65" t="str">
        <f>TEXT(Table8[[#This Row],[Date Day]],"mmm,YYYY")</f>
        <v>Feb,2011</v>
      </c>
    </row>
    <row r="1029" spans="1:19" ht="15.6" x14ac:dyDescent="0.3">
      <c r="A1029" s="62">
        <v>996</v>
      </c>
      <c r="B1029" s="63">
        <v>40587</v>
      </c>
      <c r="C1029" s="64">
        <v>3</v>
      </c>
      <c r="D1029" s="64" t="b">
        <f>IF(COUNTIF(AU$36:AU$52,Table8[[#This Row],[Date Day]]) &gt; 0, TRUE, FALSE)</f>
        <v>0</v>
      </c>
      <c r="E1029" s="64">
        <f t="shared" si="30"/>
        <v>7</v>
      </c>
      <c r="F1029" s="64">
        <v>1</v>
      </c>
      <c r="G1029" s="65" t="str">
        <f>IF(Table8[[#This Row],[Weathersit]]=1, "BAD", IF(Table8[[#This Row],[Weathersit]]=2, "MODERATE", IF(Table8[[#This Row],[Weathersit]]=3, "GOOD")))</f>
        <v>BAD</v>
      </c>
      <c r="H1029" s="64">
        <v>34</v>
      </c>
      <c r="I1029" s="65" t="str">
        <f>IF(Table8[[#This Row],[Temp]]&lt;11, "COLD", IF(Table8[[#This Row],[Temp]]&lt;=25, "COMFORTABLE", "WARM"))</f>
        <v>WARM</v>
      </c>
      <c r="J1029" s="64">
        <v>0.31819999999999998</v>
      </c>
      <c r="K1029" s="64">
        <v>0.46</v>
      </c>
      <c r="L1029" s="66">
        <v>22.39</v>
      </c>
      <c r="M1029" s="75" t="s">
        <v>81</v>
      </c>
      <c r="N1029" s="64">
        <v>1</v>
      </c>
      <c r="O1029" s="64">
        <v>1</v>
      </c>
      <c r="P1029" s="64">
        <v>2</v>
      </c>
      <c r="Q1029" s="64"/>
      <c r="R1029" s="65" t="str">
        <f t="shared" si="31"/>
        <v>Week 2</v>
      </c>
      <c r="S1029" s="65" t="str">
        <f>TEXT(Table8[[#This Row],[Date Day]],"mmm,YYYY")</f>
        <v>Feb,2011</v>
      </c>
    </row>
    <row r="1030" spans="1:19" ht="15.6" x14ac:dyDescent="0.3">
      <c r="A1030" s="62">
        <v>997</v>
      </c>
      <c r="B1030" s="63">
        <v>40587</v>
      </c>
      <c r="C1030" s="64">
        <v>4</v>
      </c>
      <c r="D1030" s="64" t="b">
        <f>IF(COUNTIF(AU$36:AU$52,Table8[[#This Row],[Date Day]]) &gt; 0, TRUE, FALSE)</f>
        <v>0</v>
      </c>
      <c r="E1030" s="64">
        <f t="shared" si="30"/>
        <v>7</v>
      </c>
      <c r="F1030" s="64">
        <v>1</v>
      </c>
      <c r="G1030" s="65" t="str">
        <f>IF(Table8[[#This Row],[Weathersit]]=1, "BAD", IF(Table8[[#This Row],[Weathersit]]=2, "MODERATE", IF(Table8[[#This Row],[Weathersit]]=3, "GOOD")))</f>
        <v>BAD</v>
      </c>
      <c r="H1030" s="64">
        <v>32</v>
      </c>
      <c r="I1030" s="65" t="str">
        <f>IF(Table8[[#This Row],[Temp]]&lt;11, "COLD", IF(Table8[[#This Row],[Temp]]&lt;=25, "COMFORTABLE", "WARM"))</f>
        <v>WARM</v>
      </c>
      <c r="J1030" s="64">
        <v>0.30299999999999999</v>
      </c>
      <c r="K1030" s="64">
        <v>0.53</v>
      </c>
      <c r="L1030" s="66">
        <v>28.360000000000003</v>
      </c>
      <c r="M1030" s="75" t="s">
        <v>81</v>
      </c>
      <c r="N1030" s="64">
        <v>0</v>
      </c>
      <c r="O1030" s="64">
        <v>2</v>
      </c>
      <c r="P1030" s="64">
        <v>2</v>
      </c>
      <c r="Q1030" s="64"/>
      <c r="R1030" s="65" t="str">
        <f t="shared" si="31"/>
        <v>Week 2</v>
      </c>
      <c r="S1030" s="65" t="str">
        <f>TEXT(Table8[[#This Row],[Date Day]],"mmm,YYYY")</f>
        <v>Feb,2011</v>
      </c>
    </row>
    <row r="1031" spans="1:19" ht="15.6" x14ac:dyDescent="0.3">
      <c r="A1031" s="62">
        <v>998</v>
      </c>
      <c r="B1031" s="63">
        <v>40587</v>
      </c>
      <c r="C1031" s="64">
        <v>5</v>
      </c>
      <c r="D1031" s="64" t="b">
        <f>IF(COUNTIF(AU$36:AU$52,Table8[[#This Row],[Date Day]]) &gt; 0, TRUE, FALSE)</f>
        <v>0</v>
      </c>
      <c r="E1031" s="64">
        <f t="shared" si="30"/>
        <v>7</v>
      </c>
      <c r="F1031" s="64">
        <v>1</v>
      </c>
      <c r="G1031" s="65" t="str">
        <f>IF(Table8[[#This Row],[Weathersit]]=1, "BAD", IF(Table8[[#This Row],[Weathersit]]=2, "MODERATE", IF(Table8[[#This Row],[Weathersit]]=3, "GOOD")))</f>
        <v>BAD</v>
      </c>
      <c r="H1031" s="64">
        <v>32</v>
      </c>
      <c r="I1031" s="65" t="str">
        <f>IF(Table8[[#This Row],[Temp]]&lt;11, "COLD", IF(Table8[[#This Row],[Temp]]&lt;=25, "COMFORTABLE", "WARM"))</f>
        <v>WARM</v>
      </c>
      <c r="J1031" s="64">
        <v>0.30299999999999999</v>
      </c>
      <c r="K1031" s="64">
        <v>0.53</v>
      </c>
      <c r="L1031" s="66">
        <v>28.360000000000003</v>
      </c>
      <c r="M1031" s="75" t="s">
        <v>81</v>
      </c>
      <c r="N1031" s="64">
        <v>0</v>
      </c>
      <c r="O1031" s="64">
        <v>3</v>
      </c>
      <c r="P1031" s="64">
        <v>3</v>
      </c>
      <c r="Q1031" s="64"/>
      <c r="R1031" s="65" t="str">
        <f t="shared" si="31"/>
        <v>Week 2</v>
      </c>
      <c r="S1031" s="65" t="str">
        <f>TEXT(Table8[[#This Row],[Date Day]],"mmm,YYYY")</f>
        <v>Feb,2011</v>
      </c>
    </row>
    <row r="1032" spans="1:19" ht="15.6" x14ac:dyDescent="0.3">
      <c r="A1032" s="62">
        <v>999</v>
      </c>
      <c r="B1032" s="63">
        <v>40587</v>
      </c>
      <c r="C1032" s="64">
        <v>6</v>
      </c>
      <c r="D1032" s="64" t="b">
        <f>IF(COUNTIF(AU$36:AU$52,Table8[[#This Row],[Date Day]]) &gt; 0, TRUE, FALSE)</f>
        <v>0</v>
      </c>
      <c r="E1032" s="64">
        <f t="shared" si="30"/>
        <v>7</v>
      </c>
      <c r="F1032" s="64">
        <v>1</v>
      </c>
      <c r="G1032" s="65" t="str">
        <f>IF(Table8[[#This Row],[Weathersit]]=1, "BAD", IF(Table8[[#This Row],[Weathersit]]=2, "MODERATE", IF(Table8[[#This Row],[Weathersit]]=3, "GOOD")))</f>
        <v>BAD</v>
      </c>
      <c r="H1032" s="64">
        <v>34</v>
      </c>
      <c r="I1032" s="65" t="str">
        <f>IF(Table8[[#This Row],[Temp]]&lt;11, "COLD", IF(Table8[[#This Row],[Temp]]&lt;=25, "COMFORTABLE", "WARM"))</f>
        <v>WARM</v>
      </c>
      <c r="J1032" s="64">
        <v>0.30299999999999999</v>
      </c>
      <c r="K1032" s="64">
        <v>0.46</v>
      </c>
      <c r="L1032" s="66">
        <v>29.849999999999998</v>
      </c>
      <c r="M1032" s="75" t="s">
        <v>81</v>
      </c>
      <c r="N1032" s="64">
        <v>1</v>
      </c>
      <c r="O1032" s="64">
        <v>25</v>
      </c>
      <c r="P1032" s="64">
        <v>26</v>
      </c>
      <c r="Q1032" s="64"/>
      <c r="R1032" s="65" t="str">
        <f t="shared" si="31"/>
        <v>Week 2</v>
      </c>
      <c r="S1032" s="65" t="str">
        <f>TEXT(Table8[[#This Row],[Date Day]],"mmm,YYYY")</f>
        <v>Feb,2011</v>
      </c>
    </row>
    <row r="1033" spans="1:19" ht="15.6" x14ac:dyDescent="0.3">
      <c r="A1033" s="67">
        <v>1000</v>
      </c>
      <c r="B1033" s="68">
        <v>40587</v>
      </c>
      <c r="C1033" s="69">
        <v>7</v>
      </c>
      <c r="D1033" s="64" t="b">
        <f>IF(COUNTIF(AU$36:AU$52,Table8[[#This Row],[Date Day]]) &gt; 0, TRUE, FALSE)</f>
        <v>0</v>
      </c>
      <c r="E1033" s="69">
        <f t="shared" si="30"/>
        <v>7</v>
      </c>
      <c r="F1033" s="69">
        <v>1</v>
      </c>
      <c r="G1033" s="70" t="str">
        <f>IF(Table8[[#This Row],[Weathersit]]=1, "BAD", IF(Table8[[#This Row],[Weathersit]]=2, "MODERATE", IF(Table8[[#This Row],[Weathersit]]=3, "GOOD")))</f>
        <v>BAD</v>
      </c>
      <c r="H1033" s="69">
        <v>34</v>
      </c>
      <c r="I1033" s="70" t="str">
        <f>IF(Table8[[#This Row],[Temp]]&lt;11, "COLD", IF(Table8[[#This Row],[Temp]]&lt;=25, "COMFORTABLE", "WARM"))</f>
        <v>WARM</v>
      </c>
      <c r="J1033" s="69">
        <v>0.30299999999999999</v>
      </c>
      <c r="K1033" s="69">
        <v>0.46</v>
      </c>
      <c r="L1033" s="71">
        <v>29.849999999999998</v>
      </c>
      <c r="M1033" s="76" t="s">
        <v>81</v>
      </c>
      <c r="N1033" s="69">
        <v>2</v>
      </c>
      <c r="O1033" s="69">
        <v>96</v>
      </c>
      <c r="P1033" s="64">
        <v>98</v>
      </c>
      <c r="Q1033" s="64"/>
      <c r="R1033" s="65" t="str">
        <f t="shared" si="31"/>
        <v>Week 2</v>
      </c>
      <c r="S1033" s="65" t="str">
        <f>TEXT(Table8[[#This Row],[Date Day]],"mmm,YYYY")</f>
        <v>Feb,2011</v>
      </c>
    </row>
  </sheetData>
  <mergeCells count="1">
    <mergeCell ref="AU34:AW34"/>
  </mergeCells>
  <pageMargins left="0.7" right="0.7" top="0.75" bottom="0.75" header="0.3" footer="0.3"/>
  <pageSetup paperSize="9" scale="32" orientation="portrait" verticalDpi="0" r:id="rId7"/>
  <drawing r:id="rId8"/>
  <tableParts count="1">
    <tablePart r:id="rId9"/>
  </tableParts>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B24F-F5C0-44B4-985C-E5C6DC3DC63C}">
  <dimension ref="A3:C26"/>
  <sheetViews>
    <sheetView workbookViewId="0">
      <selection activeCell="K2" sqref="K2"/>
    </sheetView>
  </sheetViews>
  <sheetFormatPr defaultRowHeight="14.4" x14ac:dyDescent="0.3"/>
  <cols>
    <col min="1" max="1" width="8" bestFit="1" customWidth="1"/>
    <col min="2" max="2" width="10.33203125" bestFit="1" customWidth="1"/>
    <col min="3" max="3" width="11.44140625" bestFit="1" customWidth="1"/>
    <col min="4" max="4" width="11.5546875" bestFit="1" customWidth="1"/>
    <col min="5" max="5" width="10.33203125" bestFit="1" customWidth="1"/>
  </cols>
  <sheetData>
    <row r="3" spans="1:3" x14ac:dyDescent="0.3">
      <c r="A3" s="47" t="s">
        <v>32</v>
      </c>
      <c r="B3" t="s">
        <v>77</v>
      </c>
      <c r="C3" t="s">
        <v>91</v>
      </c>
    </row>
    <row r="4" spans="1:3" x14ac:dyDescent="0.3">
      <c r="A4">
        <v>2</v>
      </c>
      <c r="B4" s="72">
        <v>168</v>
      </c>
      <c r="C4" s="72">
        <v>4.9600000000000009</v>
      </c>
    </row>
    <row r="5" spans="1:3" x14ac:dyDescent="0.3">
      <c r="A5">
        <v>4</v>
      </c>
      <c r="B5" s="72">
        <v>387</v>
      </c>
      <c r="C5" s="72">
        <v>6.7400000000000011</v>
      </c>
    </row>
    <row r="6" spans="1:3" x14ac:dyDescent="0.3">
      <c r="A6">
        <v>6</v>
      </c>
      <c r="B6" s="72">
        <v>608</v>
      </c>
      <c r="C6" s="72">
        <v>6.5900000000000007</v>
      </c>
    </row>
    <row r="7" spans="1:3" x14ac:dyDescent="0.3">
      <c r="A7">
        <v>8</v>
      </c>
      <c r="B7" s="72">
        <v>357</v>
      </c>
      <c r="C7" s="72">
        <v>5.7200000000000006</v>
      </c>
    </row>
    <row r="8" spans="1:3" x14ac:dyDescent="0.3">
      <c r="A8">
        <v>10</v>
      </c>
      <c r="B8" s="72">
        <v>1259</v>
      </c>
      <c r="C8" s="72">
        <v>15.569999999999999</v>
      </c>
    </row>
    <row r="9" spans="1:3" x14ac:dyDescent="0.3">
      <c r="A9">
        <v>12</v>
      </c>
      <c r="B9" s="72">
        <v>2104</v>
      </c>
      <c r="C9" s="72">
        <v>22.37</v>
      </c>
    </row>
    <row r="10" spans="1:3" x14ac:dyDescent="0.3">
      <c r="A10">
        <v>14.000000000000002</v>
      </c>
      <c r="B10" s="72">
        <v>4335</v>
      </c>
      <c r="C10" s="72">
        <v>53.749999999999993</v>
      </c>
    </row>
    <row r="11" spans="1:3" x14ac:dyDescent="0.3">
      <c r="A11">
        <v>16</v>
      </c>
      <c r="B11" s="72">
        <v>7003</v>
      </c>
      <c r="C11" s="72">
        <v>82.020000000000053</v>
      </c>
    </row>
    <row r="12" spans="1:3" x14ac:dyDescent="0.3">
      <c r="A12">
        <v>18</v>
      </c>
      <c r="B12" s="72">
        <v>4045</v>
      </c>
      <c r="C12" s="72">
        <v>45.07999999999997</v>
      </c>
    </row>
    <row r="13" spans="1:3" x14ac:dyDescent="0.3">
      <c r="A13">
        <v>20</v>
      </c>
      <c r="B13" s="72">
        <v>7926</v>
      </c>
      <c r="C13" s="72">
        <v>72.139999999999944</v>
      </c>
    </row>
    <row r="14" spans="1:3" x14ac:dyDescent="0.3">
      <c r="A14">
        <v>22</v>
      </c>
      <c r="B14" s="72">
        <v>7212</v>
      </c>
      <c r="C14" s="72">
        <v>91.320000000000022</v>
      </c>
    </row>
    <row r="15" spans="1:3" x14ac:dyDescent="0.3">
      <c r="A15">
        <v>24</v>
      </c>
      <c r="B15" s="72">
        <v>5965</v>
      </c>
      <c r="C15" s="72">
        <v>53.56</v>
      </c>
    </row>
    <row r="16" spans="1:3" x14ac:dyDescent="0.3">
      <c r="A16">
        <v>26</v>
      </c>
      <c r="B16" s="72">
        <v>3157</v>
      </c>
      <c r="C16" s="72">
        <v>31.810000000000006</v>
      </c>
    </row>
    <row r="17" spans="1:3" x14ac:dyDescent="0.3">
      <c r="A17">
        <v>28.000000000000004</v>
      </c>
      <c r="B17" s="72">
        <v>1958</v>
      </c>
      <c r="C17" s="72">
        <v>15.29</v>
      </c>
    </row>
    <row r="18" spans="1:3" x14ac:dyDescent="0.3">
      <c r="A18">
        <v>30</v>
      </c>
      <c r="B18" s="72">
        <v>3551</v>
      </c>
      <c r="C18" s="72">
        <v>17.45</v>
      </c>
    </row>
    <row r="19" spans="1:3" x14ac:dyDescent="0.3">
      <c r="A19">
        <v>32</v>
      </c>
      <c r="B19" s="72">
        <v>1966</v>
      </c>
      <c r="C19" s="72">
        <v>11.79</v>
      </c>
    </row>
    <row r="20" spans="1:3" x14ac:dyDescent="0.3">
      <c r="A20">
        <v>34</v>
      </c>
      <c r="B20" s="72">
        <v>2478</v>
      </c>
      <c r="C20" s="72">
        <v>10.110000000000001</v>
      </c>
    </row>
    <row r="21" spans="1:3" x14ac:dyDescent="0.3">
      <c r="A21">
        <v>36</v>
      </c>
      <c r="B21" s="72">
        <v>1341</v>
      </c>
      <c r="C21" s="72">
        <v>9.1100000000000012</v>
      </c>
    </row>
    <row r="22" spans="1:3" x14ac:dyDescent="0.3">
      <c r="A22">
        <v>38</v>
      </c>
      <c r="B22" s="72">
        <v>521</v>
      </c>
      <c r="C22" s="72">
        <v>5.25</v>
      </c>
    </row>
    <row r="23" spans="1:3" x14ac:dyDescent="0.3">
      <c r="A23">
        <v>40</v>
      </c>
      <c r="B23" s="72">
        <v>985</v>
      </c>
      <c r="C23" s="72">
        <v>8.5599999999999987</v>
      </c>
    </row>
    <row r="24" spans="1:3" x14ac:dyDescent="0.3">
      <c r="A24">
        <v>42</v>
      </c>
      <c r="B24" s="72">
        <v>519</v>
      </c>
      <c r="C24" s="72">
        <v>5.68</v>
      </c>
    </row>
    <row r="25" spans="1:3" x14ac:dyDescent="0.3">
      <c r="A25">
        <v>44</v>
      </c>
      <c r="B25" s="72">
        <v>194</v>
      </c>
      <c r="C25" s="72">
        <v>2.5299999999999998</v>
      </c>
    </row>
    <row r="26" spans="1:3" x14ac:dyDescent="0.3">
      <c r="A26">
        <v>46</v>
      </c>
      <c r="B26" s="72">
        <v>265</v>
      </c>
      <c r="C26" s="72">
        <v>5.08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C7D70-C7AB-4216-9FBC-9B801E7DAAF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99169C-777C-4B5A-A732-7ACCE60514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DS1</vt:lpstr>
      <vt:lpstr>DS2</vt:lpstr>
      <vt:lpstr>DS3</vt:lpstr>
      <vt:lpstr>Sheet2</vt:lpstr>
      <vt:lpstr>New DS_1</vt:lpstr>
      <vt:lpstr>New DS_2</vt:lpstr>
      <vt:lpstr>PIVOT TABLE AND CHART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MOHAPATRA</dc:creator>
  <cp:lastModifiedBy>user</cp:lastModifiedBy>
  <dcterms:created xsi:type="dcterms:W3CDTF">2015-06-05T18:17:20Z</dcterms:created>
  <dcterms:modified xsi:type="dcterms:W3CDTF">2025-12-22T08:50:55Z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52bb50-aef2-4dc8-bb7f-e0da22648362_Enabled">
    <vt:lpwstr>true</vt:lpwstr>
  </property>
  <property fmtid="{D5CDD505-2E9C-101B-9397-08002B2CF9AE}" pid="3" name="MSIP_Label_ac52bb50-aef2-4dc8-bb7f-e0da22648362_SetDate">
    <vt:lpwstr>2025-10-18T10:04:46Z</vt:lpwstr>
  </property>
  <property fmtid="{D5CDD505-2E9C-101B-9397-08002B2CF9AE}" pid="4" name="MSIP_Label_ac52bb50-aef2-4dc8-bb7f-e0da22648362_Method">
    <vt:lpwstr>Standard</vt:lpwstr>
  </property>
  <property fmtid="{D5CDD505-2E9C-101B-9397-08002B2CF9AE}" pid="5" name="MSIP_Label_ac52bb50-aef2-4dc8-bb7f-e0da22648362_Name">
    <vt:lpwstr>ac52bb50-aef2-4dc8-bb7f-e0da22648362</vt:lpwstr>
  </property>
  <property fmtid="{D5CDD505-2E9C-101B-9397-08002B2CF9AE}" pid="6" name="MSIP_Label_ac52bb50-aef2-4dc8-bb7f-e0da22648362_SiteId">
    <vt:lpwstr>264b9899-fe1b-430b-9509-2154878d5774</vt:lpwstr>
  </property>
  <property fmtid="{D5CDD505-2E9C-101B-9397-08002B2CF9AE}" pid="7" name="MSIP_Label_ac52bb50-aef2-4dc8-bb7f-e0da22648362_ActionId">
    <vt:lpwstr>5c771d1a-6492-470f-8470-be9b92079124</vt:lpwstr>
  </property>
  <property fmtid="{D5CDD505-2E9C-101B-9397-08002B2CF9AE}" pid="8" name="MSIP_Label_ac52bb50-aef2-4dc8-bb7f-e0da22648362_ContentBits">
    <vt:lpwstr>2</vt:lpwstr>
  </property>
  <property fmtid="{D5CDD505-2E9C-101B-9397-08002B2CF9AE}" pid="9" name="MSIP_Label_ac52bb50-aef2-4dc8-bb7f-e0da22648362_Tag">
    <vt:lpwstr>10, 3, 0, 1</vt:lpwstr>
  </property>
</Properties>
</file>